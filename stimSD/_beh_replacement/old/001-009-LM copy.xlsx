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5" activeTab="9"/>
  </bookViews>
  <sheets>
    <sheet name="PAT" sheetId="11" r:id="rId1"/>
    <sheet name="AS verbale" sheetId="1" r:id="rId2"/>
    <sheet name="AS visuelle" sheetId="2" r:id="rId3"/>
    <sheet name="EXE verb." sheetId="3" r:id="rId4"/>
    <sheet name="EXE visu." sheetId="4" r:id="rId5"/>
    <sheet name="FLUENCE cat." sheetId="5" r:id="rId6"/>
    <sheet name="FLUENCE verb." sheetId="6" r:id="rId7"/>
    <sheet name="DC cat." sheetId="7" r:id="rId8"/>
    <sheet name="DENO" sheetId="8" r:id="rId9"/>
    <sheet name="LECTURE" sheetId="9" r:id="rId10"/>
    <sheet name="BIP" sheetId="10" r:id="rId11"/>
  </sheets>
  <calcPr calcId="152511"/>
</workbook>
</file>

<file path=xl/calcChain.xml><?xml version="1.0" encoding="utf-8"?>
<calcChain xmlns="http://schemas.openxmlformats.org/spreadsheetml/2006/main">
  <c r="AV42" i="8" l="1"/>
  <c r="AW29" i="2" l="1"/>
  <c r="AX28" i="2"/>
  <c r="AV28" i="2"/>
  <c r="AY29" i="1" l="1"/>
  <c r="AZ28" i="1"/>
  <c r="AX28" i="1"/>
  <c r="P48" i="9" l="1"/>
  <c r="G48" i="9"/>
  <c r="AH48" i="9"/>
  <c r="AE30" i="4" l="1"/>
  <c r="AE28" i="4"/>
  <c r="AF28" i="4"/>
  <c r="AE28" i="3"/>
  <c r="AF28" i="3"/>
  <c r="AG29" i="3" s="1"/>
  <c r="AI85" i="7"/>
  <c r="AH85" i="7" s="1"/>
  <c r="AH42" i="7"/>
  <c r="AM16" i="10"/>
  <c r="AL55" i="2"/>
  <c r="AK55" i="2" s="1"/>
  <c r="AK28" i="2"/>
  <c r="AO53" i="1"/>
  <c r="AN53" i="1" s="1"/>
  <c r="AN28" i="1"/>
  <c r="AO28" i="1"/>
  <c r="Y42" i="8"/>
  <c r="L42" i="8" l="1"/>
  <c r="Z85" i="7"/>
  <c r="Y85" i="7" s="1"/>
  <c r="Q85" i="7"/>
  <c r="P85" i="7" s="1"/>
  <c r="H85" i="7"/>
  <c r="G85" i="7" s="1"/>
  <c r="Y42" i="7"/>
  <c r="P42" i="7"/>
  <c r="G42" i="7"/>
  <c r="AJ42" i="8"/>
  <c r="W30" i="4"/>
  <c r="W29" i="4"/>
  <c r="X29" i="4"/>
  <c r="O30" i="4"/>
  <c r="O29" i="4"/>
  <c r="P29" i="4"/>
  <c r="G30" i="4"/>
  <c r="H28" i="4"/>
  <c r="F28" i="4"/>
  <c r="V30" i="3"/>
  <c r="N30" i="3"/>
  <c r="F29" i="3"/>
  <c r="W29" i="3"/>
  <c r="O29" i="3"/>
  <c r="G28" i="3"/>
  <c r="AC56" i="2"/>
  <c r="AB56" i="2" s="1"/>
  <c r="AB28" i="2"/>
  <c r="S58" i="2"/>
  <c r="R58" i="2" s="1"/>
  <c r="R28" i="2"/>
  <c r="I57" i="2"/>
  <c r="H57" i="2" s="1"/>
  <c r="H28" i="2"/>
  <c r="AD58" i="1" l="1"/>
  <c r="AC58" i="1" s="1"/>
  <c r="AC28" i="1"/>
  <c r="S57" i="1"/>
  <c r="R57" i="1" s="1"/>
  <c r="R28" i="1"/>
  <c r="I58" i="1"/>
  <c r="H58" i="1" s="1"/>
  <c r="H28" i="1"/>
  <c r="AC16" i="10" l="1"/>
  <c r="S16" i="10"/>
  <c r="H16" i="10"/>
  <c r="G16" i="10"/>
</calcChain>
</file>

<file path=xl/sharedStrings.xml><?xml version="1.0" encoding="utf-8"?>
<sst xmlns="http://schemas.openxmlformats.org/spreadsheetml/2006/main" count="2495" uniqueCount="830">
  <si>
    <t>Version</t>
  </si>
  <si>
    <t>Session</t>
  </si>
  <si>
    <t>Items</t>
  </si>
  <si>
    <t>Nombre</t>
  </si>
  <si>
    <t>Prétraitement</t>
  </si>
  <si>
    <t>FLUENCE catégorielle</t>
  </si>
  <si>
    <t>roses</t>
  </si>
  <si>
    <t>20.11.2018</t>
  </si>
  <si>
    <t>PAT001-009-LM</t>
  </si>
  <si>
    <t>tulipes</t>
  </si>
  <si>
    <r>
      <t xml:space="preserve">Score </t>
    </r>
    <r>
      <rPr>
        <b/>
        <sz val="12"/>
        <color rgb="FFFF0000"/>
        <rFont val="Calibri"/>
        <family val="2"/>
        <scheme val="minor"/>
      </rPr>
      <t>2</t>
    </r>
  </si>
  <si>
    <t>n°</t>
  </si>
  <si>
    <t>passion</t>
  </si>
  <si>
    <t>pates</t>
  </si>
  <si>
    <t>particuler</t>
  </si>
  <si>
    <t>paterie</t>
  </si>
  <si>
    <t>erreurs 2</t>
  </si>
  <si>
    <t>passé</t>
  </si>
  <si>
    <t>porte</t>
  </si>
  <si>
    <t>portail</t>
  </si>
  <si>
    <t>promesse</t>
  </si>
  <si>
    <t>parc</t>
  </si>
  <si>
    <t>premier</t>
  </si>
  <si>
    <t>plante</t>
  </si>
  <si>
    <t>promis</t>
  </si>
  <si>
    <r>
      <t xml:space="preserve">Score </t>
    </r>
    <r>
      <rPr>
        <b/>
        <sz val="12"/>
        <color rgb="FFFF0000"/>
        <rFont val="Calibri"/>
        <family val="2"/>
        <scheme val="minor"/>
      </rPr>
      <t>10</t>
    </r>
  </si>
  <si>
    <t>Trial</t>
  </si>
  <si>
    <t>Profession</t>
  </si>
  <si>
    <t>Nom</t>
  </si>
  <si>
    <t>Personnalités reconnues</t>
  </si>
  <si>
    <t>BIP.ACC</t>
  </si>
  <si>
    <t>BIP.RT</t>
  </si>
  <si>
    <t>Presentateur TV</t>
  </si>
  <si>
    <t>Jean Pierre Foulcault</t>
  </si>
  <si>
    <t>BIP</t>
  </si>
  <si>
    <t>Actrice</t>
  </si>
  <si>
    <t>Romy Schneider</t>
  </si>
  <si>
    <t>20.11.18</t>
  </si>
  <si>
    <t>Acteur</t>
  </si>
  <si>
    <t>Pierre Richard</t>
  </si>
  <si>
    <t>Score prof  5/14</t>
  </si>
  <si>
    <t>Chanteur</t>
  </si>
  <si>
    <t>Renaud</t>
  </si>
  <si>
    <t>Score rec 0/14</t>
  </si>
  <si>
    <t>Gérard Depardieu</t>
  </si>
  <si>
    <t>Bourvil</t>
  </si>
  <si>
    <t>Yves Montand</t>
  </si>
  <si>
    <t>Présentateur TV</t>
  </si>
  <si>
    <t>Pascal Sevran</t>
  </si>
  <si>
    <t>Sylvie Vartan</t>
  </si>
  <si>
    <t>Charles Aznavour</t>
  </si>
  <si>
    <t>Politique</t>
  </si>
  <si>
    <t>Edouard Balladur</t>
  </si>
  <si>
    <t>Miou Miou</t>
  </si>
  <si>
    <t>Juliette Greco</t>
  </si>
  <si>
    <t>Jacques Chirac</t>
  </si>
  <si>
    <t>Post 1 (Bilan 2)</t>
  </si>
  <si>
    <t>Post 2 (Bilan 3)</t>
  </si>
  <si>
    <t>Score prof  6/14</t>
  </si>
  <si>
    <t>Présentatrice TV</t>
  </si>
  <si>
    <t xml:space="preserve">Catherine Deneuve </t>
  </si>
  <si>
    <t>Thierry Lhermitte</t>
  </si>
  <si>
    <t>Georges Brassens</t>
  </si>
  <si>
    <t>Arlette Laguiller</t>
  </si>
  <si>
    <t>Sean Connery</t>
  </si>
  <si>
    <t>Johnny Halliday</t>
  </si>
  <si>
    <t>Serge Gainsbourg</t>
  </si>
  <si>
    <t>Daniel Auteuil</t>
  </si>
  <si>
    <t>Michel Drucker</t>
  </si>
  <si>
    <t>PPDA</t>
  </si>
  <si>
    <t>Brigitte Bardot</t>
  </si>
  <si>
    <t>Fernandel</t>
  </si>
  <si>
    <t>Danièle Gilbert</t>
  </si>
  <si>
    <t>Jeanne Moreau</t>
  </si>
  <si>
    <t>Score prof  2/14</t>
  </si>
  <si>
    <t>PAT001-008-LD</t>
  </si>
  <si>
    <t>AS verbale</t>
  </si>
  <si>
    <t>Target</t>
  </si>
  <si>
    <t>Condition target</t>
  </si>
  <si>
    <t>Réponse ?</t>
  </si>
  <si>
    <t>ImageDisplay2.ACC</t>
  </si>
  <si>
    <t>ImageDisplay2.RT</t>
  </si>
  <si>
    <t>non vivant</t>
  </si>
  <si>
    <t>vivant</t>
  </si>
  <si>
    <t>nonviv.mot13.bmp</t>
  </si>
  <si>
    <t>viv.mot5.bmp</t>
  </si>
  <si>
    <t>viv.mot26.bmp</t>
  </si>
  <si>
    <t>nonviv.mot16.bmp</t>
  </si>
  <si>
    <t>nonviv.mot10.bmp</t>
  </si>
  <si>
    <t>viv.mot7.bmp</t>
  </si>
  <si>
    <t>viv.mot8.bmp</t>
  </si>
  <si>
    <t>viv.mot6.bmp</t>
  </si>
  <si>
    <t>viv.mot15.bmp</t>
  </si>
  <si>
    <t>nonviv.mot15.bmp</t>
  </si>
  <si>
    <t>nonviv.mot14.bmp</t>
  </si>
  <si>
    <t>viv.mot14.bmp</t>
  </si>
  <si>
    <t>nonviv.mot9.bmp</t>
  </si>
  <si>
    <t>viv.mot11.bmp</t>
  </si>
  <si>
    <t>viv.mot9.bmp</t>
  </si>
  <si>
    <t>nonviv.mot17.bmp</t>
  </si>
  <si>
    <t>viv.mot18.bmp</t>
  </si>
  <si>
    <t>viv.mot17.bmp</t>
  </si>
  <si>
    <t>nonviv.mot19.bmp</t>
  </si>
  <si>
    <t>viv.mot25.bmp</t>
  </si>
  <si>
    <t>nonviv.mot8.bmp</t>
  </si>
  <si>
    <t>viv.mot24.bmp</t>
  </si>
  <si>
    <t>nonviv.mot11.bmp</t>
  </si>
  <si>
    <t>nonviv.mot18.bmp</t>
  </si>
  <si>
    <t>nonviv.mot7.bmp</t>
  </si>
  <si>
    <t>nonviv.mot12.bmp</t>
  </si>
  <si>
    <t>RT</t>
  </si>
  <si>
    <t>10.12.18</t>
  </si>
  <si>
    <t>Post 1</t>
  </si>
  <si>
    <t>RT :</t>
  </si>
  <si>
    <t>Post 2</t>
  </si>
  <si>
    <t>20.12.18</t>
  </si>
  <si>
    <t>nonviv.mot4.bmp</t>
  </si>
  <si>
    <t>viv.mot22.bmp</t>
  </si>
  <si>
    <t>nonviv.mot6.bmp</t>
  </si>
  <si>
    <t>nonviv.mot1.bmp</t>
  </si>
  <si>
    <t>nonviv.mot25.bmp</t>
  </si>
  <si>
    <t>viv.mot12.bmp</t>
  </si>
  <si>
    <t>nonviv.mot2.bmp</t>
  </si>
  <si>
    <t>nonviv.mot23.bmp</t>
  </si>
  <si>
    <t>nonviv.mot21.bmp</t>
  </si>
  <si>
    <t>nonviv.mot5.bmp</t>
  </si>
  <si>
    <t>viv.mot21.bmp</t>
  </si>
  <si>
    <t>nonviv.mot22.bmp</t>
  </si>
  <si>
    <t>viv.mot23.bmp</t>
  </si>
  <si>
    <t>nonviv.mot26.bmp</t>
  </si>
  <si>
    <t>nonviv.mot24.bmp</t>
  </si>
  <si>
    <t>viv.mot10.bmp</t>
  </si>
  <si>
    <t>viv.mot19.bmp</t>
  </si>
  <si>
    <t>viv.mot3.bmp</t>
  </si>
  <si>
    <t>nonviv.mot3.bmp</t>
  </si>
  <si>
    <t>viv.mot1.bmp</t>
  </si>
  <si>
    <t>viv.mot13.bmp</t>
  </si>
  <si>
    <t>viv.mot4.bmp</t>
  </si>
  <si>
    <t>viv.mot2.bmp</t>
  </si>
  <si>
    <t>viv.mot16.bmp</t>
  </si>
  <si>
    <t>viv.mot20.bmp</t>
  </si>
  <si>
    <t>nonviv.mot20.bmp</t>
  </si>
  <si>
    <t>INC</t>
  </si>
  <si>
    <t>Post- 1</t>
  </si>
  <si>
    <t>Post- 2</t>
  </si>
  <si>
    <t>AS verbale RT</t>
  </si>
  <si>
    <t>Post-2</t>
  </si>
  <si>
    <t>AS verbale /26</t>
  </si>
  <si>
    <t>AS visuelle</t>
  </si>
  <si>
    <t>nonviv11.bmp</t>
  </si>
  <si>
    <t>nonviv13.bmp</t>
  </si>
  <si>
    <t>viv18.bmp</t>
  </si>
  <si>
    <t>viv6.bmp</t>
  </si>
  <si>
    <t>nonviv18.bmp</t>
  </si>
  <si>
    <t>nonviv10.bmp</t>
  </si>
  <si>
    <t>nonviv8.bmp</t>
  </si>
  <si>
    <t>viv8.bmp</t>
  </si>
  <si>
    <t>nonviv17.bmp</t>
  </si>
  <si>
    <t>nonviv12.bmp</t>
  </si>
  <si>
    <t>nonviv14.bmp</t>
  </si>
  <si>
    <t>viv25.bmp</t>
  </si>
  <si>
    <t>viv26.bmp</t>
  </si>
  <si>
    <t>viv11.bmp</t>
  </si>
  <si>
    <t>nonviv19.bmp</t>
  </si>
  <si>
    <t>viv9.bmp</t>
  </si>
  <si>
    <t>nonviv9.bmp</t>
  </si>
  <si>
    <t>viv14.bmp</t>
  </si>
  <si>
    <t>viv24.bmp</t>
  </si>
  <si>
    <t>viv17.bmp</t>
  </si>
  <si>
    <t>nonviv16.bmp</t>
  </si>
  <si>
    <t>nonviv15.bmp</t>
  </si>
  <si>
    <t>viv7.bmp</t>
  </si>
  <si>
    <t>viv15.bmp</t>
  </si>
  <si>
    <t>viv5.bmp</t>
  </si>
  <si>
    <t>nonviv7.bmp</t>
  </si>
  <si>
    <t xml:space="preserve">RT </t>
  </si>
  <si>
    <t>Post - 1</t>
  </si>
  <si>
    <t>10.12.2018</t>
  </si>
  <si>
    <t>Post - 2</t>
  </si>
  <si>
    <t>20.12.2018</t>
  </si>
  <si>
    <t>nonviv2.bmp</t>
  </si>
  <si>
    <t>viv2.bmp</t>
  </si>
  <si>
    <t>viv12.bmp</t>
  </si>
  <si>
    <t>viv23.bmp</t>
  </si>
  <si>
    <t>viv4.bmp</t>
  </si>
  <si>
    <t>viv21.bmp</t>
  </si>
  <si>
    <t>nonviv21.bmp</t>
  </si>
  <si>
    <t>nonviv5.bmp</t>
  </si>
  <si>
    <t>viv22.bmp</t>
  </si>
  <si>
    <t>viv20.bmp</t>
  </si>
  <si>
    <t>viv19.bmp</t>
  </si>
  <si>
    <t>nonviv26.bmp</t>
  </si>
  <si>
    <t>nonviv22.bmp</t>
  </si>
  <si>
    <t>viv13.bmp</t>
  </si>
  <si>
    <t>nonviv6.bmp</t>
  </si>
  <si>
    <t>nonviv23.bmp</t>
  </si>
  <si>
    <t>viv3.bmp</t>
  </si>
  <si>
    <t>nonviv1.bmp</t>
  </si>
  <si>
    <t>nonviv4.bmp</t>
  </si>
  <si>
    <t>nonviv24.bmp</t>
  </si>
  <si>
    <t>viv1.bmp</t>
  </si>
  <si>
    <t>nonviv20.bmp</t>
  </si>
  <si>
    <t>viv10.bmp</t>
  </si>
  <si>
    <t>viv16.bmp</t>
  </si>
  <si>
    <t>nonviv3.bmp</t>
  </si>
  <si>
    <t>nonviv25.bmp</t>
  </si>
  <si>
    <t>AS Visuelle/26</t>
  </si>
  <si>
    <t>Post-1</t>
  </si>
  <si>
    <t>AS Visuelle RT</t>
  </si>
  <si>
    <t xml:space="preserve">pommes de terre </t>
  </si>
  <si>
    <t xml:space="preserve">salade verte </t>
  </si>
  <si>
    <t>concombres</t>
  </si>
  <si>
    <t>tomates</t>
  </si>
  <si>
    <t>avocats</t>
  </si>
  <si>
    <t>carottes</t>
  </si>
  <si>
    <t>rose</t>
  </si>
  <si>
    <t>tulipe</t>
  </si>
  <si>
    <t>Score 6</t>
  </si>
  <si>
    <t>Mot22v1.tif</t>
  </si>
  <si>
    <t>Mot12v1.tif</t>
  </si>
  <si>
    <t>Mot7v2.tif</t>
  </si>
  <si>
    <t>Mot20v1.tif</t>
  </si>
  <si>
    <t>Mot26v1.tif</t>
  </si>
  <si>
    <t>Mot23v2.tif</t>
  </si>
  <si>
    <t>Mot21v1.tif</t>
  </si>
  <si>
    <t>Mot1v1.tif</t>
  </si>
  <si>
    <t>Mot3v2.tif</t>
  </si>
  <si>
    <t>Mot7v1.tif</t>
  </si>
  <si>
    <t>Mot6v1.tif</t>
  </si>
  <si>
    <t>Mot18v2.tif</t>
  </si>
  <si>
    <t>Mot4v1.tif</t>
  </si>
  <si>
    <t>Mot8v1.tif</t>
  </si>
  <si>
    <t>Mot10v2.tif</t>
  </si>
  <si>
    <t>Mot14v1.tif</t>
  </si>
  <si>
    <t>Mot17v1.tif</t>
  </si>
  <si>
    <t>Mot16v2.tif</t>
  </si>
  <si>
    <t>Mot5v1.tif</t>
  </si>
  <si>
    <t>Mot22v2.tif</t>
  </si>
  <si>
    <t>Mot13v1.tif</t>
  </si>
  <si>
    <t>Mot23v1.tif</t>
  </si>
  <si>
    <t>Mot17v2.tif</t>
  </si>
  <si>
    <t>Mot9v1.tif</t>
  </si>
  <si>
    <t>Mot15v1.tif</t>
  </si>
  <si>
    <t>Mot1v2.tif</t>
  </si>
  <si>
    <t>Mot8v2.tif</t>
  </si>
  <si>
    <t>Mot25v1.tif</t>
  </si>
  <si>
    <t>Mot9v2.tif</t>
  </si>
  <si>
    <t>Mot3v1.tif</t>
  </si>
  <si>
    <t>Mot19v1.tif</t>
  </si>
  <si>
    <t>Mot11v2.tif</t>
  </si>
  <si>
    <t>Mot16v1.tif</t>
  </si>
  <si>
    <t>Mot21v2.tif</t>
  </si>
  <si>
    <t>Mot2v2.tif</t>
  </si>
  <si>
    <t>Mot14v2.tif</t>
  </si>
  <si>
    <t>Mot11v1.tif</t>
  </si>
  <si>
    <t>Mot26v2.tif</t>
  </si>
  <si>
    <t>Mot15v2.tif</t>
  </si>
  <si>
    <t>Mot10v1.tif</t>
  </si>
  <si>
    <t>Mot25v2.tif</t>
  </si>
  <si>
    <t>Mot24v1.tif</t>
  </si>
  <si>
    <t>Mot12v2.tif</t>
  </si>
  <si>
    <t>Mot19v2.tif</t>
  </si>
  <si>
    <t>Mot18v1.tif</t>
  </si>
  <si>
    <t>Mot20v2.tif</t>
  </si>
  <si>
    <t>Mot5v2.tif</t>
  </si>
  <si>
    <t>Mot2v1.tif</t>
  </si>
  <si>
    <t>Mot24v2.tif</t>
  </si>
  <si>
    <t>Mot6v2.tif</t>
  </si>
  <si>
    <t>Mot4v2.tif</t>
  </si>
  <si>
    <t>Mot13v2.tif</t>
  </si>
  <si>
    <t>Fig25v1.tif</t>
  </si>
  <si>
    <t>Fig21v1.tif</t>
  </si>
  <si>
    <t>Fig8v1.tif</t>
  </si>
  <si>
    <t>Fig23v1.tif</t>
  </si>
  <si>
    <t>Fig20v1.tif</t>
  </si>
  <si>
    <t>Fig3v1.tif</t>
  </si>
  <si>
    <t>Fig6v1.tif</t>
  </si>
  <si>
    <t>Fig2v1.tif</t>
  </si>
  <si>
    <t>Fig22v1.tif</t>
  </si>
  <si>
    <t>Fig18v1.tif</t>
  </si>
  <si>
    <t>Fig1v1.tif</t>
  </si>
  <si>
    <t>Fig9v1.tif</t>
  </si>
  <si>
    <t>Fig16v1.tif</t>
  </si>
  <si>
    <t>Fig13v1.tif</t>
  </si>
  <si>
    <t>Fig15v1.tif</t>
  </si>
  <si>
    <t>Fig26v1.tif</t>
  </si>
  <si>
    <t>Fig5v1.tif</t>
  </si>
  <si>
    <t>Fig11v1.tif</t>
  </si>
  <si>
    <t>Fig12v1.tif</t>
  </si>
  <si>
    <t>Fig24v1.tif</t>
  </si>
  <si>
    <t>Fig7v1.tif</t>
  </si>
  <si>
    <t>Fig10v1.tif</t>
  </si>
  <si>
    <t>Fig17v1.tif</t>
  </si>
  <si>
    <t>Fig4v1.tif</t>
  </si>
  <si>
    <t>Fig14v1.tif</t>
  </si>
  <si>
    <t>Fig19v1.tif</t>
  </si>
  <si>
    <t>EXE verb.</t>
  </si>
  <si>
    <t>EXE verb</t>
  </si>
  <si>
    <t>Exe verb</t>
  </si>
  <si>
    <t>EXE verb RT</t>
  </si>
  <si>
    <t>EXE visu</t>
  </si>
  <si>
    <t>Fig16v2.tif</t>
  </si>
  <si>
    <t>Fig3v2.tif</t>
  </si>
  <si>
    <t>Fig5v2.tif</t>
  </si>
  <si>
    <t>Fig7v2.tif</t>
  </si>
  <si>
    <t>Fig14v2.tif</t>
  </si>
  <si>
    <t>Fig24v2.tif</t>
  </si>
  <si>
    <t>Fig15v2.tif</t>
  </si>
  <si>
    <t>Fig4v2.tif</t>
  </si>
  <si>
    <t>Fig1v2.tif</t>
  </si>
  <si>
    <t>Fig6v2.tif</t>
  </si>
  <si>
    <t>Fig9v2.tif</t>
  </si>
  <si>
    <t>Fig22v2.tif</t>
  </si>
  <si>
    <t>Fig17v2.tif</t>
  </si>
  <si>
    <t>Fig2v2.tif</t>
  </si>
  <si>
    <t>Fig25v2.tif</t>
  </si>
  <si>
    <t>Fig20v2.tif</t>
  </si>
  <si>
    <t>Fig23v2.tif</t>
  </si>
  <si>
    <t>Fig10v2.tif</t>
  </si>
  <si>
    <t>Fig21v2.tif</t>
  </si>
  <si>
    <t>Fig26v2.tif</t>
  </si>
  <si>
    <t>Fig11v2.tif</t>
  </si>
  <si>
    <t>Fig18v2.tif</t>
  </si>
  <si>
    <t>Fig8v2.tif</t>
  </si>
  <si>
    <t>Fig12v2.tif</t>
  </si>
  <si>
    <t>Fig13v2.tif</t>
  </si>
  <si>
    <t>Fig19v2.tif</t>
  </si>
  <si>
    <t xml:space="preserve">bis </t>
  </si>
  <si>
    <t>EXE visu RT</t>
  </si>
  <si>
    <t>FLU Cat</t>
  </si>
  <si>
    <t>BIP / 14</t>
  </si>
  <si>
    <t>FLUENCE litérale</t>
  </si>
  <si>
    <t xml:space="preserve">Dénomination </t>
  </si>
  <si>
    <r>
      <t>Score  :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/40</t>
    </r>
  </si>
  <si>
    <t xml:space="preserve">absence de réponse : </t>
  </si>
  <si>
    <t xml:space="preserve">erreurs : </t>
  </si>
  <si>
    <t>Status</t>
  </si>
  <si>
    <t>Stimulus</t>
  </si>
  <si>
    <t>Slide1.ACC</t>
  </si>
  <si>
    <t>Slide1.RT</t>
  </si>
  <si>
    <t>Réponse</t>
  </si>
  <si>
    <t xml:space="preserve"> R après coup</t>
  </si>
  <si>
    <t>SCORE : bonne réponse</t>
  </si>
  <si>
    <t>papillon</t>
  </si>
  <si>
    <t>livre</t>
  </si>
  <si>
    <t>tortue</t>
  </si>
  <si>
    <t>chat</t>
  </si>
  <si>
    <t>téléphone</t>
  </si>
  <si>
    <t>éléphant</t>
  </si>
  <si>
    <t>abeille</t>
  </si>
  <si>
    <t>panda</t>
  </si>
  <si>
    <t>piano</t>
  </si>
  <si>
    <t>fait le geste !</t>
  </si>
  <si>
    <t>ampoule</t>
  </si>
  <si>
    <t>serpent</t>
  </si>
  <si>
    <t>hélicoptère</t>
  </si>
  <si>
    <t>flèche</t>
  </si>
  <si>
    <t>guitare</t>
  </si>
  <si>
    <t>écureuil</t>
  </si>
  <si>
    <t>ananas</t>
  </si>
  <si>
    <t>escargot</t>
  </si>
  <si>
    <t>fourchette</t>
  </si>
  <si>
    <t>seringue</t>
  </si>
  <si>
    <t>fait le geste</t>
  </si>
  <si>
    <t>cactus</t>
  </si>
  <si>
    <t>raisin</t>
  </si>
  <si>
    <t>cadenas</t>
  </si>
  <si>
    <t>zèbre</t>
  </si>
  <si>
    <t>le lion</t>
  </si>
  <si>
    <t>pour peser</t>
  </si>
  <si>
    <t>fleur</t>
  </si>
  <si>
    <r>
      <t xml:space="preserve">dauphin ou </t>
    </r>
    <r>
      <rPr>
        <sz val="11"/>
        <color rgb="FFFF0000"/>
        <rFont val="Calibri"/>
        <family val="2"/>
        <scheme val="minor"/>
      </rPr>
      <t xml:space="preserve">balaine </t>
    </r>
  </si>
  <si>
    <t>marteau</t>
  </si>
  <si>
    <t>lunettes</t>
  </si>
  <si>
    <t xml:space="preserve">escargot </t>
  </si>
  <si>
    <t>iglo</t>
  </si>
  <si>
    <t>poubelle</t>
  </si>
  <si>
    <t>Post -1</t>
  </si>
  <si>
    <t>parterre</t>
  </si>
  <si>
    <t>parcours</t>
  </si>
  <si>
    <t>partie</t>
  </si>
  <si>
    <t>parasol</t>
  </si>
  <si>
    <t>pure</t>
  </si>
  <si>
    <t>poireau</t>
  </si>
  <si>
    <t>prévoir</t>
  </si>
  <si>
    <t>prédire</t>
  </si>
  <si>
    <t xml:space="preserve">Score </t>
  </si>
  <si>
    <t>Post -2</t>
  </si>
  <si>
    <t>caméra</t>
  </si>
  <si>
    <t>champion</t>
  </si>
  <si>
    <t>courges</t>
  </si>
  <si>
    <t>cratère</t>
  </si>
  <si>
    <t>corbeille</t>
  </si>
  <si>
    <t>FLU lit.</t>
  </si>
  <si>
    <t>Dénomination categorielle</t>
  </si>
  <si>
    <t>Score 39/40</t>
  </si>
  <si>
    <t>TextDisplay2.ACC</t>
  </si>
  <si>
    <t>TextDisplay2.RT</t>
  </si>
  <si>
    <t>manmade</t>
  </si>
  <si>
    <t>living</t>
  </si>
  <si>
    <t>parachute</t>
  </si>
  <si>
    <t>agneau</t>
  </si>
  <si>
    <t>hippocampe</t>
  </si>
  <si>
    <t>bocal</t>
  </si>
  <si>
    <t>ballon</t>
  </si>
  <si>
    <t xml:space="preserve">crevette </t>
  </si>
  <si>
    <t>dauphin</t>
  </si>
  <si>
    <t>balançoire</t>
  </si>
  <si>
    <t>enclume</t>
  </si>
  <si>
    <t>cerf</t>
  </si>
  <si>
    <t>blatte</t>
  </si>
  <si>
    <t>entonnoir</t>
  </si>
  <si>
    <t>barbecue</t>
  </si>
  <si>
    <t>cloche</t>
  </si>
  <si>
    <t>compas</t>
  </si>
  <si>
    <t>éventail</t>
  </si>
  <si>
    <t>élan</t>
  </si>
  <si>
    <t>baleine</t>
  </si>
  <si>
    <t>buffle</t>
  </si>
  <si>
    <t>paon</t>
  </si>
  <si>
    <t>boussole</t>
  </si>
  <si>
    <t>grenouille</t>
  </si>
  <si>
    <t>cygne</t>
  </si>
  <si>
    <t>bassine</t>
  </si>
  <si>
    <t>hamac</t>
  </si>
  <si>
    <t>landau</t>
  </si>
  <si>
    <t xml:space="preserve">huître </t>
  </si>
  <si>
    <t>cymbales</t>
  </si>
  <si>
    <t>luge</t>
  </si>
  <si>
    <t xml:space="preserve">colombe </t>
  </si>
  <si>
    <t>bouilloire</t>
  </si>
  <si>
    <t>accordéon</t>
  </si>
  <si>
    <t>fourmilier</t>
  </si>
  <si>
    <t>hippopotame</t>
  </si>
  <si>
    <t xml:space="preserve">lionceau </t>
  </si>
  <si>
    <t xml:space="preserve">hérisson </t>
  </si>
  <si>
    <t>poisson</t>
  </si>
  <si>
    <t>hyène</t>
  </si>
  <si>
    <t>église</t>
  </si>
  <si>
    <t xml:space="preserve">taupe </t>
  </si>
  <si>
    <t>toupie</t>
  </si>
  <si>
    <t>kangourou</t>
  </si>
  <si>
    <t>rhinocéros</t>
  </si>
  <si>
    <t>toucan</t>
  </si>
  <si>
    <t>igloo</t>
  </si>
  <si>
    <t>télescope</t>
  </si>
  <si>
    <t>lime</t>
  </si>
  <si>
    <t xml:space="preserve">pigeon </t>
  </si>
  <si>
    <t>saxophone</t>
  </si>
  <si>
    <t>stéthoscope</t>
  </si>
  <si>
    <t>autruche</t>
  </si>
  <si>
    <t xml:space="preserve">oie </t>
  </si>
  <si>
    <t>sauterelle</t>
  </si>
  <si>
    <t>tambourin</t>
  </si>
  <si>
    <t>hélice</t>
  </si>
  <si>
    <t>pichet</t>
  </si>
  <si>
    <t>léopard</t>
  </si>
  <si>
    <t xml:space="preserve">moustique </t>
  </si>
  <si>
    <t>méduse</t>
  </si>
  <si>
    <t>koala</t>
  </si>
  <si>
    <t>spatule</t>
  </si>
  <si>
    <t>mouche</t>
  </si>
  <si>
    <t>poêle</t>
  </si>
  <si>
    <t>chèvre</t>
  </si>
  <si>
    <t>sifflet</t>
  </si>
  <si>
    <t>microscope</t>
  </si>
  <si>
    <t>puits</t>
  </si>
  <si>
    <t>tondeuse</t>
  </si>
  <si>
    <t xml:space="preserve">poussin </t>
  </si>
  <si>
    <t xml:space="preserve">limace </t>
  </si>
  <si>
    <t>fouet</t>
  </si>
  <si>
    <t>chaîne</t>
  </si>
  <si>
    <t>cor</t>
  </si>
  <si>
    <t>coq</t>
  </si>
  <si>
    <t>Dc /40</t>
  </si>
  <si>
    <t>Dc RT</t>
  </si>
  <si>
    <t>ANCHOR.bmp</t>
  </si>
  <si>
    <t>épée</t>
  </si>
  <si>
    <t>ancre</t>
  </si>
  <si>
    <t>PANTS.bmp</t>
  </si>
  <si>
    <t>CRAB.bmp</t>
  </si>
  <si>
    <t>SWAN.bmp</t>
  </si>
  <si>
    <t>MUSHROOM.bmp</t>
  </si>
  <si>
    <t>BEAR.bmp</t>
  </si>
  <si>
    <t>CANDLE.bmp</t>
  </si>
  <si>
    <t>FAUCET.bmp</t>
  </si>
  <si>
    <t>BINOCULA.bmp</t>
  </si>
  <si>
    <t>HANGER.bmp</t>
  </si>
  <si>
    <t>BROOM.bmp</t>
  </si>
  <si>
    <t>HARP.bmp</t>
  </si>
  <si>
    <t>MOTORCYC.bmp</t>
  </si>
  <si>
    <t>OSTRICH.bmp</t>
  </si>
  <si>
    <t>KANGAROO.bmp</t>
  </si>
  <si>
    <t>AXE.bmp</t>
  </si>
  <si>
    <t>CIGAR.bmp</t>
  </si>
  <si>
    <t>WHALE.bmp</t>
  </si>
  <si>
    <t>DEER.bmp</t>
  </si>
  <si>
    <t>CARROT.bmp</t>
  </si>
  <si>
    <t>BRUSH.bmp</t>
  </si>
  <si>
    <t>GIRAFFE.bmp</t>
  </si>
  <si>
    <t>RABBIT.bmp</t>
  </si>
  <si>
    <t>PEAR.bmp</t>
  </si>
  <si>
    <t>SHARK.bmp</t>
  </si>
  <si>
    <t>WHISTLE.bmp</t>
  </si>
  <si>
    <t>TABLE.bmp</t>
  </si>
  <si>
    <t>TIGER.bmp</t>
  </si>
  <si>
    <t>HIPPOPOT.bmp</t>
  </si>
  <si>
    <t>VIOLIN.bmp</t>
  </si>
  <si>
    <t>SWING.bmp</t>
  </si>
  <si>
    <t>PEANUT.bmp</t>
  </si>
  <si>
    <t>HORSE.bmp</t>
  </si>
  <si>
    <t>RHINOCER.bmp</t>
  </si>
  <si>
    <t>CROWN.bmp</t>
  </si>
  <si>
    <t>SCORPION.bmp</t>
  </si>
  <si>
    <t>PYRAMID.bmp</t>
  </si>
  <si>
    <t xml:space="preserve"> GLASS.bmp</t>
  </si>
  <si>
    <t>APPLE.bmp</t>
  </si>
  <si>
    <t xml:space="preserve"> PIPE.bmp</t>
  </si>
  <si>
    <t>pantalon</t>
  </si>
  <si>
    <t>patite bestiole</t>
  </si>
  <si>
    <t>un cygne</t>
  </si>
  <si>
    <t>champignon</t>
  </si>
  <si>
    <t>bougie</t>
  </si>
  <si>
    <t>levier</t>
  </si>
  <si>
    <t>robinet</t>
  </si>
  <si>
    <t>jumelles</t>
  </si>
  <si>
    <t>cintre</t>
  </si>
  <si>
    <t>balai</t>
  </si>
  <si>
    <t>c'est pas une guitare je ne sais plus comment ça s'appelle</t>
  </si>
  <si>
    <t>moto</t>
  </si>
  <si>
    <t>ça commence par un H</t>
  </si>
  <si>
    <t>un crayon</t>
  </si>
  <si>
    <t>balaine</t>
  </si>
  <si>
    <t>quel poisson je ne sais pas</t>
  </si>
  <si>
    <t>carotte</t>
  </si>
  <si>
    <t>le mari de la biche</t>
  </si>
  <si>
    <t>une brosse</t>
  </si>
  <si>
    <t>la giraffe</t>
  </si>
  <si>
    <t>un petit lapin</t>
  </si>
  <si>
    <t>poire</t>
  </si>
  <si>
    <t>quel oiseau c'est ….un dauphin</t>
  </si>
  <si>
    <t>table</t>
  </si>
  <si>
    <t>un zèbre ça ressemble à un zèbre</t>
  </si>
  <si>
    <t xml:space="preserve">dauphin </t>
  </si>
  <si>
    <t>violon</t>
  </si>
  <si>
    <t>une balançoire</t>
  </si>
  <si>
    <t>fruit ou un légume</t>
  </si>
  <si>
    <t>cacahuète</t>
  </si>
  <si>
    <t>une vache, non le bœuf, non le cheval</t>
  </si>
  <si>
    <t>couronne</t>
  </si>
  <si>
    <t xml:space="preserve">le verre </t>
  </si>
  <si>
    <t>une pomme</t>
  </si>
  <si>
    <t>une flutte pour fumer</t>
  </si>
  <si>
    <t>PIPE.bmp</t>
  </si>
  <si>
    <t xml:space="preserve"> SWAN.bmp</t>
  </si>
  <si>
    <t>GLASS.bmp</t>
  </si>
  <si>
    <t>un instument de musique</t>
  </si>
  <si>
    <t>un petit poisson, c'est pas une balaine</t>
  </si>
  <si>
    <t>une poire</t>
  </si>
  <si>
    <t>hache</t>
  </si>
  <si>
    <t xml:space="preserve">une pelle </t>
  </si>
  <si>
    <t>la brosse</t>
  </si>
  <si>
    <t>je ne sais pas ce que c'est, c'est un légume</t>
  </si>
  <si>
    <t>c'est un oiseau…pas un oiseau</t>
  </si>
  <si>
    <t>une balai</t>
  </si>
  <si>
    <t>une carotte</t>
  </si>
  <si>
    <t>chais pas</t>
  </si>
  <si>
    <t>cheval</t>
  </si>
  <si>
    <t>chais plus</t>
  </si>
  <si>
    <t>c'est pas une biche c'est un</t>
  </si>
  <si>
    <t>un pantalon</t>
  </si>
  <si>
    <t>una balançoire</t>
  </si>
  <si>
    <t>artichaut</t>
  </si>
  <si>
    <t>une euh, roi met le ….</t>
  </si>
  <si>
    <t>ça commence par un K</t>
  </si>
  <si>
    <t>pour fumer</t>
  </si>
  <si>
    <t>la cygogne ches pas</t>
  </si>
  <si>
    <t>une moto</t>
  </si>
  <si>
    <t>giraffe</t>
  </si>
  <si>
    <t>le violon</t>
  </si>
  <si>
    <t>je ne sais pas qui c'est lui</t>
  </si>
  <si>
    <t>un verre</t>
  </si>
  <si>
    <t>c'est le truc pour fumer ça une ci, cigarette</t>
  </si>
  <si>
    <t>pyramide</t>
  </si>
  <si>
    <t xml:space="preserve">le euh </t>
  </si>
  <si>
    <t>Dén /40</t>
  </si>
  <si>
    <t>EXE verb /26</t>
  </si>
  <si>
    <t>Post 3</t>
  </si>
  <si>
    <t>08.04.18</t>
  </si>
  <si>
    <t>Post - 3</t>
  </si>
  <si>
    <t>Post -3</t>
  </si>
  <si>
    <t>Post- 3</t>
  </si>
  <si>
    <t>Post-3</t>
  </si>
  <si>
    <t>Post 3 (Bilan 4)</t>
  </si>
  <si>
    <t>08.04.2019</t>
  </si>
  <si>
    <t>cacaouhettes</t>
  </si>
  <si>
    <t>chemise</t>
  </si>
  <si>
    <t>carnet</t>
  </si>
  <si>
    <t>crime</t>
  </si>
  <si>
    <t>criminel</t>
  </si>
  <si>
    <t>courge</t>
  </si>
  <si>
    <t>calories</t>
  </si>
  <si>
    <t>pommes de terre</t>
  </si>
  <si>
    <t xml:space="preserve">fleurs </t>
  </si>
  <si>
    <t>tulippes</t>
  </si>
  <si>
    <t>Text</t>
  </si>
  <si>
    <t xml:space="preserve">API </t>
  </si>
  <si>
    <t>API</t>
  </si>
  <si>
    <t>irregulier</t>
  </si>
  <si>
    <t>faisan</t>
  </si>
  <si>
    <t>non mot</t>
  </si>
  <si>
    <t>vakou</t>
  </si>
  <si>
    <t>spune</t>
  </si>
  <si>
    <t>wagon</t>
  </si>
  <si>
    <t>Lecture</t>
  </si>
  <si>
    <t>regulier</t>
  </si>
  <si>
    <t>manioc</t>
  </si>
  <si>
    <t>pouliche</t>
  </si>
  <si>
    <t>quartz</t>
  </si>
  <si>
    <t>mythe</t>
  </si>
  <si>
    <t>locrume</t>
  </si>
  <si>
    <t>coualte</t>
  </si>
  <si>
    <t>contact</t>
  </si>
  <si>
    <t>sagon</t>
  </si>
  <si>
    <t>koumilié</t>
  </si>
  <si>
    <t>41/45</t>
  </si>
  <si>
    <t>arkiton</t>
  </si>
  <si>
    <t>kiosque</t>
  </si>
  <si>
    <t>satus</t>
  </si>
  <si>
    <t>jaguar</t>
  </si>
  <si>
    <t>figoir</t>
  </si>
  <si>
    <t>monsieur</t>
  </si>
  <si>
    <t>dompteur</t>
  </si>
  <si>
    <t>consul</t>
  </si>
  <si>
    <t>mirsane</t>
  </si>
  <si>
    <t>bitume</t>
  </si>
  <si>
    <t>houle</t>
  </si>
  <si>
    <t>ochisse</t>
  </si>
  <si>
    <t>vatreuil</t>
  </si>
  <si>
    <t>crofilu</t>
  </si>
  <si>
    <t>iguane</t>
  </si>
  <si>
    <t>pied</t>
  </si>
  <si>
    <t>caspau</t>
  </si>
  <si>
    <t>pendentif</t>
  </si>
  <si>
    <t>chapelure</t>
  </si>
  <si>
    <t>répoune</t>
  </si>
  <si>
    <t>couguar</t>
  </si>
  <si>
    <t>emmenthal</t>
  </si>
  <si>
    <t>saoul</t>
  </si>
  <si>
    <t>chêne</t>
  </si>
  <si>
    <t>ubron</t>
  </si>
  <si>
    <t>languette</t>
  </si>
  <si>
    <t>respect</t>
  </si>
  <si>
    <t>izome</t>
  </si>
  <si>
    <t>bloc</t>
  </si>
  <si>
    <t>balcon</t>
  </si>
  <si>
    <t>astrigon</t>
  </si>
  <si>
    <t>outil</t>
  </si>
  <si>
    <t>choeur</t>
  </si>
  <si>
    <t>pouls</t>
  </si>
  <si>
    <t>noumiste</t>
  </si>
  <si>
    <t>charisme</t>
  </si>
  <si>
    <t>tronc</t>
  </si>
  <si>
    <t>pentagone</t>
  </si>
  <si>
    <t>achupe</t>
  </si>
  <si>
    <t>galop</t>
  </si>
  <si>
    <t>lichen</t>
  </si>
  <si>
    <t>service</t>
  </si>
  <si>
    <t>covric</t>
  </si>
  <si>
    <t>ciel</t>
  </si>
  <si>
    <t>réflexion</t>
  </si>
  <si>
    <t>géranium</t>
  </si>
  <si>
    <t>porche</t>
  </si>
  <si>
    <t>bec</t>
  </si>
  <si>
    <t>légume</t>
  </si>
  <si>
    <t>oignon</t>
  </si>
  <si>
    <t>instinct</t>
  </si>
  <si>
    <t>amachile</t>
  </si>
  <si>
    <t>sculpture</t>
  </si>
  <si>
    <t>tabac</t>
  </si>
  <si>
    <t>équation</t>
  </si>
  <si>
    <t>square</t>
  </si>
  <si>
    <t>aric</t>
  </si>
  <si>
    <t>pintatine</t>
  </si>
  <si>
    <t>chlore</t>
  </si>
  <si>
    <t>sédiment</t>
  </si>
  <si>
    <t>oisillon</t>
  </si>
  <si>
    <t>reliquat</t>
  </si>
  <si>
    <t>vapou</t>
  </si>
  <si>
    <t>tonguelle</t>
  </si>
  <si>
    <t>laitue</t>
  </si>
  <si>
    <t>estomac</t>
  </si>
  <si>
    <t>volupté</t>
  </si>
  <si>
    <t>marecte</t>
  </si>
  <si>
    <t>pougo</t>
  </si>
  <si>
    <t>orchidée</t>
  </si>
  <si>
    <t>dolcon</t>
  </si>
  <si>
    <t>lecture</t>
  </si>
  <si>
    <t>flanc</t>
  </si>
  <si>
    <t>clef</t>
  </si>
  <si>
    <t>paltice</t>
  </si>
  <si>
    <t>colume</t>
  </si>
  <si>
    <r>
      <t>f</t>
    </r>
    <r>
      <rPr>
        <sz val="11"/>
        <color theme="1"/>
        <rFont val="Calibri"/>
        <family val="2"/>
      </rPr>
      <t>εzᾰ</t>
    </r>
  </si>
  <si>
    <r>
      <t>a</t>
    </r>
    <r>
      <rPr>
        <sz val="11"/>
        <color theme="1"/>
        <rFont val="Calibri"/>
        <family val="2"/>
      </rPr>
      <t>ᴚi</t>
    </r>
  </si>
  <si>
    <r>
      <t>p</t>
    </r>
    <r>
      <rPr>
        <sz val="11"/>
        <color theme="1"/>
        <rFont val="Calibri"/>
        <family val="2"/>
      </rPr>
      <t>ἕtanin</t>
    </r>
  </si>
  <si>
    <r>
      <t>p</t>
    </r>
    <r>
      <rPr>
        <sz val="11"/>
        <color theme="1"/>
        <rFont val="Calibri"/>
        <family val="2"/>
      </rPr>
      <t>εltis</t>
    </r>
  </si>
  <si>
    <t>sul</t>
  </si>
  <si>
    <t>pul</t>
  </si>
  <si>
    <t>43/45</t>
  </si>
  <si>
    <t>εmatal</t>
  </si>
  <si>
    <t>patiente pressée bilan raccourci</t>
  </si>
  <si>
    <t>à vérifier</t>
  </si>
  <si>
    <t>non living</t>
  </si>
  <si>
    <t>KOALA.bmp</t>
  </si>
  <si>
    <t>BUTTERFL.bmp</t>
  </si>
  <si>
    <t>PENGUIN.bmp</t>
  </si>
  <si>
    <t>BOOK.bmp</t>
  </si>
  <si>
    <t>TURTLE.bmp</t>
  </si>
  <si>
    <t>CAT.bmp</t>
  </si>
  <si>
    <t>TELEPHON.bmp</t>
  </si>
  <si>
    <t>ELEPHANT.bmp</t>
  </si>
  <si>
    <t>SPIDER.bmp</t>
  </si>
  <si>
    <t>PANDA.bmp</t>
  </si>
  <si>
    <t>THERMOME.bmp</t>
  </si>
  <si>
    <t>PIANO.bmp</t>
  </si>
  <si>
    <t>SAW.bmp</t>
  </si>
  <si>
    <t>LIGHTBUL.bmp</t>
  </si>
  <si>
    <t>SNAKE.bmp</t>
  </si>
  <si>
    <t>HELICOPT.bmp</t>
  </si>
  <si>
    <t>MICROSCO.bmp</t>
  </si>
  <si>
    <t>ARROW.bmp</t>
  </si>
  <si>
    <t>GUITAR.bmp</t>
  </si>
  <si>
    <t>SQUIRREL.bmp</t>
  </si>
  <si>
    <t>PINEAPPL.bmp</t>
  </si>
  <si>
    <t>ARTICHOK.bmp</t>
  </si>
  <si>
    <t>FORK.bmp</t>
  </si>
  <si>
    <t>SYRINGE.bmp</t>
  </si>
  <si>
    <t>BELL.bmp</t>
  </si>
  <si>
    <t>CACTUS.bmp</t>
  </si>
  <si>
    <t>GRAPES.bmp</t>
  </si>
  <si>
    <t>LOCK.bmp</t>
  </si>
  <si>
    <t>ZEBRA.bmp</t>
  </si>
  <si>
    <t>FISH.bmp</t>
  </si>
  <si>
    <t>LION.bmp</t>
  </si>
  <si>
    <t>SCALE.bmp</t>
  </si>
  <si>
    <t>FLOWER.bmp</t>
  </si>
  <si>
    <t>DOLPHIN.bmp</t>
  </si>
  <si>
    <t>HAMMER.bmp</t>
  </si>
  <si>
    <t>WINDMILL.bmp</t>
  </si>
  <si>
    <t>GLASSES.bmp</t>
  </si>
  <si>
    <t>SNAIL.bmp</t>
  </si>
  <si>
    <t>IGLOO.bmp</t>
  </si>
  <si>
    <t>GARBAGEC.bmp</t>
  </si>
  <si>
    <t>Post 4</t>
  </si>
  <si>
    <t>08.04.19</t>
  </si>
  <si>
    <t>condtarget</t>
  </si>
  <si>
    <t>target</t>
  </si>
  <si>
    <t>27.09.2021</t>
  </si>
  <si>
    <t xml:space="preserve">Identification : </t>
  </si>
  <si>
    <t>Examen Clinique :</t>
  </si>
  <si>
    <t>Langage :</t>
  </si>
  <si>
    <t xml:space="preserve">ECRF </t>
  </si>
  <si>
    <t>examen neurologique élémentaire</t>
  </si>
  <si>
    <t>Echelle de sévérité de l'aphasie (BDAE)</t>
  </si>
  <si>
    <t>base de données EXCEL</t>
  </si>
  <si>
    <t>praxies idéo-motrices</t>
  </si>
  <si>
    <t>anonimisation imagerie</t>
  </si>
  <si>
    <t>fonctions executives</t>
  </si>
  <si>
    <t>DO 80 Score</t>
  </si>
  <si>
    <t>mémoire épisodique</t>
  </si>
  <si>
    <t>paraphasie sémantiques</t>
  </si>
  <si>
    <t>sexe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</si>
  <si>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</si>
  <si>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</si>
  <si>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</si>
  <si>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</si>
  <si>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</si>
  <si>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</si>
  <si>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</si>
  <si>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</si>
  <si>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</si>
  <si>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</si>
  <si>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</si>
  <si>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</si>
  <si>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</si>
  <si>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</si>
  <si>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</si>
  <si>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</si>
  <si>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</si>
  <si>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Empans chiffres directs</t>
  </si>
  <si>
    <t>Pyramide and Palm test (PPTI) verbal</t>
  </si>
  <si>
    <t>niveau d'études</t>
  </si>
  <si>
    <t>Empans chiffres indirects</t>
  </si>
  <si>
    <t>Pyramide and Palm test (PPTI) visuel</t>
  </si>
  <si>
    <t>Empan spatial direct</t>
  </si>
  <si>
    <t>premiers signes de la maladie</t>
  </si>
  <si>
    <t>Empan spatial indirect</t>
  </si>
  <si>
    <t>date du diagnostic</t>
  </si>
  <si>
    <t>TMT A</t>
  </si>
  <si>
    <t>autres antécédents</t>
  </si>
  <si>
    <t>TMT B</t>
  </si>
  <si>
    <t>Test des portes A</t>
  </si>
  <si>
    <t>antécédents familiaux</t>
  </si>
  <si>
    <t>Test des portes B</t>
  </si>
  <si>
    <t>Praxies Mahieux</t>
  </si>
  <si>
    <t xml:space="preserve">pour mettre les… </t>
  </si>
  <si>
    <t>une pendule ? Non c'est pas la pendule</t>
  </si>
  <si>
    <t>euh la lampe</t>
  </si>
  <si>
    <t>ça c'est un arbre mais quoi je ne sais pas, fin une plante, un arbre</t>
  </si>
  <si>
    <t>lui c'est le d… ah, comment il s'appelle…</t>
  </si>
  <si>
    <t>ah….</t>
  </si>
  <si>
    <t>l'avion ….l'hélicoptère</t>
  </si>
  <si>
    <t>mais je neaux savoir son nom</t>
  </si>
  <si>
    <t>peut être une sardine</t>
  </si>
  <si>
    <t>c'est qui …c'est euh…</t>
  </si>
  <si>
    <t>la …euh tu</t>
  </si>
  <si>
    <t xml:space="preserve">des escargots ? Non </t>
  </si>
  <si>
    <t>chais plus…</t>
  </si>
  <si>
    <t>je ne sais plus non plus zut</t>
  </si>
  <si>
    <t>c'est pas un zèbre, non je ne sais pas qui c'est</t>
  </si>
  <si>
    <r>
      <t xml:space="preserve">Score  :18 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/40</t>
    </r>
  </si>
  <si>
    <t>001-009-LM</t>
  </si>
  <si>
    <t>001-0010-LM</t>
  </si>
  <si>
    <t>femme</t>
  </si>
  <si>
    <t>droitière</t>
  </si>
  <si>
    <t>BAC+4</t>
  </si>
  <si>
    <t>non</t>
  </si>
  <si>
    <t>normal</t>
  </si>
  <si>
    <t>troubles mineurs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</si>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</sst>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9" tint="0.79998168889431442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1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" fillId="2" borderId="0" xfId="0" applyFont="1" applyFill="1"/>
    <xf numFmtId="0" fontId="1" fillId="0" borderId="0" xfId="0" applyFont="1" applyFill="1"/>
    <xf numFmtId="0" fontId="12" fillId="0" borderId="0" xfId="0" applyFont="1"/>
    <xf numFmtId="0" fontId="4" fillId="2" borderId="0" xfId="0" applyFont="1" applyFill="1"/>
    <xf numFmtId="0" fontId="11" fillId="2" borderId="0" xfId="0" applyFont="1" applyFill="1"/>
    <xf numFmtId="0" fontId="13" fillId="0" borderId="0" xfId="0" applyFont="1"/>
    <xf numFmtId="0" fontId="9" fillId="2" borderId="0" xfId="0" applyFont="1" applyFill="1"/>
    <xf numFmtId="0" fontId="7" fillId="2" borderId="0" xfId="0" applyFont="1" applyFill="1"/>
    <xf numFmtId="0" fontId="14" fillId="0" borderId="0" xfId="0" applyFont="1"/>
    <xf numFmtId="0" fontId="15" fillId="0" borderId="0" xfId="0" applyFont="1"/>
    <xf numFmtId="0" fontId="4" fillId="3" borderId="0" xfId="0" applyFont="1" applyFill="1"/>
    <xf numFmtId="0" fontId="16" fillId="2" borderId="0" xfId="0" applyFont="1" applyFill="1"/>
    <xf numFmtId="0" fontId="18" fillId="0" borderId="0" xfId="0" applyFont="1"/>
    <xf numFmtId="0" fontId="17" fillId="0" borderId="0" xfId="0" applyFont="1"/>
    <xf numFmtId="0" fontId="19" fillId="0" borderId="0" xfId="0" applyFont="1"/>
    <xf numFmtId="14" fontId="2" fillId="0" borderId="0" xfId="0" applyNumberFormat="1" applyFont="1"/>
    <xf numFmtId="0" fontId="9" fillId="0" borderId="0" xfId="0" applyFont="1" applyAlignment="1">
      <alignment vertical="top"/>
    </xf>
    <xf numFmtId="0" fontId="20" fillId="0" borderId="0" xfId="0" applyFont="1"/>
    <xf numFmtId="0" fontId="21" fillId="0" borderId="0" xfId="0" applyFont="1"/>
    <xf numFmtId="0" fontId="22" fillId="4" borderId="0" xfId="0" applyFont="1" applyFill="1"/>
    <xf numFmtId="0" fontId="20" fillId="5" borderId="0" xfId="0" applyFont="1" applyFill="1"/>
    <xf numFmtId="0" fontId="21" fillId="5" borderId="0" xfId="0" applyFont="1" applyFill="1"/>
    <xf numFmtId="0" fontId="21" fillId="0" borderId="0" xfId="0" applyFont="1" applyFill="1"/>
    <xf numFmtId="14" fontId="21" fillId="0" borderId="0" xfId="0" applyNumberFormat="1" applyFont="1"/>
    <xf numFmtId="0" fontId="21" fillId="6" borderId="0" xfId="0" applyFont="1" applyFill="1"/>
    <xf numFmtId="0" fontId="20" fillId="0" borderId="0" xfId="0" applyFont="1" applyFill="1"/>
    <xf numFmtId="0" fontId="21" fillId="4" borderId="0" xfId="0" applyFont="1" applyFill="1"/>
    <xf numFmtId="17" fontId="2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verbale'!$B$57</c:f>
              <c:strCache>
                <c:ptCount val="1"/>
                <c:pt idx="0">
                  <c:v>AS verbale /26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 verbale'!$C$56:$E$56</c:f>
              <c:strCache>
                <c:ptCount val="3"/>
                <c:pt idx="0">
                  <c:v>INC</c:v>
                </c:pt>
                <c:pt idx="1">
                  <c:v>Post- 1</c:v>
                </c:pt>
                <c:pt idx="2">
                  <c:v>Post- 2</c:v>
                </c:pt>
              </c:strCache>
            </c:strRef>
          </c:cat>
          <c:val>
            <c:numRef>
              <c:f>'AS verbale'!$C$57:$E$57</c:f>
              <c:numCache>
                <c:formatCode>General</c:formatCode>
                <c:ptCount val="3"/>
                <c:pt idx="0">
                  <c:v>16</c:v>
                </c:pt>
                <c:pt idx="1">
                  <c:v>13</c:v>
                </c:pt>
                <c:pt idx="2">
                  <c:v>14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2072880"/>
        <c:axId val="312069744"/>
      </c:lineChart>
      <c:catAx>
        <c:axId val="3120728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2069744"/>
        <c:crosses val="autoZero"/>
        <c:auto val="1"/>
        <c:lblAlgn val="ctr"/>
        <c:lblOffset val="100"/>
        <c:noMultiLvlLbl val="0"/>
      </c:catAx>
      <c:valAx>
        <c:axId val="3120697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1207288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'AS verbale'!$B$50</c:f>
              <c:strCache>
                <c:ptCount val="1"/>
                <c:pt idx="0">
                  <c:v>AS verbale RT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xVal>
            <c:strRef>
              <c:f>'AS verbale'!$C$49:$E$49</c:f>
              <c:strCache>
                <c:ptCount val="3"/>
                <c:pt idx="0">
                  <c:v>INC</c:v>
                </c:pt>
                <c:pt idx="1">
                  <c:v>Post- 1</c:v>
                </c:pt>
                <c:pt idx="2">
                  <c:v>Post-2</c:v>
                </c:pt>
              </c:strCache>
            </c:strRef>
          </c:xVal>
          <c:yVal>
            <c:numRef>
              <c:f>'AS verbale'!$C$50:$E$50</c:f>
              <c:numCache>
                <c:formatCode>General</c:formatCode>
                <c:ptCount val="3"/>
                <c:pt idx="0">
                  <c:v>4580.5</c:v>
                </c:pt>
                <c:pt idx="1">
                  <c:v>5067.6899999999996</c:v>
                </c:pt>
                <c:pt idx="2">
                  <c:v>4733.5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540968"/>
        <c:axId val="303540576"/>
      </c:scatterChart>
      <c:valAx>
        <c:axId val="303540968"/>
        <c:scaling>
          <c:orientation val="minMax"/>
        </c:scaling>
        <c:delete val="0"/>
        <c:axPos val="b"/>
        <c:majorGridlines/>
        <c:minorGridlines/>
        <c:majorTickMark val="out"/>
        <c:minorTickMark val="none"/>
        <c:tickLblPos val="nextTo"/>
        <c:crossAx val="303540576"/>
        <c:crosses val="autoZero"/>
        <c:crossBetween val="midCat"/>
      </c:valAx>
      <c:valAx>
        <c:axId val="303540576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3035409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verbale'!$B$57</c:f>
              <c:strCache>
                <c:ptCount val="1"/>
                <c:pt idx="0">
                  <c:v>AS verbale /26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 verbale'!$C$56:$F$56</c:f>
              <c:strCache>
                <c:ptCount val="4"/>
                <c:pt idx="0">
                  <c:v>INC</c:v>
                </c:pt>
                <c:pt idx="1">
                  <c:v>Post- 1</c:v>
                </c:pt>
                <c:pt idx="2">
                  <c:v>Post- 2</c:v>
                </c:pt>
                <c:pt idx="3">
                  <c:v>Post -3</c:v>
                </c:pt>
              </c:strCache>
            </c:strRef>
          </c:cat>
          <c:val>
            <c:numRef>
              <c:f>'AS verbale'!$C$57:$F$57</c:f>
              <c:numCache>
                <c:formatCode>General</c:formatCode>
                <c:ptCount val="4"/>
                <c:pt idx="0">
                  <c:v>16</c:v>
                </c:pt>
                <c:pt idx="1">
                  <c:v>13</c:v>
                </c:pt>
                <c:pt idx="2">
                  <c:v>14</c:v>
                </c:pt>
                <c:pt idx="3">
                  <c:v>17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540184"/>
        <c:axId val="303538224"/>
      </c:lineChart>
      <c:catAx>
        <c:axId val="303540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3538224"/>
        <c:crosses val="autoZero"/>
        <c:auto val="1"/>
        <c:lblAlgn val="ctr"/>
        <c:lblOffset val="100"/>
        <c:noMultiLvlLbl val="0"/>
      </c:catAx>
      <c:valAx>
        <c:axId val="3035382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354018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'AS verbale'!$B$50</c:f>
              <c:strCache>
                <c:ptCount val="1"/>
                <c:pt idx="0">
                  <c:v>AS verbale RT</c:v>
                </c:pt>
              </c:strCache>
            </c:strRef>
          </c:tx>
          <c:trendline>
            <c:trendlineType val="linear"/>
            <c:dispRSqr val="0"/>
            <c:dispEq val="0"/>
          </c:trendline>
          <c:xVal>
            <c:strRef>
              <c:f>'AS verbale'!$C$49:$F$49</c:f>
              <c:strCache>
                <c:ptCount val="4"/>
                <c:pt idx="0">
                  <c:v>INC</c:v>
                </c:pt>
                <c:pt idx="1">
                  <c:v>Post- 1</c:v>
                </c:pt>
                <c:pt idx="2">
                  <c:v>Post-2</c:v>
                </c:pt>
                <c:pt idx="3">
                  <c:v>Post - 3</c:v>
                </c:pt>
              </c:strCache>
            </c:strRef>
          </c:xVal>
          <c:yVal>
            <c:numRef>
              <c:f>'AS verbale'!$C$50:$F$50</c:f>
              <c:numCache>
                <c:formatCode>General</c:formatCode>
                <c:ptCount val="4"/>
                <c:pt idx="0">
                  <c:v>4580.5</c:v>
                </c:pt>
                <c:pt idx="1">
                  <c:v>5067.6899999999996</c:v>
                </c:pt>
                <c:pt idx="2">
                  <c:v>4733.5</c:v>
                </c:pt>
                <c:pt idx="3">
                  <c:v>4660.82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537832"/>
        <c:axId val="303537440"/>
      </c:scatterChart>
      <c:valAx>
        <c:axId val="303537832"/>
        <c:scaling>
          <c:orientation val="minMax"/>
        </c:scaling>
        <c:delete val="0"/>
        <c:axPos val="b"/>
        <c:majorGridlines/>
        <c:minorGridlines/>
        <c:majorTickMark val="out"/>
        <c:minorTickMark val="none"/>
        <c:tickLblPos val="nextTo"/>
        <c:crossAx val="303537440"/>
        <c:crosses val="autoZero"/>
        <c:crossBetween val="midCat"/>
      </c:valAx>
      <c:valAx>
        <c:axId val="303537440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303537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visuelle'!$B$48</c:f>
              <c:strCache>
                <c:ptCount val="1"/>
                <c:pt idx="0">
                  <c:v>AS Visuelle/26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 visuelle'!$C$47:$E$47</c:f>
              <c:strCache>
                <c:ptCount val="3"/>
                <c:pt idx="0">
                  <c:v>INC</c:v>
                </c:pt>
                <c:pt idx="1">
                  <c:v>Post-1</c:v>
                </c:pt>
                <c:pt idx="2">
                  <c:v>Post-2</c:v>
                </c:pt>
              </c:strCache>
            </c:strRef>
          </c:cat>
          <c:val>
            <c:numRef>
              <c:f>'AS visuelle'!$C$48:$E$48</c:f>
              <c:numCache>
                <c:formatCode>General</c:formatCode>
                <c:ptCount val="3"/>
                <c:pt idx="0">
                  <c:v>14</c:v>
                </c:pt>
                <c:pt idx="1">
                  <c:v>15</c:v>
                </c:pt>
                <c:pt idx="2">
                  <c:v>17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1200592"/>
        <c:axId val="311202552"/>
      </c:lineChart>
      <c:catAx>
        <c:axId val="311200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noFill/>
          </a:ln>
        </c:spPr>
        <c:crossAx val="311202552"/>
        <c:crosses val="autoZero"/>
        <c:auto val="1"/>
        <c:lblAlgn val="ctr"/>
        <c:lblOffset val="100"/>
        <c:noMultiLvlLbl val="0"/>
      </c:catAx>
      <c:valAx>
        <c:axId val="3112025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112005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'AS visuelle'!$B$55</c:f>
              <c:strCache>
                <c:ptCount val="1"/>
                <c:pt idx="0">
                  <c:v>AS Visuelle RT</c:v>
                </c:pt>
              </c:strCache>
            </c:strRef>
          </c:tx>
          <c:trendline>
            <c:trendlineType val="linear"/>
            <c:dispRSqr val="0"/>
            <c:dispEq val="0"/>
          </c:trendline>
          <c:xVal>
            <c:strRef>
              <c:f>'AS visuelle'!$C$54:$E$54</c:f>
              <c:strCache>
                <c:ptCount val="3"/>
                <c:pt idx="0">
                  <c:v>INC</c:v>
                </c:pt>
                <c:pt idx="1">
                  <c:v>Post-1</c:v>
                </c:pt>
                <c:pt idx="2">
                  <c:v>Post-2</c:v>
                </c:pt>
              </c:strCache>
            </c:strRef>
          </c:xVal>
          <c:yVal>
            <c:numRef>
              <c:f>'AS visuelle'!$C$55:$E$55</c:f>
              <c:numCache>
                <c:formatCode>General</c:formatCode>
                <c:ptCount val="3"/>
                <c:pt idx="0">
                  <c:v>3373.28</c:v>
                </c:pt>
                <c:pt idx="1">
                  <c:v>3612.2</c:v>
                </c:pt>
                <c:pt idx="2">
                  <c:v>3733.11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203336"/>
        <c:axId val="311201768"/>
      </c:scatterChart>
      <c:valAx>
        <c:axId val="311203336"/>
        <c:scaling>
          <c:orientation val="minMax"/>
        </c:scaling>
        <c:delete val="0"/>
        <c:axPos val="b"/>
        <c:majorGridlines/>
        <c:minorGridlines/>
        <c:majorTickMark val="out"/>
        <c:minorTickMark val="none"/>
        <c:tickLblPos val="nextTo"/>
        <c:crossAx val="311201768"/>
        <c:crosses val="autoZero"/>
        <c:crossBetween val="midCat"/>
      </c:valAx>
      <c:valAx>
        <c:axId val="311201768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3112033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 visuelle'!$B$48</c:f>
              <c:strCache>
                <c:ptCount val="1"/>
                <c:pt idx="0">
                  <c:v>AS Visuelle/26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 visuelle'!$C$47:$F$47</c:f>
              <c:strCache>
                <c:ptCount val="4"/>
                <c:pt idx="0">
                  <c:v>INC</c:v>
                </c:pt>
                <c:pt idx="1">
                  <c:v>Post-1</c:v>
                </c:pt>
                <c:pt idx="2">
                  <c:v>Post-2</c:v>
                </c:pt>
                <c:pt idx="3">
                  <c:v>Post-3</c:v>
                </c:pt>
              </c:strCache>
            </c:strRef>
          </c:cat>
          <c:val>
            <c:numRef>
              <c:f>'AS visuelle'!$C$48:$F$48</c:f>
              <c:numCache>
                <c:formatCode>General</c:formatCode>
                <c:ptCount val="4"/>
                <c:pt idx="0">
                  <c:v>14</c:v>
                </c:pt>
                <c:pt idx="1">
                  <c:v>15</c:v>
                </c:pt>
                <c:pt idx="2">
                  <c:v>17</c:v>
                </c:pt>
                <c:pt idx="3">
                  <c:v>19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1201376"/>
        <c:axId val="311203728"/>
      </c:lineChart>
      <c:catAx>
        <c:axId val="311201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1203728"/>
        <c:crosses val="autoZero"/>
        <c:auto val="1"/>
        <c:lblAlgn val="ctr"/>
        <c:lblOffset val="100"/>
        <c:noMultiLvlLbl val="0"/>
      </c:catAx>
      <c:valAx>
        <c:axId val="3112037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112013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'AS visuelle'!$B$55</c:f>
              <c:strCache>
                <c:ptCount val="1"/>
                <c:pt idx="0">
                  <c:v>AS Visuelle RT</c:v>
                </c:pt>
              </c:strCache>
            </c:strRef>
          </c:tx>
          <c:trendline>
            <c:trendlineType val="linear"/>
            <c:dispRSqr val="0"/>
            <c:dispEq val="0"/>
          </c:trendline>
          <c:xVal>
            <c:strRef>
              <c:f>'AS visuelle'!$C$54:$F$54</c:f>
              <c:strCache>
                <c:ptCount val="4"/>
                <c:pt idx="0">
                  <c:v>INC</c:v>
                </c:pt>
                <c:pt idx="1">
                  <c:v>Post-1</c:v>
                </c:pt>
                <c:pt idx="2">
                  <c:v>Post-2</c:v>
                </c:pt>
                <c:pt idx="3">
                  <c:v>Post- 3</c:v>
                </c:pt>
              </c:strCache>
            </c:strRef>
          </c:xVal>
          <c:yVal>
            <c:numRef>
              <c:f>'AS visuelle'!$C$55:$F$55</c:f>
              <c:numCache>
                <c:formatCode>General</c:formatCode>
                <c:ptCount val="4"/>
                <c:pt idx="0">
                  <c:v>3373.28</c:v>
                </c:pt>
                <c:pt idx="1">
                  <c:v>3612.2</c:v>
                </c:pt>
                <c:pt idx="2">
                  <c:v>3733.11</c:v>
                </c:pt>
                <c:pt idx="3">
                  <c:v>4015.73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206224"/>
        <c:axId val="249208968"/>
      </c:scatterChart>
      <c:valAx>
        <c:axId val="249206224"/>
        <c:scaling>
          <c:orientation val="minMax"/>
        </c:scaling>
        <c:delete val="0"/>
        <c:axPos val="b"/>
        <c:majorGridlines/>
        <c:minorGridlines/>
        <c:majorTickMark val="out"/>
        <c:minorTickMark val="none"/>
        <c:tickLblPos val="nextTo"/>
        <c:crossAx val="249208968"/>
        <c:crosses val="autoZero"/>
        <c:crossBetween val="midCat"/>
      </c:valAx>
      <c:valAx>
        <c:axId val="249208968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2492062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verb.'!$B$32</c:f>
              <c:strCache>
                <c:ptCount val="1"/>
                <c:pt idx="0">
                  <c:v>EXE verb /26</c:v>
                </c:pt>
              </c:strCache>
            </c:strRef>
          </c:tx>
          <c:cat>
            <c:strRef>
              <c:f>'EXE verb.'!$C$31:$E$31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'EXE verb.'!$C$32:$E$32</c:f>
              <c:numCache>
                <c:formatCode>General</c:formatCode>
                <c:ptCount val="3"/>
                <c:pt idx="0">
                  <c:v>26</c:v>
                </c:pt>
                <c:pt idx="1">
                  <c:v>26</c:v>
                </c:pt>
                <c:pt idx="2">
                  <c:v>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00200"/>
        <c:axId val="249208576"/>
      </c:lineChart>
      <c:catAx>
        <c:axId val="311200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9208576"/>
        <c:crosses val="autoZero"/>
        <c:auto val="1"/>
        <c:lblAlgn val="ctr"/>
        <c:lblOffset val="100"/>
        <c:noMultiLvlLbl val="0"/>
      </c:catAx>
      <c:valAx>
        <c:axId val="249208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1200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'EXE verb.'!$J$33</c:f>
              <c:strCache>
                <c:ptCount val="1"/>
                <c:pt idx="0">
                  <c:v>EXE verb RT</c:v>
                </c:pt>
              </c:strCache>
            </c:strRef>
          </c:tx>
          <c:trendline>
            <c:trendlineType val="linear"/>
            <c:dispRSqr val="0"/>
            <c:dispEq val="0"/>
          </c:trendline>
          <c:xVal>
            <c:strRef>
              <c:f>'EXE verb.'!$K$32:$M$32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xVal>
          <c:yVal>
            <c:numRef>
              <c:f>'EXE verb.'!$K$33:$M$33</c:f>
              <c:numCache>
                <c:formatCode>General</c:formatCode>
                <c:ptCount val="3"/>
                <c:pt idx="0">
                  <c:v>2029.73</c:v>
                </c:pt>
                <c:pt idx="1">
                  <c:v>2115.15</c:v>
                </c:pt>
                <c:pt idx="2">
                  <c:v>1782.8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209360"/>
        <c:axId val="249206616"/>
      </c:scatterChart>
      <c:valAx>
        <c:axId val="249209360"/>
        <c:scaling>
          <c:orientation val="minMax"/>
        </c:scaling>
        <c:delete val="0"/>
        <c:axPos val="b"/>
        <c:majorGridlines/>
        <c:minorGridlines/>
        <c:majorTickMark val="out"/>
        <c:minorTickMark val="none"/>
        <c:tickLblPos val="nextTo"/>
        <c:crossAx val="249206616"/>
        <c:crosses val="autoZero"/>
        <c:crossBetween val="midCat"/>
      </c:valAx>
      <c:valAx>
        <c:axId val="249206616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249209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'EXE verb.'!$J$33</c:f>
              <c:strCache>
                <c:ptCount val="1"/>
                <c:pt idx="0">
                  <c:v>EXE verb RT</c:v>
                </c:pt>
              </c:strCache>
            </c:strRef>
          </c:tx>
          <c:trendline>
            <c:trendlineType val="linear"/>
            <c:dispRSqr val="0"/>
            <c:dispEq val="0"/>
          </c:trendline>
          <c:xVal>
            <c:strRef>
              <c:f>'EXE verb.'!$K$32:$N$32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Post-3</c:v>
                </c:pt>
              </c:strCache>
            </c:strRef>
          </c:xVal>
          <c:yVal>
            <c:numRef>
              <c:f>'EXE verb.'!$K$33:$N$33</c:f>
              <c:numCache>
                <c:formatCode>General</c:formatCode>
                <c:ptCount val="4"/>
                <c:pt idx="0">
                  <c:v>2029.73</c:v>
                </c:pt>
                <c:pt idx="1">
                  <c:v>2115.15</c:v>
                </c:pt>
                <c:pt idx="2">
                  <c:v>1782.8</c:v>
                </c:pt>
                <c:pt idx="3">
                  <c:v>1846.96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352240"/>
        <c:axId val="248353024"/>
      </c:scatterChart>
      <c:valAx>
        <c:axId val="248352240"/>
        <c:scaling>
          <c:orientation val="minMax"/>
        </c:scaling>
        <c:delete val="0"/>
        <c:axPos val="b"/>
        <c:majorGridlines/>
        <c:minorGridlines/>
        <c:majorTickMark val="out"/>
        <c:minorTickMark val="none"/>
        <c:tickLblPos val="nextTo"/>
        <c:crossAx val="248353024"/>
        <c:crosses val="autoZero"/>
        <c:crossBetween val="midCat"/>
      </c:valAx>
      <c:valAx>
        <c:axId val="248353024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248352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verb.'!$B$32</c:f>
              <c:strCache>
                <c:ptCount val="1"/>
                <c:pt idx="0">
                  <c:v>EXE verb /26</c:v>
                </c:pt>
              </c:strCache>
            </c:strRef>
          </c:tx>
          <c:cat>
            <c:strRef>
              <c:f>'EXE verb.'!$C$31:$F$31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Post- 3</c:v>
                </c:pt>
              </c:strCache>
            </c:strRef>
          </c:cat>
          <c:val>
            <c:numRef>
              <c:f>'EXE verb.'!$C$32:$F$32</c:f>
              <c:numCache>
                <c:formatCode>General</c:formatCode>
                <c:ptCount val="4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354592"/>
        <c:axId val="248353808"/>
      </c:lineChart>
      <c:catAx>
        <c:axId val="248354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8353808"/>
        <c:crosses val="autoZero"/>
        <c:auto val="1"/>
        <c:lblAlgn val="ctr"/>
        <c:lblOffset val="100"/>
        <c:noMultiLvlLbl val="0"/>
      </c:catAx>
      <c:valAx>
        <c:axId val="24835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8354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EXE visu / 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visu.'!$D$33</c:f>
              <c:strCache>
                <c:ptCount val="1"/>
                <c:pt idx="0">
                  <c:v>EXE visu</c:v>
                </c:pt>
              </c:strCache>
            </c:strRef>
          </c:tx>
          <c:cat>
            <c:strRef>
              <c:f>'EXE visu.'!$E$32:$G$32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'EXE visu.'!$E$33:$G$33</c:f>
              <c:numCache>
                <c:formatCode>General</c:formatCode>
                <c:ptCount val="3"/>
                <c:pt idx="0">
                  <c:v>23</c:v>
                </c:pt>
                <c:pt idx="1">
                  <c:v>26</c:v>
                </c:pt>
                <c:pt idx="2">
                  <c:v>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59280"/>
        <c:axId val="212860456"/>
      </c:lineChart>
      <c:catAx>
        <c:axId val="212859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2860456"/>
        <c:crosses val="autoZero"/>
        <c:auto val="1"/>
        <c:lblAlgn val="ctr"/>
        <c:lblOffset val="100"/>
        <c:noMultiLvlLbl val="0"/>
      </c:catAx>
      <c:valAx>
        <c:axId val="212860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59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'EXE visu.'!$K$33</c:f>
              <c:strCache>
                <c:ptCount val="1"/>
                <c:pt idx="0">
                  <c:v>EXE visu RT</c:v>
                </c:pt>
              </c:strCache>
            </c:strRef>
          </c:tx>
          <c:trendline>
            <c:trendlineType val="linear"/>
            <c:dispRSqr val="0"/>
            <c:dispEq val="0"/>
          </c:trendline>
          <c:xVal>
            <c:strRef>
              <c:f>'EXE visu.'!$L$32:$N$32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xVal>
          <c:yVal>
            <c:numRef>
              <c:f>'EXE visu.'!$L$33:$N$33</c:f>
              <c:numCache>
                <c:formatCode>General</c:formatCode>
                <c:ptCount val="3"/>
                <c:pt idx="0">
                  <c:v>1950.86</c:v>
                </c:pt>
                <c:pt idx="1">
                  <c:v>1717.73</c:v>
                </c:pt>
                <c:pt idx="2">
                  <c:v>1807.65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60064"/>
        <c:axId val="212858496"/>
      </c:scatterChart>
      <c:valAx>
        <c:axId val="212860064"/>
        <c:scaling>
          <c:orientation val="minMax"/>
        </c:scaling>
        <c:delete val="0"/>
        <c:axPos val="b"/>
        <c:majorGridlines/>
        <c:minorGridlines/>
        <c:majorTickMark val="out"/>
        <c:minorTickMark val="none"/>
        <c:tickLblPos val="nextTo"/>
        <c:crossAx val="212858496"/>
        <c:crosses val="autoZero"/>
        <c:crossBetween val="midCat"/>
      </c:valAx>
      <c:valAx>
        <c:axId val="212858496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212860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'EXE visu.'!$K$33</c:f>
              <c:strCache>
                <c:ptCount val="1"/>
                <c:pt idx="0">
                  <c:v>EXE visu RT</c:v>
                </c:pt>
              </c:strCache>
            </c:strRef>
          </c:tx>
          <c:trendline>
            <c:trendlineType val="linear"/>
            <c:dispRSqr val="0"/>
            <c:dispEq val="0"/>
          </c:trendline>
          <c:xVal>
            <c:strRef>
              <c:f>'EXE visu.'!$L$32:$O$32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-3</c:v>
                </c:pt>
              </c:strCache>
            </c:strRef>
          </c:xVal>
          <c:yVal>
            <c:numRef>
              <c:f>'EXE visu.'!$L$33:$O$33</c:f>
              <c:numCache>
                <c:formatCode>General</c:formatCode>
                <c:ptCount val="4"/>
                <c:pt idx="0">
                  <c:v>1950.86</c:v>
                </c:pt>
                <c:pt idx="1">
                  <c:v>1717.73</c:v>
                </c:pt>
                <c:pt idx="2">
                  <c:v>1807.65</c:v>
                </c:pt>
                <c:pt idx="3">
                  <c:v>2124.5300000000002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977568"/>
        <c:axId val="244978744"/>
      </c:scatterChart>
      <c:valAx>
        <c:axId val="244977568"/>
        <c:scaling>
          <c:orientation val="minMax"/>
        </c:scaling>
        <c:delete val="0"/>
        <c:axPos val="b"/>
        <c:majorGridlines/>
        <c:minorGridlines/>
        <c:majorTickMark val="out"/>
        <c:minorTickMark val="none"/>
        <c:tickLblPos val="nextTo"/>
        <c:crossAx val="244978744"/>
        <c:crosses val="autoZero"/>
        <c:crossBetween val="midCat"/>
      </c:valAx>
      <c:valAx>
        <c:axId val="244978744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2449775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 visu.'!$D$33</c:f>
              <c:strCache>
                <c:ptCount val="1"/>
                <c:pt idx="0">
                  <c:v>EXE visu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 visu.'!$E$32:$H$32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 3</c:v>
                </c:pt>
              </c:strCache>
            </c:strRef>
          </c:cat>
          <c:val>
            <c:numRef>
              <c:f>'EXE visu.'!$E$33:$H$33</c:f>
              <c:numCache>
                <c:formatCode>General</c:formatCode>
                <c:ptCount val="4"/>
                <c:pt idx="0">
                  <c:v>23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4977176"/>
        <c:axId val="244979136"/>
      </c:lineChart>
      <c:catAx>
        <c:axId val="244977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44979136"/>
        <c:crosses val="autoZero"/>
        <c:auto val="1"/>
        <c:lblAlgn val="ctr"/>
        <c:lblOffset val="100"/>
        <c:noMultiLvlLbl val="0"/>
      </c:catAx>
      <c:valAx>
        <c:axId val="2449791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449771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FLU</a:t>
            </a:r>
            <a:r>
              <a:rPr lang="fr-FR" baseline="0"/>
              <a:t> Cat</a:t>
            </a:r>
            <a:endParaRPr lang="fr-FR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'FLUENCE cat.'!$D$11</c:f>
              <c:strCache>
                <c:ptCount val="1"/>
                <c:pt idx="0">
                  <c:v>FLU Cat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'FLUENCE cat.'!$E$10:$G$10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'FLUENCE cat.'!$E$11:$G$11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'FLUENCE cat.'!$D$12</c:f>
              <c:strCache>
                <c:ptCount val="1"/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'FLUENCE cat.'!$E$10:$G$10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'FLUENCE cat.'!$E$12:$G$12</c:f>
              <c:numCache>
                <c:formatCode>General</c:formatCode>
                <c:ptCount val="3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0031680"/>
        <c:axId val="300029720"/>
      </c:lineChart>
      <c:catAx>
        <c:axId val="300031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0029720"/>
        <c:crosses val="autoZero"/>
        <c:auto val="1"/>
        <c:lblAlgn val="ctr"/>
        <c:lblOffset val="100"/>
        <c:noMultiLvlLbl val="0"/>
      </c:catAx>
      <c:valAx>
        <c:axId val="300029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one"/>
        <c:crossAx val="30003168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'FLUENCE cat.'!$D$11</c:f>
              <c:strCache>
                <c:ptCount val="1"/>
                <c:pt idx="0">
                  <c:v>FLU Cat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'FLUENCE cat.'!$E$10:$H$10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Post-3</c:v>
                </c:pt>
              </c:strCache>
            </c:strRef>
          </c:cat>
          <c:val>
            <c:numRef>
              <c:f>'FLUENCE cat.'!$E$11:$H$11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0030896"/>
        <c:axId val="301172760"/>
      </c:lineChart>
      <c:catAx>
        <c:axId val="300030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1172760"/>
        <c:crosses val="autoZero"/>
        <c:auto val="1"/>
        <c:lblAlgn val="ctr"/>
        <c:lblOffset val="100"/>
        <c:noMultiLvlLbl val="0"/>
      </c:catAx>
      <c:valAx>
        <c:axId val="3011727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003089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'FLUENCE verb.'!$F$19</c:f>
              <c:strCache>
                <c:ptCount val="1"/>
                <c:pt idx="0">
                  <c:v>FLU lit.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'FLUENCE verb.'!$G$18:$I$18</c:f>
              <c:strCache>
                <c:ptCount val="3"/>
                <c:pt idx="0">
                  <c:v>INC</c:v>
                </c:pt>
                <c:pt idx="1">
                  <c:v>Post-1</c:v>
                </c:pt>
                <c:pt idx="2">
                  <c:v>Post-2</c:v>
                </c:pt>
              </c:strCache>
            </c:strRef>
          </c:cat>
          <c:val>
            <c:numRef>
              <c:f>'FLUENCE verb.'!$G$19:$I$19</c:f>
              <c:numCache>
                <c:formatCode>General</c:formatCode>
                <c:ptCount val="3"/>
                <c:pt idx="0">
                  <c:v>10</c:v>
                </c:pt>
                <c:pt idx="1">
                  <c:v>9</c:v>
                </c:pt>
                <c:pt idx="2">
                  <c:v>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1171584"/>
        <c:axId val="301171976"/>
      </c:lineChart>
      <c:catAx>
        <c:axId val="301171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1171976"/>
        <c:crosses val="autoZero"/>
        <c:auto val="1"/>
        <c:lblAlgn val="ctr"/>
        <c:lblOffset val="100"/>
        <c:noMultiLvlLbl val="0"/>
      </c:catAx>
      <c:valAx>
        <c:axId val="3011719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117158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'FLUENCE verb.'!$F$19</c:f>
              <c:strCache>
                <c:ptCount val="1"/>
                <c:pt idx="0">
                  <c:v>FLU lit.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'FLUENCE verb.'!$G$18:$J$18</c:f>
              <c:strCache>
                <c:ptCount val="4"/>
                <c:pt idx="0">
                  <c:v>INC</c:v>
                </c:pt>
                <c:pt idx="1">
                  <c:v>Post-1</c:v>
                </c:pt>
                <c:pt idx="2">
                  <c:v>Post-2</c:v>
                </c:pt>
                <c:pt idx="3">
                  <c:v>Post- 3</c:v>
                </c:pt>
              </c:strCache>
            </c:strRef>
          </c:cat>
          <c:val>
            <c:numRef>
              <c:f>'FLUENCE verb.'!$G$19:$J$19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2181264"/>
        <c:axId val="312181656"/>
      </c:lineChart>
      <c:catAx>
        <c:axId val="312181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2181656"/>
        <c:crosses val="autoZero"/>
        <c:auto val="1"/>
        <c:lblAlgn val="ctr"/>
        <c:lblOffset val="100"/>
        <c:noMultiLvlLbl val="0"/>
      </c:catAx>
      <c:valAx>
        <c:axId val="3121816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1218126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'DC cat.'!$B$87</c:f>
              <c:strCache>
                <c:ptCount val="1"/>
                <c:pt idx="0">
                  <c:v>Dc /40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 cat.'!$C$86:$E$86</c:f>
              <c:strCache>
                <c:ptCount val="3"/>
                <c:pt idx="0">
                  <c:v>INC</c:v>
                </c:pt>
                <c:pt idx="1">
                  <c:v>Post- 1</c:v>
                </c:pt>
                <c:pt idx="2">
                  <c:v>Post- 2</c:v>
                </c:pt>
              </c:strCache>
            </c:strRef>
          </c:cat>
          <c:val>
            <c:numRef>
              <c:f>'DC cat.'!$C$87:$E$87</c:f>
              <c:numCache>
                <c:formatCode>General</c:formatCode>
                <c:ptCount val="3"/>
                <c:pt idx="0">
                  <c:v>34</c:v>
                </c:pt>
                <c:pt idx="1">
                  <c:v>36</c:v>
                </c:pt>
                <c:pt idx="2">
                  <c:v>32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2182440"/>
        <c:axId val="312182832"/>
      </c:lineChart>
      <c:catAx>
        <c:axId val="312182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2182832"/>
        <c:crosses val="autoZero"/>
        <c:auto val="1"/>
        <c:lblAlgn val="ctr"/>
        <c:lblOffset val="100"/>
        <c:noMultiLvlLbl val="0"/>
      </c:catAx>
      <c:valAx>
        <c:axId val="3121828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12182440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'DC cat.'!$K$88</c:f>
              <c:strCache>
                <c:ptCount val="1"/>
                <c:pt idx="0">
                  <c:v>Dc RT</c:v>
                </c:pt>
              </c:strCache>
            </c:strRef>
          </c:tx>
          <c:trendline>
            <c:trendlineType val="linear"/>
            <c:dispRSqr val="0"/>
            <c:dispEq val="0"/>
          </c:trendline>
          <c:xVal>
            <c:strRef>
              <c:f>'DC cat.'!$L$87:$N$87</c:f>
              <c:strCache>
                <c:ptCount val="3"/>
                <c:pt idx="0">
                  <c:v>INC</c:v>
                </c:pt>
                <c:pt idx="1">
                  <c:v>Post- 1</c:v>
                </c:pt>
                <c:pt idx="2">
                  <c:v>Post- 2</c:v>
                </c:pt>
              </c:strCache>
            </c:strRef>
          </c:xVal>
          <c:yVal>
            <c:numRef>
              <c:f>'DC cat.'!$L$88:$N$88</c:f>
              <c:numCache>
                <c:formatCode>General</c:formatCode>
                <c:ptCount val="3"/>
                <c:pt idx="0">
                  <c:v>1499.79</c:v>
                </c:pt>
                <c:pt idx="1">
                  <c:v>1553.58</c:v>
                </c:pt>
                <c:pt idx="2">
                  <c:v>1617.56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183616"/>
        <c:axId val="312184008"/>
      </c:scatterChart>
      <c:valAx>
        <c:axId val="312183616"/>
        <c:scaling>
          <c:orientation val="minMax"/>
        </c:scaling>
        <c:delete val="0"/>
        <c:axPos val="b"/>
        <c:majorGridlines/>
        <c:minorGridlines/>
        <c:majorTickMark val="out"/>
        <c:minorTickMark val="none"/>
        <c:tickLblPos val="nextTo"/>
        <c:crossAx val="312184008"/>
        <c:crosses val="autoZero"/>
        <c:crossBetween val="midCat"/>
      </c:valAx>
      <c:valAx>
        <c:axId val="312184008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312183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'DC cat.'!$B$87</c:f>
              <c:strCache>
                <c:ptCount val="1"/>
                <c:pt idx="0">
                  <c:v>Dc /40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 cat.'!$C$86:$F$86</c:f>
              <c:strCache>
                <c:ptCount val="4"/>
                <c:pt idx="0">
                  <c:v>INC</c:v>
                </c:pt>
                <c:pt idx="1">
                  <c:v>Post- 1</c:v>
                </c:pt>
                <c:pt idx="2">
                  <c:v>Post- 2</c:v>
                </c:pt>
                <c:pt idx="3">
                  <c:v>Post- 3</c:v>
                </c:pt>
              </c:strCache>
            </c:strRef>
          </c:cat>
          <c:val>
            <c:numRef>
              <c:f>'DC cat.'!$C$87:$F$87</c:f>
              <c:numCache>
                <c:formatCode>General</c:formatCode>
                <c:ptCount val="4"/>
                <c:pt idx="0">
                  <c:v>34</c:v>
                </c:pt>
                <c:pt idx="1">
                  <c:v>36</c:v>
                </c:pt>
                <c:pt idx="2">
                  <c:v>32</c:v>
                </c:pt>
                <c:pt idx="3">
                  <c:v>36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0617552"/>
        <c:axId val="300617944"/>
      </c:lineChart>
      <c:catAx>
        <c:axId val="300617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0617944"/>
        <c:crosses val="autoZero"/>
        <c:auto val="1"/>
        <c:lblAlgn val="ctr"/>
        <c:lblOffset val="100"/>
        <c:noMultiLvlLbl val="0"/>
      </c:catAx>
      <c:valAx>
        <c:axId val="3006179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061755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dénomination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DENO!$B$46</c:f>
              <c:strCache>
                <c:ptCount val="1"/>
                <c:pt idx="0">
                  <c:v>Dén /40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DENO!$C$45:$E$45</c:f>
              <c:strCache>
                <c:ptCount val="3"/>
                <c:pt idx="0">
                  <c:v>INC</c:v>
                </c:pt>
                <c:pt idx="1">
                  <c:v>Post- 1</c:v>
                </c:pt>
                <c:pt idx="2">
                  <c:v>Post- 2</c:v>
                </c:pt>
              </c:strCache>
            </c:strRef>
          </c:cat>
          <c:val>
            <c:numRef>
              <c:f>DENO!$C$46:$E$46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DENO!$B$47</c:f>
              <c:strCache>
                <c:ptCount val="1"/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DENO!$C$45:$E$45</c:f>
              <c:strCache>
                <c:ptCount val="3"/>
                <c:pt idx="0">
                  <c:v>INC</c:v>
                </c:pt>
                <c:pt idx="1">
                  <c:v>Post- 1</c:v>
                </c:pt>
                <c:pt idx="2">
                  <c:v>Post- 2</c:v>
                </c:pt>
              </c:strCache>
            </c:strRef>
          </c:cat>
          <c:val>
            <c:numRef>
              <c:f>DENO!$C$47:$E$47</c:f>
              <c:numCache>
                <c:formatCode>General</c:formatCode>
                <c:ptCount val="3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0618728"/>
        <c:axId val="300619120"/>
      </c:lineChart>
      <c:catAx>
        <c:axId val="300618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0619120"/>
        <c:crosses val="autoZero"/>
        <c:auto val="1"/>
        <c:lblAlgn val="ctr"/>
        <c:lblOffset val="100"/>
        <c:noMultiLvlLbl val="0"/>
      </c:catAx>
      <c:valAx>
        <c:axId val="300619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061872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DENO!$B$46</c:f>
              <c:strCache>
                <c:ptCount val="1"/>
                <c:pt idx="0">
                  <c:v>Dén /40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DENO!$C$45:$F$45</c:f>
              <c:strCache>
                <c:ptCount val="4"/>
                <c:pt idx="0">
                  <c:v>INC</c:v>
                </c:pt>
                <c:pt idx="1">
                  <c:v>Post- 1</c:v>
                </c:pt>
                <c:pt idx="2">
                  <c:v>Post- 2</c:v>
                </c:pt>
                <c:pt idx="3">
                  <c:v>Post- 3</c:v>
                </c:pt>
              </c:strCache>
            </c:strRef>
          </c:cat>
          <c:val>
            <c:numRef>
              <c:f>DENO!$C$46:$F$46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26</c:v>
                </c:pt>
                <c:pt idx="3">
                  <c:v>19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0619904"/>
        <c:axId val="300620296"/>
      </c:lineChart>
      <c:catAx>
        <c:axId val="300619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0620296"/>
        <c:crosses val="autoZero"/>
        <c:auto val="1"/>
        <c:lblAlgn val="ctr"/>
        <c:lblOffset val="100"/>
        <c:noMultiLvlLbl val="0"/>
      </c:catAx>
      <c:valAx>
        <c:axId val="3006202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061990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BIP!$B$19</c:f>
              <c:strCache>
                <c:ptCount val="1"/>
                <c:pt idx="0">
                  <c:v>BIP / 14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BIP!$C$18:$E$18</c:f>
              <c:strCache>
                <c:ptCount val="3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</c:strCache>
            </c:strRef>
          </c:cat>
          <c:val>
            <c:numRef>
              <c:f>BIP!$C$19:$E$19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0621080"/>
        <c:axId val="307331120"/>
      </c:lineChart>
      <c:catAx>
        <c:axId val="300621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7331120"/>
        <c:crosses val="autoZero"/>
        <c:auto val="1"/>
        <c:lblAlgn val="ctr"/>
        <c:lblOffset val="100"/>
        <c:noMultiLvlLbl val="0"/>
      </c:catAx>
      <c:valAx>
        <c:axId val="307331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062108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BIP!$B$19</c:f>
              <c:strCache>
                <c:ptCount val="1"/>
                <c:pt idx="0">
                  <c:v>BIP / 14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BIP!$C$18:$F$18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</c:v>
                </c:pt>
                <c:pt idx="3">
                  <c:v>Post- 3</c:v>
                </c:pt>
              </c:strCache>
            </c:strRef>
          </c:cat>
          <c:val>
            <c:numRef>
              <c:f>BIP!$C$19:$F$19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7331904"/>
        <c:axId val="307332296"/>
      </c:lineChart>
      <c:catAx>
        <c:axId val="307331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7332296"/>
        <c:crosses val="autoZero"/>
        <c:auto val="1"/>
        <c:lblAlgn val="ctr"/>
        <c:lblOffset val="100"/>
        <c:noMultiLvlLbl val="0"/>
      </c:catAx>
      <c:valAx>
        <c:axId val="3073322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733190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467746</xdr:colOff>
      <xdr:row>58</xdr:row>
      <xdr:rowOff>34018</xdr:rowOff>
    </xdr:from>
    <xdr:to>
      <xdr:col>4</xdr:col>
      <xdr:colOff>1139598</xdr:colOff>
      <xdr:row>72</xdr:row>
      <xdr:rowOff>161585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654845</xdr:colOff>
      <xdr:row>57</xdr:row>
      <xdr:rowOff>17009</xdr:rowOff>
    </xdr:from>
    <xdr:to>
      <xdr:col>14</xdr:col>
      <xdr:colOff>178595</xdr:colOff>
      <xdr:row>71</xdr:row>
      <xdr:rowOff>110558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663349</xdr:colOff>
      <xdr:row>51</xdr:row>
      <xdr:rowOff>119063</xdr:rowOff>
    </xdr:from>
    <xdr:to>
      <xdr:col>5</xdr:col>
      <xdr:colOff>127567</xdr:colOff>
      <xdr:row>65</xdr:row>
      <xdr:rowOff>161586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1156608</xdr:colOff>
      <xdr:row>51</xdr:row>
      <xdr:rowOff>161585</xdr:rowOff>
    </xdr:from>
    <xdr:to>
      <xdr:col>8</xdr:col>
      <xdr:colOff>850446</xdr:colOff>
      <xdr:row>66</xdr:row>
      <xdr:rowOff>17010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42</xdr:row>
      <xdr:rowOff>57150</xdr:rowOff>
    </xdr:from>
    <xdr:to>
      <xdr:col>12</xdr:col>
      <xdr:colOff>514350</xdr:colOff>
      <xdr:row>56</xdr:row>
      <xdr:rowOff>76200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58</xdr:row>
      <xdr:rowOff>66675</xdr:rowOff>
    </xdr:from>
    <xdr:to>
      <xdr:col>7</xdr:col>
      <xdr:colOff>1009650</xdr:colOff>
      <xdr:row>72</xdr:row>
      <xdr:rowOff>142875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504825</xdr:colOff>
      <xdr:row>39</xdr:row>
      <xdr:rowOff>114300</xdr:rowOff>
    </xdr:from>
    <xdr:to>
      <xdr:col>9</xdr:col>
      <xdr:colOff>571500</xdr:colOff>
      <xdr:row>53</xdr:row>
      <xdr:rowOff>57150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914400</xdr:colOff>
      <xdr:row>56</xdr:row>
      <xdr:rowOff>85725</xdr:rowOff>
    </xdr:from>
    <xdr:to>
      <xdr:col>11</xdr:col>
      <xdr:colOff>676275</xdr:colOff>
      <xdr:row>70</xdr:row>
      <xdr:rowOff>142875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33</xdr:row>
      <xdr:rowOff>95250</xdr:rowOff>
    </xdr:from>
    <xdr:to>
      <xdr:col>5</xdr:col>
      <xdr:colOff>323850</xdr:colOff>
      <xdr:row>47</xdr:row>
      <xdr:rowOff>171450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285750</xdr:colOff>
      <xdr:row>34</xdr:row>
      <xdr:rowOff>133350</xdr:rowOff>
    </xdr:from>
    <xdr:to>
      <xdr:col>12</xdr:col>
      <xdr:colOff>342900</xdr:colOff>
      <xdr:row>49</xdr:row>
      <xdr:rowOff>19050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161925</xdr:colOff>
      <xdr:row>28</xdr:row>
      <xdr:rowOff>85725</xdr:rowOff>
    </xdr:from>
    <xdr:to>
      <xdr:col>19</xdr:col>
      <xdr:colOff>438150</xdr:colOff>
      <xdr:row>42</xdr:row>
      <xdr:rowOff>104775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114300</xdr:colOff>
      <xdr:row>25</xdr:row>
      <xdr:rowOff>9525</xdr:rowOff>
    </xdr:from>
    <xdr:to>
      <xdr:col>8</xdr:col>
      <xdr:colOff>114300</xdr:colOff>
      <xdr:row>39</xdr:row>
      <xdr:rowOff>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76200</xdr:rowOff>
    </xdr:from>
    <xdr:to>
      <xdr:col>4</xdr:col>
      <xdr:colOff>723900</xdr:colOff>
      <xdr:row>48</xdr:row>
      <xdr:rowOff>152400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33</xdr:row>
      <xdr:rowOff>180975</xdr:rowOff>
    </xdr:from>
    <xdr:to>
      <xdr:col>10</xdr:col>
      <xdr:colOff>638175</xdr:colOff>
      <xdr:row>48</xdr:row>
      <xdr:rowOff>66675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447675</xdr:colOff>
      <xdr:row>21</xdr:row>
      <xdr:rowOff>28575</xdr:rowOff>
    </xdr:from>
    <xdr:to>
      <xdr:col>18</xdr:col>
      <xdr:colOff>276225</xdr:colOff>
      <xdr:row>35</xdr:row>
      <xdr:rowOff>76200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276225</xdr:colOff>
      <xdr:row>27</xdr:row>
      <xdr:rowOff>161925</xdr:rowOff>
    </xdr:from>
    <xdr:to>
      <xdr:col>9</xdr:col>
      <xdr:colOff>638175</xdr:colOff>
      <xdr:row>42</xdr:row>
      <xdr:rowOff>19050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15</xdr:row>
      <xdr:rowOff>142875</xdr:rowOff>
    </xdr:from>
    <xdr:to>
      <xdr:col>11</xdr:col>
      <xdr:colOff>533400</xdr:colOff>
      <xdr:row>30</xdr:row>
      <xdr:rowOff>28575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5</xdr:row>
      <xdr:rowOff>114300</xdr:rowOff>
    </xdr:from>
    <xdr:to>
      <xdr:col>9</xdr:col>
      <xdr:colOff>228600</xdr:colOff>
      <xdr:row>20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10</xdr:row>
      <xdr:rowOff>57150</xdr:rowOff>
    </xdr:from>
    <xdr:to>
      <xdr:col>14</xdr:col>
      <xdr:colOff>1552575</xdr:colOff>
      <xdr:row>24</xdr:row>
      <xdr:rowOff>133350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285750</xdr:colOff>
      <xdr:row>5</xdr:row>
      <xdr:rowOff>114300</xdr:rowOff>
    </xdr:from>
    <xdr:to>
      <xdr:col>9</xdr:col>
      <xdr:colOff>628650</xdr:colOff>
      <xdr:row>20</xdr:row>
      <xdr:rowOff>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89</xdr:row>
      <xdr:rowOff>28575</xdr:rowOff>
    </xdr:from>
    <xdr:to>
      <xdr:col>6</xdr:col>
      <xdr:colOff>847725</xdr:colOff>
      <xdr:row>103</xdr:row>
      <xdr:rowOff>104775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295275</xdr:colOff>
      <xdr:row>80</xdr:row>
      <xdr:rowOff>0</xdr:rowOff>
    </xdr:from>
    <xdr:to>
      <xdr:col>19</xdr:col>
      <xdr:colOff>142875</xdr:colOff>
      <xdr:row>94</xdr:row>
      <xdr:rowOff>28575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657225</xdr:colOff>
      <xdr:row>91</xdr:row>
      <xdr:rowOff>85725</xdr:rowOff>
    </xdr:from>
    <xdr:to>
      <xdr:col>10</xdr:col>
      <xdr:colOff>247650</xdr:colOff>
      <xdr:row>105</xdr:row>
      <xdr:rowOff>161925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687458</xdr:colOff>
      <xdr:row>34</xdr:row>
      <xdr:rowOff>8283</xdr:rowOff>
    </xdr:from>
    <xdr:to>
      <xdr:col>10</xdr:col>
      <xdr:colOff>140805</xdr:colOff>
      <xdr:row>48</xdr:row>
      <xdr:rowOff>74544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737153</xdr:colOff>
      <xdr:row>34</xdr:row>
      <xdr:rowOff>24848</xdr:rowOff>
    </xdr:from>
    <xdr:to>
      <xdr:col>7</xdr:col>
      <xdr:colOff>521805</xdr:colOff>
      <xdr:row>48</xdr:row>
      <xdr:rowOff>91109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9</xdr:row>
      <xdr:rowOff>0</xdr:rowOff>
    </xdr:from>
    <xdr:to>
      <xdr:col>13</xdr:col>
      <xdr:colOff>590550</xdr:colOff>
      <xdr:row>23</xdr:row>
      <xdr:rowOff>28575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1552575</xdr:colOff>
      <xdr:row>9</xdr:row>
      <xdr:rowOff>57150</xdr:rowOff>
    </xdr:from>
    <xdr:to>
      <xdr:col>6</xdr:col>
      <xdr:colOff>390525</xdr:colOff>
      <xdr:row>23</xdr:row>
      <xdr:rowOff>85725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14" sqref="F14"/>
    </sheetView>
  </sheetViews>
  <sheetFormatPr baseColWidth="10" defaultRowHeight="15" x14ac:dyDescent="0.25"/>
  <cols>
    <col min="1" max="1" width="36.42578125" customWidth="1"/>
    <col min="2" max="2" width="17.5703125" customWidth="1"/>
    <col min="3" max="3" width="34.140625" customWidth="1"/>
    <col min="4" max="4" width="20.42578125" customWidth="1"/>
    <col min="5" max="5" width="50.42578125" customWidth="1"/>
  </cols>
  <sheetData>
    <row r="1" spans="1:6" ht="18.75" x14ac:dyDescent="0.25">
      <c r="A1" s="30" t="s">
        <v>758</v>
      </c>
      <c r="C1" s="30" t="s">
        <v>759</v>
      </c>
      <c r="E1" s="30" t="s">
        <v>760</v>
      </c>
    </row>
    <row r="2" spans="1:6" ht="15.75" x14ac:dyDescent="0.25">
      <c r="A2" s="31" t="s">
        <v>761</v>
      </c>
      <c r="B2" s="32" t="s">
        <v>822</v>
      </c>
      <c r="C2" s="32" t="s">
        <v>762</v>
      </c>
      <c r="D2" s="32" t="s">
        <v>827</v>
      </c>
      <c r="E2" s="32" t="s">
        <v>763</v>
      </c>
      <c r="F2" s="32">
        <v>5</v>
      </c>
    </row>
    <row r="3" spans="1:6" ht="15.75" x14ac:dyDescent="0.25">
      <c r="A3" s="31" t="s">
        <v>764</v>
      </c>
      <c r="B3" s="32" t="s">
        <v>821</v>
      </c>
      <c r="C3" s="32" t="s">
        <v>765</v>
      </c>
      <c r="D3" s="32" t="s">
        <v>827</v>
      </c>
      <c r="E3" s="33"/>
      <c r="F3" s="32"/>
    </row>
    <row r="4" spans="1:6" ht="15.75" x14ac:dyDescent="0.25">
      <c r="A4" s="31" t="s">
        <v>766</v>
      </c>
      <c r="B4" s="32" t="s">
        <v>821</v>
      </c>
      <c r="C4" s="32" t="s">
        <v>767</v>
      </c>
      <c r="D4" s="32" t="s">
        <v>828</v>
      </c>
      <c r="E4" s="32" t="s">
        <v>768</v>
      </c>
      <c r="F4" s="32">
        <v>73</v>
      </c>
    </row>
    <row r="5" spans="1:6" ht="15.75" x14ac:dyDescent="0.25">
      <c r="A5" s="34"/>
      <c r="B5" s="35"/>
      <c r="C5" s="36" t="s">
        <v>769</v>
      </c>
      <c r="D5" s="36" t="s">
        <v>827</v>
      </c>
      <c r="E5" s="36" t="s">
        <v>770</v>
      </c>
      <c r="F5" s="36" t="s">
        <v>829</v>
      </c>
    </row>
    <row r="6" spans="1:6" ht="15.75" x14ac:dyDescent="0.25">
      <c r="A6" s="31" t="s">
        <v>771</v>
      </c>
      <c r="B6" s="32" t="s">
        <v>823</v>
      </c>
      <c r="C6" s="36" t="s">
        <v>772</v>
      </c>
      <c r="D6" s="36" t="s">
        <v>827</v>
      </c>
      <c r="E6" s="36" t="s">
        <v>773</v>
      </c>
      <c r="F6" s="32" t="s">
        <v>829</v>
      </c>
    </row>
    <row r="7" spans="1:6" ht="15.75" x14ac:dyDescent="0.25">
      <c r="A7" s="31" t="s">
        <v>774</v>
      </c>
      <c r="B7" s="37">
        <v>19586</v>
      </c>
      <c r="C7" s="38"/>
      <c r="D7" s="38"/>
      <c r="E7" s="36" t="s">
        <v>775</v>
      </c>
      <c r="F7" s="32" t="s">
        <v>829</v>
      </c>
    </row>
    <row r="8" spans="1:6" ht="15.75" x14ac:dyDescent="0.25">
      <c r="A8" s="31" t="s">
        <v>776</v>
      </c>
      <c r="B8" s="32">
        <v>65</v>
      </c>
      <c r="C8" s="39" t="s">
        <v>777</v>
      </c>
      <c r="D8" s="32"/>
      <c r="E8" s="40"/>
      <c r="F8" s="32"/>
    </row>
    <row r="9" spans="1:6" ht="15.75" x14ac:dyDescent="0.25">
      <c r="A9" s="34"/>
      <c r="B9" s="35"/>
      <c r="C9" s="36" t="s">
        <v>778</v>
      </c>
      <c r="D9" s="32">
        <v>27</v>
      </c>
      <c r="E9" s="36" t="s">
        <v>779</v>
      </c>
      <c r="F9" s="32">
        <v>18</v>
      </c>
    </row>
    <row r="10" spans="1:6" ht="15.75" x14ac:dyDescent="0.25">
      <c r="A10" s="31" t="s">
        <v>780</v>
      </c>
      <c r="B10" s="37">
        <v>43418</v>
      </c>
      <c r="C10" s="36" t="s">
        <v>781</v>
      </c>
      <c r="D10" s="32">
        <v>6</v>
      </c>
      <c r="E10" s="36" t="s">
        <v>782</v>
      </c>
      <c r="F10" s="32">
        <v>19</v>
      </c>
    </row>
    <row r="11" spans="1:6" ht="15.75" x14ac:dyDescent="0.25">
      <c r="A11" s="31" t="s">
        <v>783</v>
      </c>
      <c r="B11" s="37">
        <v>43424</v>
      </c>
      <c r="C11" s="36" t="s">
        <v>784</v>
      </c>
      <c r="D11" s="32">
        <v>17</v>
      </c>
      <c r="E11" s="36" t="s">
        <v>785</v>
      </c>
      <c r="F11" s="32">
        <v>68</v>
      </c>
    </row>
    <row r="12" spans="1:6" ht="15.75" x14ac:dyDescent="0.25">
      <c r="A12" s="34"/>
      <c r="B12" s="35"/>
      <c r="C12" s="36" t="s">
        <v>786</v>
      </c>
      <c r="D12" s="32">
        <v>125</v>
      </c>
      <c r="E12" s="36" t="s">
        <v>787</v>
      </c>
      <c r="F12" s="32">
        <v>16</v>
      </c>
    </row>
    <row r="13" spans="1:6" ht="15.75" x14ac:dyDescent="0.25">
      <c r="A13" s="31" t="s">
        <v>788</v>
      </c>
      <c r="B13" s="32" t="s">
        <v>824</v>
      </c>
      <c r="C13" s="36" t="s">
        <v>789</v>
      </c>
      <c r="D13" s="32">
        <v>7</v>
      </c>
      <c r="E13" s="36" t="s">
        <v>790</v>
      </c>
      <c r="F13" s="32">
        <v>39</v>
      </c>
    </row>
    <row r="14" spans="1:6" ht="15.75" x14ac:dyDescent="0.25">
      <c r="A14" s="31" t="s">
        <v>791</v>
      </c>
      <c r="B14" s="32" t="s">
        <v>825</v>
      </c>
      <c r="C14" s="36" t="s">
        <v>792</v>
      </c>
      <c r="D14" s="32">
        <v>4</v>
      </c>
      <c r="E14" s="36" t="s">
        <v>793</v>
      </c>
      <c r="F14" s="32">
        <v>41</v>
      </c>
    </row>
    <row r="15" spans="1:6" ht="15.75" x14ac:dyDescent="0.25">
      <c r="A15" s="35"/>
      <c r="B15" s="35"/>
      <c r="C15" s="36" t="s">
        <v>794</v>
      </c>
      <c r="D15" s="32">
        <v>5</v>
      </c>
      <c r="E15" s="32"/>
      <c r="F15" s="32"/>
    </row>
    <row r="16" spans="1:6" ht="15.75" x14ac:dyDescent="0.25">
      <c r="A16" s="31" t="s">
        <v>795</v>
      </c>
      <c r="B16" s="41">
        <v>39508</v>
      </c>
      <c r="C16" s="36" t="s">
        <v>796</v>
      </c>
      <c r="D16" s="32">
        <v>4</v>
      </c>
      <c r="E16" s="32"/>
      <c r="F16" s="32"/>
    </row>
    <row r="17" spans="1:6" ht="15.75" x14ac:dyDescent="0.25">
      <c r="A17" s="31" t="s">
        <v>797</v>
      </c>
      <c r="B17" s="41">
        <v>41791</v>
      </c>
      <c r="C17" s="36" t="s">
        <v>798</v>
      </c>
      <c r="D17" s="32">
        <v>30</v>
      </c>
      <c r="E17" s="32"/>
      <c r="F17" s="32"/>
    </row>
    <row r="18" spans="1:6" ht="15.75" x14ac:dyDescent="0.25">
      <c r="A18" s="31" t="s">
        <v>799</v>
      </c>
      <c r="B18" s="32" t="s">
        <v>826</v>
      </c>
      <c r="C18" s="36" t="s">
        <v>800</v>
      </c>
      <c r="D18" s="32">
        <v>69</v>
      </c>
      <c r="E18" s="32"/>
      <c r="F18" s="32"/>
    </row>
    <row r="19" spans="1:6" ht="15.75" x14ac:dyDescent="0.25">
      <c r="A19" s="35"/>
      <c r="B19" s="35"/>
      <c r="C19" s="36" t="s">
        <v>801</v>
      </c>
      <c r="D19" s="32" t="s">
        <v>829</v>
      </c>
      <c r="E19" s="32"/>
      <c r="F19" s="32"/>
    </row>
    <row r="20" spans="1:6" ht="15.75" x14ac:dyDescent="0.25">
      <c r="A20" s="31" t="s">
        <v>802</v>
      </c>
      <c r="B20" s="32" t="s">
        <v>826</v>
      </c>
      <c r="C20" s="36" t="s">
        <v>803</v>
      </c>
      <c r="D20" s="32" t="s">
        <v>829</v>
      </c>
      <c r="E20" s="32"/>
      <c r="F20" s="32"/>
    </row>
    <row r="21" spans="1:6" ht="15.75" x14ac:dyDescent="0.25">
      <c r="A21" s="32"/>
      <c r="B21" s="32"/>
      <c r="C21" s="36" t="s">
        <v>804</v>
      </c>
      <c r="D21" s="32">
        <v>23</v>
      </c>
      <c r="E21" s="32"/>
      <c r="F21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8"/>
  <sheetViews>
    <sheetView topLeftCell="AP1" zoomScale="112" zoomScaleNormal="112" workbookViewId="0">
      <selection activeCell="AT2" sqref="AT2"/>
    </sheetView>
  </sheetViews>
  <sheetFormatPr baseColWidth="10" defaultColWidth="9.140625" defaultRowHeight="15" x14ac:dyDescent="0.25"/>
  <cols>
    <col min="1" max="1" width="26.140625" customWidth="1"/>
    <col min="2" max="2" width="14" customWidth="1"/>
    <col min="5" max="5" width="18.140625" customWidth="1"/>
    <col min="6" max="6" width="20.28515625" customWidth="1"/>
    <col min="7" max="7" width="17" customWidth="1"/>
    <col min="8" max="8" width="17.85546875" customWidth="1"/>
    <col min="9" max="9" width="19.7109375" customWidth="1"/>
    <col min="11" max="11" width="19.28515625" customWidth="1"/>
    <col min="15" max="15" width="12" customWidth="1"/>
    <col min="16" max="16" width="13.5703125" customWidth="1"/>
    <col min="17" max="17" width="13.28515625" customWidth="1"/>
    <col min="18" max="18" width="17.42578125" customWidth="1"/>
    <col min="19" max="19" width="17.85546875" customWidth="1"/>
    <col min="22" max="22" width="19.5703125" customWidth="1"/>
    <col min="26" max="26" width="14.7109375" customWidth="1"/>
    <col min="29" max="29" width="19.7109375" customWidth="1"/>
    <col min="30" max="30" width="18.28515625" customWidth="1"/>
    <col min="33" max="33" width="26.5703125" customWidth="1"/>
    <col min="37" max="37" width="14.5703125" customWidth="1"/>
    <col min="38" max="38" width="16.28515625" customWidth="1"/>
    <col min="40" max="40" width="13.7109375" customWidth="1"/>
    <col min="41" max="41" width="15" customWidth="1"/>
    <col min="44" max="44" width="12.42578125" bestFit="1" customWidth="1"/>
    <col min="48" max="48" width="17.85546875" bestFit="1" customWidth="1"/>
  </cols>
  <sheetData>
    <row r="1" spans="1:52" ht="15.75" x14ac:dyDescent="0.25">
      <c r="A1" s="1" t="s">
        <v>8</v>
      </c>
      <c r="B1" s="2" t="s">
        <v>0</v>
      </c>
      <c r="C1" s="2" t="s">
        <v>1</v>
      </c>
      <c r="D1" s="2" t="s">
        <v>26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K1" s="1" t="s">
        <v>8</v>
      </c>
      <c r="L1" s="2" t="s">
        <v>0</v>
      </c>
      <c r="M1" s="2" t="s">
        <v>1</v>
      </c>
      <c r="N1" s="2" t="s">
        <v>26</v>
      </c>
      <c r="O1" s="2" t="s">
        <v>77</v>
      </c>
      <c r="P1" s="2" t="s">
        <v>78</v>
      </c>
      <c r="Q1" s="2" t="s">
        <v>79</v>
      </c>
      <c r="R1" s="2" t="s">
        <v>80</v>
      </c>
      <c r="S1" s="2" t="s">
        <v>81</v>
      </c>
      <c r="V1" s="1" t="s">
        <v>8</v>
      </c>
      <c r="W1" s="2" t="s">
        <v>0</v>
      </c>
      <c r="X1" s="2" t="s">
        <v>1</v>
      </c>
      <c r="Y1" s="2" t="s">
        <v>26</v>
      </c>
      <c r="Z1" s="2" t="s">
        <v>77</v>
      </c>
      <c r="AA1" s="2" t="s">
        <v>78</v>
      </c>
      <c r="AB1" s="2" t="s">
        <v>79</v>
      </c>
      <c r="AC1" s="2" t="s">
        <v>80</v>
      </c>
      <c r="AD1" s="2" t="s">
        <v>81</v>
      </c>
      <c r="AG1" s="1" t="s">
        <v>8</v>
      </c>
      <c r="AH1" s="2" t="s">
        <v>0</v>
      </c>
      <c r="AI1" s="2" t="s">
        <v>1</v>
      </c>
      <c r="AJ1" s="2" t="s">
        <v>26</v>
      </c>
      <c r="AK1" s="2" t="s">
        <v>77</v>
      </c>
      <c r="AL1" s="2" t="s">
        <v>78</v>
      </c>
      <c r="AM1" s="2" t="s">
        <v>79</v>
      </c>
      <c r="AN1" s="2" t="s">
        <v>80</v>
      </c>
      <c r="AO1" s="2" t="s">
        <v>81</v>
      </c>
      <c r="AR1" s="1" t="s">
        <v>8</v>
      </c>
      <c r="AS1" s="2" t="s">
        <v>0</v>
      </c>
      <c r="AT1" s="2" t="s">
        <v>1</v>
      </c>
      <c r="AU1" s="2" t="s">
        <v>26</v>
      </c>
      <c r="AV1" s="2" t="s">
        <v>77</v>
      </c>
      <c r="AW1" s="2" t="s">
        <v>755</v>
      </c>
      <c r="AX1" s="2" t="s">
        <v>80</v>
      </c>
      <c r="AY1" s="2" t="s">
        <v>81</v>
      </c>
    </row>
    <row r="2" spans="1:52" ht="15.75" x14ac:dyDescent="0.25">
      <c r="A2" s="3" t="s">
        <v>4</v>
      </c>
      <c r="B2">
        <v>1</v>
      </c>
      <c r="C2">
        <v>1</v>
      </c>
      <c r="D2">
        <v>1</v>
      </c>
      <c r="E2" t="s">
        <v>84</v>
      </c>
      <c r="F2" t="s">
        <v>82</v>
      </c>
      <c r="H2">
        <v>1</v>
      </c>
      <c r="I2">
        <v>3042</v>
      </c>
      <c r="K2" s="3" t="s">
        <v>112</v>
      </c>
      <c r="L2">
        <v>1</v>
      </c>
      <c r="M2">
        <v>2</v>
      </c>
      <c r="N2">
        <v>1</v>
      </c>
      <c r="O2" t="s">
        <v>95</v>
      </c>
      <c r="P2" t="s">
        <v>83</v>
      </c>
      <c r="R2" s="10">
        <v>0</v>
      </c>
      <c r="S2" s="10">
        <v>0</v>
      </c>
      <c r="V2" s="3" t="s">
        <v>114</v>
      </c>
      <c r="W2">
        <v>2</v>
      </c>
      <c r="X2">
        <v>3</v>
      </c>
      <c r="Y2">
        <v>1</v>
      </c>
      <c r="Z2" t="s">
        <v>116</v>
      </c>
      <c r="AA2" t="s">
        <v>82</v>
      </c>
      <c r="AC2">
        <v>1</v>
      </c>
      <c r="AD2">
        <v>2465</v>
      </c>
      <c r="AG2" s="3" t="s">
        <v>587</v>
      </c>
      <c r="AH2">
        <v>2</v>
      </c>
      <c r="AI2">
        <v>4</v>
      </c>
      <c r="AJ2">
        <v>1</v>
      </c>
      <c r="AK2" t="s">
        <v>119</v>
      </c>
      <c r="AL2" t="s">
        <v>82</v>
      </c>
      <c r="AN2">
        <v>1</v>
      </c>
      <c r="AO2">
        <v>3108</v>
      </c>
      <c r="AR2" s="3" t="s">
        <v>753</v>
      </c>
      <c r="AS2">
        <v>1</v>
      </c>
      <c r="AT2">
        <v>5</v>
      </c>
      <c r="AU2">
        <v>1</v>
      </c>
      <c r="AV2" t="s">
        <v>85</v>
      </c>
      <c r="AW2" t="s">
        <v>83</v>
      </c>
      <c r="AX2">
        <v>0</v>
      </c>
      <c r="AY2">
        <v>0</v>
      </c>
    </row>
    <row r="3" spans="1:52" ht="15.75" x14ac:dyDescent="0.25">
      <c r="A3" s="1" t="s">
        <v>76</v>
      </c>
      <c r="D3">
        <v>2</v>
      </c>
      <c r="E3" t="s">
        <v>85</v>
      </c>
      <c r="F3" t="s">
        <v>83</v>
      </c>
      <c r="H3">
        <v>1</v>
      </c>
      <c r="I3">
        <v>5780</v>
      </c>
      <c r="K3" s="1" t="s">
        <v>76</v>
      </c>
      <c r="N3">
        <v>2</v>
      </c>
      <c r="O3" t="s">
        <v>99</v>
      </c>
      <c r="P3" t="s">
        <v>82</v>
      </c>
      <c r="R3">
        <v>1</v>
      </c>
      <c r="S3">
        <v>4365</v>
      </c>
      <c r="V3" s="1" t="s">
        <v>76</v>
      </c>
      <c r="Y3">
        <v>2</v>
      </c>
      <c r="Z3" t="s">
        <v>117</v>
      </c>
      <c r="AA3" t="s">
        <v>83</v>
      </c>
      <c r="AC3" s="10">
        <v>0</v>
      </c>
      <c r="AD3" s="10">
        <v>0</v>
      </c>
      <c r="AG3" s="1" t="s">
        <v>76</v>
      </c>
      <c r="AJ3">
        <v>2</v>
      </c>
      <c r="AK3" t="s">
        <v>124</v>
      </c>
      <c r="AL3" t="s">
        <v>82</v>
      </c>
      <c r="AN3">
        <v>1</v>
      </c>
      <c r="AO3">
        <v>4189</v>
      </c>
      <c r="AR3" s="1" t="s">
        <v>76</v>
      </c>
      <c r="AU3">
        <v>2</v>
      </c>
      <c r="AV3" t="s">
        <v>97</v>
      </c>
      <c r="AW3" t="s">
        <v>83</v>
      </c>
      <c r="AX3">
        <v>1</v>
      </c>
      <c r="AY3">
        <v>7127</v>
      </c>
      <c r="AZ3">
        <v>7127</v>
      </c>
    </row>
    <row r="4" spans="1:52" ht="15.75" x14ac:dyDescent="0.25">
      <c r="A4" s="1" t="s">
        <v>37</v>
      </c>
      <c r="D4">
        <v>3</v>
      </c>
      <c r="E4" t="s">
        <v>86</v>
      </c>
      <c r="F4" t="s">
        <v>83</v>
      </c>
      <c r="H4" s="10">
        <v>0</v>
      </c>
      <c r="I4" s="10">
        <v>0</v>
      </c>
      <c r="K4" s="1" t="s">
        <v>111</v>
      </c>
      <c r="N4">
        <v>3</v>
      </c>
      <c r="O4" t="s">
        <v>106</v>
      </c>
      <c r="P4" t="s">
        <v>82</v>
      </c>
      <c r="R4">
        <v>1</v>
      </c>
      <c r="S4">
        <v>4860</v>
      </c>
      <c r="V4" s="1" t="s">
        <v>115</v>
      </c>
      <c r="Y4">
        <v>3</v>
      </c>
      <c r="Z4" t="s">
        <v>118</v>
      </c>
      <c r="AA4" t="s">
        <v>82</v>
      </c>
      <c r="AC4" s="10">
        <v>0</v>
      </c>
      <c r="AD4" s="10">
        <v>0</v>
      </c>
      <c r="AG4" s="1" t="s">
        <v>754</v>
      </c>
      <c r="AJ4">
        <v>3</v>
      </c>
      <c r="AK4" t="s">
        <v>136</v>
      </c>
      <c r="AL4" t="s">
        <v>83</v>
      </c>
      <c r="AN4" s="10">
        <v>0</v>
      </c>
      <c r="AO4" s="10">
        <v>0</v>
      </c>
      <c r="AR4" s="29">
        <v>44466</v>
      </c>
      <c r="AU4">
        <v>3</v>
      </c>
      <c r="AV4" t="s">
        <v>109</v>
      </c>
      <c r="AW4" t="s">
        <v>82</v>
      </c>
      <c r="AX4">
        <v>1</v>
      </c>
      <c r="AY4">
        <v>5374</v>
      </c>
      <c r="AZ4">
        <v>5374</v>
      </c>
    </row>
    <row r="5" spans="1:52" x14ac:dyDescent="0.25">
      <c r="D5">
        <v>4</v>
      </c>
      <c r="E5" t="s">
        <v>87</v>
      </c>
      <c r="F5" t="s">
        <v>82</v>
      </c>
      <c r="H5">
        <v>1</v>
      </c>
      <c r="I5">
        <v>3575</v>
      </c>
      <c r="N5">
        <v>4</v>
      </c>
      <c r="O5" t="s">
        <v>109</v>
      </c>
      <c r="P5" t="s">
        <v>82</v>
      </c>
      <c r="R5">
        <v>1</v>
      </c>
      <c r="S5">
        <v>3880</v>
      </c>
      <c r="Y5">
        <v>4</v>
      </c>
      <c r="Z5" t="s">
        <v>119</v>
      </c>
      <c r="AA5" t="s">
        <v>82</v>
      </c>
      <c r="AC5">
        <v>1</v>
      </c>
      <c r="AD5">
        <v>3049</v>
      </c>
      <c r="AJ5">
        <v>4</v>
      </c>
      <c r="AK5" t="s">
        <v>118</v>
      </c>
      <c r="AL5" t="s">
        <v>82</v>
      </c>
      <c r="AN5" s="10">
        <v>0</v>
      </c>
      <c r="AO5" s="10">
        <v>0</v>
      </c>
      <c r="AU5">
        <v>4</v>
      </c>
      <c r="AV5" t="s">
        <v>102</v>
      </c>
      <c r="AW5" t="s">
        <v>82</v>
      </c>
      <c r="AX5">
        <v>0</v>
      </c>
      <c r="AY5">
        <v>0</v>
      </c>
    </row>
    <row r="6" spans="1:52" x14ac:dyDescent="0.25">
      <c r="D6">
        <v>5</v>
      </c>
      <c r="E6" t="s">
        <v>88</v>
      </c>
      <c r="F6" t="s">
        <v>82</v>
      </c>
      <c r="H6">
        <v>1</v>
      </c>
      <c r="I6">
        <v>5183</v>
      </c>
      <c r="N6">
        <v>5</v>
      </c>
      <c r="O6" t="s">
        <v>91</v>
      </c>
      <c r="P6" t="s">
        <v>83</v>
      </c>
      <c r="R6">
        <v>1</v>
      </c>
      <c r="S6">
        <v>4769</v>
      </c>
      <c r="Y6">
        <v>5</v>
      </c>
      <c r="Z6" t="s">
        <v>120</v>
      </c>
      <c r="AA6" t="s">
        <v>82</v>
      </c>
      <c r="AC6" s="10">
        <v>0</v>
      </c>
      <c r="AD6" s="10">
        <v>3887</v>
      </c>
      <c r="AJ6">
        <v>5</v>
      </c>
      <c r="AK6" t="s">
        <v>134</v>
      </c>
      <c r="AL6" t="s">
        <v>82</v>
      </c>
      <c r="AN6">
        <v>1</v>
      </c>
      <c r="AO6">
        <v>2293</v>
      </c>
      <c r="AU6">
        <v>5</v>
      </c>
      <c r="AV6" t="s">
        <v>94</v>
      </c>
      <c r="AW6" t="s">
        <v>82</v>
      </c>
      <c r="AX6">
        <v>0</v>
      </c>
      <c r="AY6">
        <v>5886</v>
      </c>
    </row>
    <row r="7" spans="1:52" x14ac:dyDescent="0.25">
      <c r="D7">
        <v>6</v>
      </c>
      <c r="E7" t="s">
        <v>89</v>
      </c>
      <c r="F7" t="s">
        <v>83</v>
      </c>
      <c r="H7">
        <v>1</v>
      </c>
      <c r="I7">
        <v>2015</v>
      </c>
      <c r="N7">
        <v>6</v>
      </c>
      <c r="O7" t="s">
        <v>85</v>
      </c>
      <c r="P7" t="s">
        <v>83</v>
      </c>
      <c r="R7" s="10">
        <v>0</v>
      </c>
      <c r="S7" s="10">
        <v>6757</v>
      </c>
      <c r="Y7">
        <v>6</v>
      </c>
      <c r="Z7" t="s">
        <v>121</v>
      </c>
      <c r="AA7" t="s">
        <v>83</v>
      </c>
      <c r="AC7" s="10">
        <v>0</v>
      </c>
      <c r="AD7" s="10">
        <v>6791</v>
      </c>
      <c r="AJ7">
        <v>6</v>
      </c>
      <c r="AK7" t="s">
        <v>125</v>
      </c>
      <c r="AL7" t="s">
        <v>82</v>
      </c>
      <c r="AN7">
        <v>1</v>
      </c>
      <c r="AO7">
        <v>6681</v>
      </c>
      <c r="AU7">
        <v>6</v>
      </c>
      <c r="AV7" t="s">
        <v>100</v>
      </c>
      <c r="AW7" t="s">
        <v>83</v>
      </c>
      <c r="AX7">
        <v>0</v>
      </c>
      <c r="AY7">
        <v>0</v>
      </c>
    </row>
    <row r="8" spans="1:52" x14ac:dyDescent="0.25">
      <c r="D8">
        <v>7</v>
      </c>
      <c r="E8" t="s">
        <v>90</v>
      </c>
      <c r="F8" t="s">
        <v>83</v>
      </c>
      <c r="H8" s="10">
        <v>0</v>
      </c>
      <c r="I8" s="10">
        <v>0</v>
      </c>
      <c r="N8">
        <v>7</v>
      </c>
      <c r="O8" t="s">
        <v>86</v>
      </c>
      <c r="P8" t="s">
        <v>83</v>
      </c>
      <c r="R8">
        <v>1</v>
      </c>
      <c r="S8">
        <v>6336</v>
      </c>
      <c r="Y8">
        <v>7</v>
      </c>
      <c r="Z8" t="s">
        <v>122</v>
      </c>
      <c r="AA8" t="s">
        <v>82</v>
      </c>
      <c r="AC8" s="10">
        <v>0</v>
      </c>
      <c r="AD8" s="10">
        <v>0</v>
      </c>
      <c r="AJ8">
        <v>7</v>
      </c>
      <c r="AK8" t="s">
        <v>130</v>
      </c>
      <c r="AL8" t="s">
        <v>82</v>
      </c>
      <c r="AN8">
        <v>1</v>
      </c>
      <c r="AO8">
        <v>3687</v>
      </c>
      <c r="AU8">
        <v>7</v>
      </c>
      <c r="AV8" t="s">
        <v>93</v>
      </c>
      <c r="AW8" t="s">
        <v>82</v>
      </c>
      <c r="AX8">
        <v>0</v>
      </c>
      <c r="AY8">
        <v>0</v>
      </c>
    </row>
    <row r="9" spans="1:52" x14ac:dyDescent="0.25">
      <c r="D9">
        <v>8</v>
      </c>
      <c r="E9" t="s">
        <v>91</v>
      </c>
      <c r="F9" t="s">
        <v>83</v>
      </c>
      <c r="H9">
        <v>1</v>
      </c>
      <c r="I9">
        <v>3376</v>
      </c>
      <c r="N9">
        <v>8</v>
      </c>
      <c r="O9" t="s">
        <v>94</v>
      </c>
      <c r="P9" t="s">
        <v>82</v>
      </c>
      <c r="R9" s="10">
        <v>0</v>
      </c>
      <c r="S9" s="10">
        <v>5195</v>
      </c>
      <c r="Y9">
        <v>8</v>
      </c>
      <c r="Z9" t="s">
        <v>123</v>
      </c>
      <c r="AA9" t="s">
        <v>82</v>
      </c>
      <c r="AC9">
        <v>1</v>
      </c>
      <c r="AD9">
        <v>5315</v>
      </c>
      <c r="AJ9">
        <v>8</v>
      </c>
      <c r="AK9" t="s">
        <v>126</v>
      </c>
      <c r="AL9" t="s">
        <v>83</v>
      </c>
      <c r="AN9">
        <v>1</v>
      </c>
      <c r="AO9">
        <v>6203</v>
      </c>
      <c r="AU9">
        <v>8</v>
      </c>
      <c r="AV9" t="s">
        <v>90</v>
      </c>
      <c r="AW9" t="s">
        <v>83</v>
      </c>
      <c r="AX9">
        <v>1</v>
      </c>
      <c r="AY9">
        <v>6306</v>
      </c>
      <c r="AZ9">
        <v>6306</v>
      </c>
    </row>
    <row r="10" spans="1:52" x14ac:dyDescent="0.25">
      <c r="D10">
        <v>9</v>
      </c>
      <c r="E10" t="s">
        <v>92</v>
      </c>
      <c r="F10" t="s">
        <v>83</v>
      </c>
      <c r="H10" s="10">
        <v>0</v>
      </c>
      <c r="I10" s="10">
        <v>7120</v>
      </c>
      <c r="N10">
        <v>9</v>
      </c>
      <c r="O10" t="s">
        <v>90</v>
      </c>
      <c r="P10" t="s">
        <v>83</v>
      </c>
      <c r="R10" s="10">
        <v>0</v>
      </c>
      <c r="S10" s="10">
        <v>0</v>
      </c>
      <c r="Y10">
        <v>9</v>
      </c>
      <c r="Z10" t="s">
        <v>124</v>
      </c>
      <c r="AA10" t="s">
        <v>82</v>
      </c>
      <c r="AC10">
        <v>1</v>
      </c>
      <c r="AD10">
        <v>4380</v>
      </c>
      <c r="AJ10">
        <v>9</v>
      </c>
      <c r="AK10" t="s">
        <v>140</v>
      </c>
      <c r="AL10" t="s">
        <v>83</v>
      </c>
      <c r="AN10" s="10">
        <v>0</v>
      </c>
      <c r="AO10" s="10">
        <v>0</v>
      </c>
      <c r="AU10">
        <v>9</v>
      </c>
      <c r="AV10" t="s">
        <v>107</v>
      </c>
      <c r="AW10" t="s">
        <v>82</v>
      </c>
      <c r="AX10">
        <v>1</v>
      </c>
      <c r="AY10">
        <v>7164</v>
      </c>
      <c r="AZ10">
        <v>7164</v>
      </c>
    </row>
    <row r="11" spans="1:52" x14ac:dyDescent="0.25">
      <c r="D11">
        <v>10</v>
      </c>
      <c r="E11" t="s">
        <v>93</v>
      </c>
      <c r="F11" t="s">
        <v>82</v>
      </c>
      <c r="H11">
        <v>1</v>
      </c>
      <c r="I11">
        <v>5199</v>
      </c>
      <c r="N11">
        <v>10</v>
      </c>
      <c r="O11" t="s">
        <v>100</v>
      </c>
      <c r="P11" t="s">
        <v>83</v>
      </c>
      <c r="R11" s="10">
        <v>0</v>
      </c>
      <c r="S11" s="10">
        <v>0</v>
      </c>
      <c r="Y11">
        <v>10</v>
      </c>
      <c r="Z11" t="s">
        <v>125</v>
      </c>
      <c r="AA11" t="s">
        <v>82</v>
      </c>
      <c r="AC11">
        <v>1</v>
      </c>
      <c r="AD11">
        <v>7965</v>
      </c>
      <c r="AJ11">
        <v>10</v>
      </c>
      <c r="AK11" t="s">
        <v>141</v>
      </c>
      <c r="AL11" t="s">
        <v>82</v>
      </c>
      <c r="AN11">
        <v>1</v>
      </c>
      <c r="AO11">
        <v>3747</v>
      </c>
      <c r="AU11">
        <v>10</v>
      </c>
      <c r="AV11" t="s">
        <v>103</v>
      </c>
      <c r="AW11" t="s">
        <v>83</v>
      </c>
      <c r="AX11">
        <v>0</v>
      </c>
      <c r="AY11">
        <v>0</v>
      </c>
    </row>
    <row r="12" spans="1:52" x14ac:dyDescent="0.25">
      <c r="D12">
        <v>11</v>
      </c>
      <c r="E12" t="s">
        <v>94</v>
      </c>
      <c r="F12" t="s">
        <v>82</v>
      </c>
      <c r="H12" s="10">
        <v>0</v>
      </c>
      <c r="I12" s="10">
        <v>0</v>
      </c>
      <c r="N12">
        <v>11</v>
      </c>
      <c r="O12" t="s">
        <v>98</v>
      </c>
      <c r="P12" t="s">
        <v>83</v>
      </c>
      <c r="R12">
        <v>0</v>
      </c>
      <c r="S12">
        <v>7268</v>
      </c>
      <c r="Y12">
        <v>11</v>
      </c>
      <c r="Z12" t="s">
        <v>126</v>
      </c>
      <c r="AA12" t="s">
        <v>83</v>
      </c>
      <c r="AC12" s="10">
        <v>0</v>
      </c>
      <c r="AD12" s="10">
        <v>0</v>
      </c>
      <c r="AJ12">
        <v>11</v>
      </c>
      <c r="AK12" t="s">
        <v>128</v>
      </c>
      <c r="AL12" t="s">
        <v>83</v>
      </c>
      <c r="AN12">
        <v>1</v>
      </c>
      <c r="AO12">
        <v>5724</v>
      </c>
      <c r="AU12">
        <v>11</v>
      </c>
      <c r="AV12" t="s">
        <v>92</v>
      </c>
      <c r="AW12" t="s">
        <v>83</v>
      </c>
      <c r="AX12">
        <v>0</v>
      </c>
      <c r="AY12">
        <v>3959</v>
      </c>
    </row>
    <row r="13" spans="1:52" x14ac:dyDescent="0.25">
      <c r="D13">
        <v>12</v>
      </c>
      <c r="E13" t="s">
        <v>95</v>
      </c>
      <c r="F13" t="s">
        <v>83</v>
      </c>
      <c r="H13" s="10">
        <v>0</v>
      </c>
      <c r="I13" s="10">
        <v>0</v>
      </c>
      <c r="N13">
        <v>12</v>
      </c>
      <c r="O13" t="s">
        <v>97</v>
      </c>
      <c r="P13" t="s">
        <v>83</v>
      </c>
      <c r="R13" s="10">
        <v>0</v>
      </c>
      <c r="S13" s="10">
        <v>0</v>
      </c>
      <c r="Y13">
        <v>12</v>
      </c>
      <c r="Z13" t="s">
        <v>127</v>
      </c>
      <c r="AA13" t="s">
        <v>82</v>
      </c>
      <c r="AC13">
        <v>1</v>
      </c>
      <c r="AD13">
        <v>5472</v>
      </c>
      <c r="AJ13">
        <v>12</v>
      </c>
      <c r="AK13" t="s">
        <v>139</v>
      </c>
      <c r="AL13" t="s">
        <v>83</v>
      </c>
      <c r="AN13">
        <v>1</v>
      </c>
      <c r="AO13">
        <v>3947</v>
      </c>
      <c r="AU13">
        <v>12</v>
      </c>
      <c r="AV13" t="s">
        <v>96</v>
      </c>
      <c r="AW13" t="s">
        <v>82</v>
      </c>
      <c r="AX13">
        <v>1</v>
      </c>
      <c r="AY13">
        <v>7010</v>
      </c>
      <c r="AZ13">
        <v>7010</v>
      </c>
    </row>
    <row r="14" spans="1:52" x14ac:dyDescent="0.25">
      <c r="D14">
        <v>13</v>
      </c>
      <c r="E14" t="s">
        <v>96</v>
      </c>
      <c r="F14" t="s">
        <v>82</v>
      </c>
      <c r="H14">
        <v>1</v>
      </c>
      <c r="I14">
        <v>4677</v>
      </c>
      <c r="N14">
        <v>13</v>
      </c>
      <c r="O14" t="s">
        <v>93</v>
      </c>
      <c r="P14" t="s">
        <v>82</v>
      </c>
      <c r="R14">
        <v>1</v>
      </c>
      <c r="S14">
        <v>4430</v>
      </c>
      <c r="Y14">
        <v>13</v>
      </c>
      <c r="Z14" t="s">
        <v>128</v>
      </c>
      <c r="AA14" t="s">
        <v>83</v>
      </c>
      <c r="AC14">
        <v>1</v>
      </c>
      <c r="AD14">
        <v>6116</v>
      </c>
      <c r="AJ14">
        <v>13</v>
      </c>
      <c r="AK14" t="s">
        <v>135</v>
      </c>
      <c r="AL14" t="s">
        <v>83</v>
      </c>
      <c r="AN14" s="10">
        <v>0</v>
      </c>
      <c r="AO14" s="10">
        <v>6444</v>
      </c>
      <c r="AU14">
        <v>13</v>
      </c>
      <c r="AV14" t="s">
        <v>99</v>
      </c>
      <c r="AW14" t="s">
        <v>82</v>
      </c>
      <c r="AX14">
        <v>1</v>
      </c>
      <c r="AY14">
        <v>6996</v>
      </c>
      <c r="AZ14">
        <v>6996</v>
      </c>
    </row>
    <row r="15" spans="1:52" x14ac:dyDescent="0.25">
      <c r="D15">
        <v>14</v>
      </c>
      <c r="E15" t="s">
        <v>97</v>
      </c>
      <c r="F15" t="s">
        <v>83</v>
      </c>
      <c r="H15">
        <v>1</v>
      </c>
      <c r="I15">
        <v>3256</v>
      </c>
      <c r="N15">
        <v>14</v>
      </c>
      <c r="O15" t="s">
        <v>89</v>
      </c>
      <c r="P15" t="s">
        <v>83</v>
      </c>
      <c r="R15">
        <v>1</v>
      </c>
      <c r="S15">
        <v>2485</v>
      </c>
      <c r="Y15">
        <v>14</v>
      </c>
      <c r="Z15" t="s">
        <v>129</v>
      </c>
      <c r="AA15" t="s">
        <v>82</v>
      </c>
      <c r="AC15">
        <v>1</v>
      </c>
      <c r="AD15">
        <v>4464</v>
      </c>
      <c r="AJ15">
        <v>14</v>
      </c>
      <c r="AK15" t="s">
        <v>116</v>
      </c>
      <c r="AL15" t="s">
        <v>82</v>
      </c>
      <c r="AN15">
        <v>1</v>
      </c>
      <c r="AO15">
        <v>4819</v>
      </c>
      <c r="AU15">
        <v>14</v>
      </c>
      <c r="AV15" t="s">
        <v>87</v>
      </c>
      <c r="AW15" t="s">
        <v>82</v>
      </c>
      <c r="AX15">
        <v>1</v>
      </c>
      <c r="AY15">
        <v>3784</v>
      </c>
      <c r="AZ15">
        <v>3784</v>
      </c>
    </row>
    <row r="16" spans="1:52" x14ac:dyDescent="0.25">
      <c r="D16">
        <v>15</v>
      </c>
      <c r="E16" t="s">
        <v>98</v>
      </c>
      <c r="F16" t="s">
        <v>83</v>
      </c>
      <c r="H16" s="10">
        <v>0</v>
      </c>
      <c r="I16" s="10">
        <v>0</v>
      </c>
      <c r="N16">
        <v>15</v>
      </c>
      <c r="O16" t="s">
        <v>103</v>
      </c>
      <c r="P16" t="s">
        <v>83</v>
      </c>
      <c r="R16" s="10">
        <v>0</v>
      </c>
      <c r="S16" s="10">
        <v>6820</v>
      </c>
      <c r="Y16">
        <v>15</v>
      </c>
      <c r="Z16" t="s">
        <v>130</v>
      </c>
      <c r="AA16" t="s">
        <v>82</v>
      </c>
      <c r="AC16">
        <v>1</v>
      </c>
      <c r="AD16">
        <v>3290</v>
      </c>
      <c r="AJ16">
        <v>15</v>
      </c>
      <c r="AK16" t="s">
        <v>117</v>
      </c>
      <c r="AL16" t="s">
        <v>83</v>
      </c>
      <c r="AN16" s="10">
        <v>0</v>
      </c>
      <c r="AO16" s="10">
        <v>0</v>
      </c>
      <c r="AU16">
        <v>15</v>
      </c>
      <c r="AV16" t="s">
        <v>101</v>
      </c>
      <c r="AW16" t="s">
        <v>83</v>
      </c>
      <c r="AX16">
        <v>0</v>
      </c>
      <c r="AY16">
        <v>0</v>
      </c>
    </row>
    <row r="17" spans="4:52" x14ac:dyDescent="0.25">
      <c r="D17">
        <v>16</v>
      </c>
      <c r="E17" t="s">
        <v>99</v>
      </c>
      <c r="F17" t="s">
        <v>82</v>
      </c>
      <c r="H17">
        <v>1</v>
      </c>
      <c r="I17">
        <v>7287</v>
      </c>
      <c r="N17">
        <v>16</v>
      </c>
      <c r="O17" t="s">
        <v>84</v>
      </c>
      <c r="P17" t="s">
        <v>82</v>
      </c>
      <c r="R17">
        <v>1</v>
      </c>
      <c r="S17">
        <v>4384</v>
      </c>
      <c r="Y17">
        <v>16</v>
      </c>
      <c r="Z17" t="s">
        <v>131</v>
      </c>
      <c r="AA17" t="s">
        <v>83</v>
      </c>
      <c r="AC17">
        <v>1</v>
      </c>
      <c r="AD17">
        <v>7540</v>
      </c>
      <c r="AJ17">
        <v>16</v>
      </c>
      <c r="AK17" t="s">
        <v>121</v>
      </c>
      <c r="AL17" t="s">
        <v>83</v>
      </c>
      <c r="AN17" s="10">
        <v>0</v>
      </c>
      <c r="AO17" s="10">
        <v>0</v>
      </c>
      <c r="AU17">
        <v>16</v>
      </c>
      <c r="AV17" t="s">
        <v>89</v>
      </c>
      <c r="AW17" t="s">
        <v>83</v>
      </c>
      <c r="AX17">
        <v>0</v>
      </c>
      <c r="AY17">
        <v>0</v>
      </c>
    </row>
    <row r="18" spans="4:52" x14ac:dyDescent="0.25">
      <c r="D18">
        <v>17</v>
      </c>
      <c r="E18" t="s">
        <v>100</v>
      </c>
      <c r="F18" t="s">
        <v>83</v>
      </c>
      <c r="H18" s="10">
        <v>0</v>
      </c>
      <c r="I18" s="10">
        <v>5719</v>
      </c>
      <c r="N18">
        <v>17</v>
      </c>
      <c r="O18" t="s">
        <v>104</v>
      </c>
      <c r="P18" t="s">
        <v>82</v>
      </c>
      <c r="R18" s="10">
        <v>0</v>
      </c>
      <c r="S18" s="10">
        <v>0</v>
      </c>
      <c r="Y18">
        <v>17</v>
      </c>
      <c r="Z18" t="s">
        <v>132</v>
      </c>
      <c r="AA18" t="s">
        <v>83</v>
      </c>
      <c r="AC18">
        <v>1</v>
      </c>
      <c r="AD18">
        <v>2930</v>
      </c>
      <c r="AJ18">
        <v>17</v>
      </c>
      <c r="AK18" t="s">
        <v>132</v>
      </c>
      <c r="AL18" t="s">
        <v>83</v>
      </c>
      <c r="AN18">
        <v>1</v>
      </c>
      <c r="AO18">
        <v>4520</v>
      </c>
      <c r="AU18">
        <v>17</v>
      </c>
      <c r="AV18" t="s">
        <v>95</v>
      </c>
      <c r="AW18" t="s">
        <v>83</v>
      </c>
      <c r="AX18">
        <v>0</v>
      </c>
      <c r="AY18">
        <v>0</v>
      </c>
    </row>
    <row r="19" spans="4:52" x14ac:dyDescent="0.25">
      <c r="D19">
        <v>18</v>
      </c>
      <c r="E19" t="s">
        <v>101</v>
      </c>
      <c r="F19" t="s">
        <v>83</v>
      </c>
      <c r="H19">
        <v>1</v>
      </c>
      <c r="I19">
        <v>4698</v>
      </c>
      <c r="N19">
        <v>18</v>
      </c>
      <c r="O19" t="s">
        <v>96</v>
      </c>
      <c r="P19" t="s">
        <v>82</v>
      </c>
      <c r="R19">
        <v>1</v>
      </c>
      <c r="S19">
        <v>5483</v>
      </c>
      <c r="Y19">
        <v>18</v>
      </c>
      <c r="Z19" t="s">
        <v>133</v>
      </c>
      <c r="AA19" t="s">
        <v>83</v>
      </c>
      <c r="AC19" s="10">
        <v>0</v>
      </c>
      <c r="AD19" s="10">
        <v>4754</v>
      </c>
      <c r="AJ19">
        <v>18</v>
      </c>
      <c r="AK19" t="s">
        <v>127</v>
      </c>
      <c r="AL19" t="s">
        <v>82</v>
      </c>
      <c r="AN19">
        <v>1</v>
      </c>
      <c r="AO19">
        <v>5452</v>
      </c>
      <c r="AU19">
        <v>18</v>
      </c>
      <c r="AV19" t="s">
        <v>86</v>
      </c>
      <c r="AW19" t="s">
        <v>83</v>
      </c>
      <c r="AX19">
        <v>0</v>
      </c>
      <c r="AY19">
        <v>0</v>
      </c>
    </row>
    <row r="20" spans="4:52" x14ac:dyDescent="0.25">
      <c r="D20">
        <v>19</v>
      </c>
      <c r="E20" t="s">
        <v>102</v>
      </c>
      <c r="F20" t="s">
        <v>82</v>
      </c>
      <c r="H20" s="10">
        <v>0</v>
      </c>
      <c r="I20" s="10">
        <v>0</v>
      </c>
      <c r="N20">
        <v>19</v>
      </c>
      <c r="O20" t="s">
        <v>88</v>
      </c>
      <c r="P20" t="s">
        <v>82</v>
      </c>
      <c r="R20">
        <v>1</v>
      </c>
      <c r="S20">
        <v>5353</v>
      </c>
      <c r="Y20">
        <v>19</v>
      </c>
      <c r="Z20" t="s">
        <v>134</v>
      </c>
      <c r="AA20" t="s">
        <v>82</v>
      </c>
      <c r="AC20" s="10">
        <v>0</v>
      </c>
      <c r="AD20" s="10">
        <v>0</v>
      </c>
      <c r="AJ20">
        <v>19</v>
      </c>
      <c r="AK20" t="s">
        <v>129</v>
      </c>
      <c r="AL20" t="s">
        <v>82</v>
      </c>
      <c r="AN20">
        <v>1</v>
      </c>
      <c r="AO20">
        <v>6513</v>
      </c>
      <c r="AU20">
        <v>19</v>
      </c>
      <c r="AV20" t="s">
        <v>98</v>
      </c>
      <c r="AW20" t="s">
        <v>83</v>
      </c>
      <c r="AX20">
        <v>1</v>
      </c>
      <c r="AY20">
        <v>5994</v>
      </c>
      <c r="AZ20">
        <v>5994</v>
      </c>
    </row>
    <row r="21" spans="4:52" x14ac:dyDescent="0.25">
      <c r="D21">
        <v>20</v>
      </c>
      <c r="E21" t="s">
        <v>103</v>
      </c>
      <c r="F21" t="s">
        <v>83</v>
      </c>
      <c r="H21" s="10">
        <v>0</v>
      </c>
      <c r="I21" s="10">
        <v>3848</v>
      </c>
      <c r="N21">
        <v>20</v>
      </c>
      <c r="O21" t="s">
        <v>105</v>
      </c>
      <c r="P21" t="s">
        <v>83</v>
      </c>
      <c r="R21" s="10">
        <v>0</v>
      </c>
      <c r="S21" s="10">
        <v>0</v>
      </c>
      <c r="Y21">
        <v>20</v>
      </c>
      <c r="Z21" t="s">
        <v>135</v>
      </c>
      <c r="AA21" t="s">
        <v>83</v>
      </c>
      <c r="AC21" s="10">
        <v>0</v>
      </c>
      <c r="AD21" s="10">
        <v>0</v>
      </c>
      <c r="AJ21">
        <v>20</v>
      </c>
      <c r="AK21" t="s">
        <v>123</v>
      </c>
      <c r="AL21" t="s">
        <v>82</v>
      </c>
      <c r="AN21">
        <v>1</v>
      </c>
      <c r="AO21">
        <v>3393</v>
      </c>
      <c r="AU21">
        <v>20</v>
      </c>
      <c r="AV21" t="s">
        <v>84</v>
      </c>
      <c r="AW21" t="s">
        <v>82</v>
      </c>
      <c r="AX21">
        <v>1</v>
      </c>
      <c r="AY21">
        <v>6560</v>
      </c>
      <c r="AZ21">
        <v>6560</v>
      </c>
    </row>
    <row r="22" spans="4:52" x14ac:dyDescent="0.25">
      <c r="D22">
        <v>21</v>
      </c>
      <c r="E22" t="s">
        <v>104</v>
      </c>
      <c r="F22" t="s">
        <v>82</v>
      </c>
      <c r="H22" s="10">
        <v>0</v>
      </c>
      <c r="I22" s="10">
        <v>0</v>
      </c>
      <c r="N22">
        <v>21</v>
      </c>
      <c r="O22" t="s">
        <v>87</v>
      </c>
      <c r="P22" t="s">
        <v>82</v>
      </c>
      <c r="R22">
        <v>1</v>
      </c>
      <c r="S22">
        <v>4291</v>
      </c>
      <c r="Y22">
        <v>21</v>
      </c>
      <c r="Z22" t="s">
        <v>136</v>
      </c>
      <c r="AA22" t="s">
        <v>83</v>
      </c>
      <c r="AC22" s="10">
        <v>0</v>
      </c>
      <c r="AD22" s="10">
        <v>0</v>
      </c>
      <c r="AJ22">
        <v>21</v>
      </c>
      <c r="AK22" t="s">
        <v>122</v>
      </c>
      <c r="AL22" t="s">
        <v>82</v>
      </c>
      <c r="AN22">
        <v>1</v>
      </c>
      <c r="AO22">
        <v>6061</v>
      </c>
      <c r="AU22">
        <v>21</v>
      </c>
      <c r="AV22" t="s">
        <v>104</v>
      </c>
      <c r="AW22" t="s">
        <v>82</v>
      </c>
      <c r="AX22">
        <v>0</v>
      </c>
      <c r="AY22">
        <v>0</v>
      </c>
    </row>
    <row r="23" spans="4:52" x14ac:dyDescent="0.25">
      <c r="D23">
        <v>22</v>
      </c>
      <c r="E23" t="s">
        <v>105</v>
      </c>
      <c r="F23" t="s">
        <v>83</v>
      </c>
      <c r="H23">
        <v>1</v>
      </c>
      <c r="I23">
        <v>6914</v>
      </c>
      <c r="N23">
        <v>22</v>
      </c>
      <c r="O23" t="s">
        <v>92</v>
      </c>
      <c r="P23" t="s">
        <v>83</v>
      </c>
      <c r="R23">
        <v>1</v>
      </c>
      <c r="S23">
        <v>3733</v>
      </c>
      <c r="Y23">
        <v>22</v>
      </c>
      <c r="Z23" t="s">
        <v>137</v>
      </c>
      <c r="AA23" t="s">
        <v>83</v>
      </c>
      <c r="AC23" s="10">
        <v>0</v>
      </c>
      <c r="AD23" s="10">
        <v>0</v>
      </c>
      <c r="AJ23">
        <v>22</v>
      </c>
      <c r="AK23" t="s">
        <v>137</v>
      </c>
      <c r="AL23" t="s">
        <v>83</v>
      </c>
      <c r="AN23">
        <v>1</v>
      </c>
      <c r="AO23">
        <v>2654</v>
      </c>
      <c r="AU23">
        <v>22</v>
      </c>
      <c r="AV23" t="s">
        <v>91</v>
      </c>
      <c r="AW23" t="s">
        <v>83</v>
      </c>
      <c r="AX23">
        <v>1</v>
      </c>
      <c r="AY23">
        <v>6047</v>
      </c>
      <c r="AZ23">
        <v>6047</v>
      </c>
    </row>
    <row r="24" spans="4:52" x14ac:dyDescent="0.25">
      <c r="D24">
        <v>23</v>
      </c>
      <c r="E24" t="s">
        <v>106</v>
      </c>
      <c r="F24" t="s">
        <v>82</v>
      </c>
      <c r="H24">
        <v>1</v>
      </c>
      <c r="I24">
        <v>6789</v>
      </c>
      <c r="N24">
        <v>23</v>
      </c>
      <c r="O24" t="s">
        <v>108</v>
      </c>
      <c r="P24" t="s">
        <v>82</v>
      </c>
      <c r="R24">
        <v>1</v>
      </c>
      <c r="S24">
        <v>4243</v>
      </c>
      <c r="Y24">
        <v>23</v>
      </c>
      <c r="Z24" t="s">
        <v>138</v>
      </c>
      <c r="AA24" t="s">
        <v>83</v>
      </c>
      <c r="AC24">
        <v>1</v>
      </c>
      <c r="AD24">
        <v>5299</v>
      </c>
      <c r="AJ24">
        <v>23</v>
      </c>
      <c r="AK24" t="s">
        <v>138</v>
      </c>
      <c r="AL24" t="s">
        <v>83</v>
      </c>
      <c r="AN24">
        <v>1</v>
      </c>
      <c r="AO24">
        <v>6243</v>
      </c>
      <c r="AU24">
        <v>23</v>
      </c>
      <c r="AV24" t="s">
        <v>108</v>
      </c>
      <c r="AW24" t="s">
        <v>82</v>
      </c>
      <c r="AX24">
        <v>0</v>
      </c>
      <c r="AY24">
        <v>0</v>
      </c>
    </row>
    <row r="25" spans="4:52" x14ac:dyDescent="0.25">
      <c r="D25">
        <v>24</v>
      </c>
      <c r="E25" t="s">
        <v>107</v>
      </c>
      <c r="F25" t="s">
        <v>82</v>
      </c>
      <c r="H25">
        <v>1</v>
      </c>
      <c r="I25">
        <v>4770</v>
      </c>
      <c r="N25">
        <v>24</v>
      </c>
      <c r="O25" t="s">
        <v>101</v>
      </c>
      <c r="P25" t="s">
        <v>83</v>
      </c>
      <c r="R25" s="10">
        <v>0</v>
      </c>
      <c r="S25" s="10">
        <v>5706</v>
      </c>
      <c r="Y25">
        <v>24</v>
      </c>
      <c r="Z25" t="s">
        <v>139</v>
      </c>
      <c r="AA25" t="s">
        <v>83</v>
      </c>
      <c r="AC25" s="10">
        <v>0</v>
      </c>
      <c r="AD25" s="10">
        <v>0</v>
      </c>
      <c r="AJ25">
        <v>24</v>
      </c>
      <c r="AK25" t="s">
        <v>133</v>
      </c>
      <c r="AL25" t="s">
        <v>83</v>
      </c>
      <c r="AN25" s="10">
        <v>0</v>
      </c>
      <c r="AO25" s="10">
        <v>4064</v>
      </c>
      <c r="AU25">
        <v>24</v>
      </c>
      <c r="AV25" t="s">
        <v>88</v>
      </c>
      <c r="AW25" t="s">
        <v>82</v>
      </c>
      <c r="AX25">
        <v>0</v>
      </c>
      <c r="AY25">
        <v>0</v>
      </c>
    </row>
    <row r="26" spans="4:52" x14ac:dyDescent="0.25">
      <c r="D26">
        <v>25</v>
      </c>
      <c r="E26" t="s">
        <v>108</v>
      </c>
      <c r="F26" t="s">
        <v>82</v>
      </c>
      <c r="H26">
        <v>1</v>
      </c>
      <c r="I26">
        <v>2676</v>
      </c>
      <c r="N26">
        <v>25</v>
      </c>
      <c r="O26" t="s">
        <v>102</v>
      </c>
      <c r="P26" t="s">
        <v>82</v>
      </c>
      <c r="R26" s="10">
        <v>0</v>
      </c>
      <c r="S26" s="10">
        <v>0</v>
      </c>
      <c r="Y26">
        <v>25</v>
      </c>
      <c r="Z26" t="s">
        <v>140</v>
      </c>
      <c r="AA26" t="s">
        <v>83</v>
      </c>
      <c r="AC26">
        <v>1</v>
      </c>
      <c r="AD26">
        <v>3536</v>
      </c>
      <c r="AJ26">
        <v>25</v>
      </c>
      <c r="AK26" t="s">
        <v>120</v>
      </c>
      <c r="AL26" t="s">
        <v>82</v>
      </c>
      <c r="AN26" s="10">
        <v>0</v>
      </c>
      <c r="AO26" s="10">
        <v>6605</v>
      </c>
      <c r="AU26">
        <v>25</v>
      </c>
      <c r="AV26" t="s">
        <v>105</v>
      </c>
      <c r="AW26" t="s">
        <v>83</v>
      </c>
      <c r="AX26">
        <v>0</v>
      </c>
      <c r="AY26">
        <v>4367</v>
      </c>
    </row>
    <row r="27" spans="4:52" x14ac:dyDescent="0.25">
      <c r="D27">
        <v>26</v>
      </c>
      <c r="E27" t="s">
        <v>109</v>
      </c>
      <c r="F27" t="s">
        <v>82</v>
      </c>
      <c r="H27">
        <v>1</v>
      </c>
      <c r="I27">
        <v>4051</v>
      </c>
      <c r="N27">
        <v>26</v>
      </c>
      <c r="O27" t="s">
        <v>107</v>
      </c>
      <c r="P27" t="s">
        <v>82</v>
      </c>
      <c r="R27" s="10">
        <v>0</v>
      </c>
      <c r="S27" s="10">
        <v>0</v>
      </c>
      <c r="Y27">
        <v>26</v>
      </c>
      <c r="Z27" t="s">
        <v>141</v>
      </c>
      <c r="AA27" t="s">
        <v>82</v>
      </c>
      <c r="AC27">
        <v>1</v>
      </c>
      <c r="AD27">
        <v>4448</v>
      </c>
      <c r="AJ27">
        <v>26</v>
      </c>
      <c r="AK27" t="s">
        <v>131</v>
      </c>
      <c r="AL27" t="s">
        <v>83</v>
      </c>
      <c r="AN27" s="10">
        <v>0</v>
      </c>
      <c r="AO27" s="10">
        <v>0</v>
      </c>
      <c r="AU27">
        <v>26</v>
      </c>
      <c r="AV27" t="s">
        <v>106</v>
      </c>
      <c r="AW27" t="s">
        <v>82</v>
      </c>
      <c r="AX27">
        <v>0</v>
      </c>
      <c r="AY27">
        <v>0</v>
      </c>
    </row>
    <row r="28" spans="4:52" ht="15.75" x14ac:dyDescent="0.25">
      <c r="H28" s="5">
        <f>SUM(H2:H27)</f>
        <v>16</v>
      </c>
      <c r="R28" s="7">
        <f>SUM(R2:R27)</f>
        <v>13</v>
      </c>
      <c r="AC28" s="7">
        <f>SUM(AC2:AC27)</f>
        <v>14</v>
      </c>
      <c r="AN28" s="7">
        <f>SUM(AN2:AN27)</f>
        <v>17</v>
      </c>
      <c r="AO28" s="7">
        <f>SUM(AO2:AO27)</f>
        <v>96347</v>
      </c>
      <c r="AX28" s="7">
        <f>SUM(AX2:AX27)</f>
        <v>10</v>
      </c>
      <c r="AZ28">
        <f>SUM(AZ2:AZ27)</f>
        <v>62362</v>
      </c>
    </row>
    <row r="29" spans="4:52" x14ac:dyDescent="0.25">
      <c r="AY29" s="7">
        <f>AZ28/AX28</f>
        <v>6236.2</v>
      </c>
    </row>
    <row r="30" spans="4:52" x14ac:dyDescent="0.25">
      <c r="AO30">
        <v>3108</v>
      </c>
    </row>
    <row r="31" spans="4:52" x14ac:dyDescent="0.25">
      <c r="S31" s="10">
        <v>0</v>
      </c>
      <c r="AO31">
        <v>4189</v>
      </c>
    </row>
    <row r="32" spans="4:52" x14ac:dyDescent="0.25">
      <c r="I32">
        <v>3042</v>
      </c>
      <c r="S32">
        <v>4365</v>
      </c>
      <c r="AD32">
        <v>2465</v>
      </c>
      <c r="AO32" s="10">
        <v>0</v>
      </c>
    </row>
    <row r="33" spans="9:41" x14ac:dyDescent="0.25">
      <c r="I33">
        <v>5780</v>
      </c>
      <c r="S33">
        <v>4860</v>
      </c>
      <c r="AD33" s="10">
        <v>0</v>
      </c>
      <c r="AO33" s="10">
        <v>0</v>
      </c>
    </row>
    <row r="34" spans="9:41" x14ac:dyDescent="0.25">
      <c r="I34" s="10">
        <v>0</v>
      </c>
      <c r="S34">
        <v>3880</v>
      </c>
      <c r="AD34" s="10">
        <v>0</v>
      </c>
      <c r="AO34">
        <v>2293</v>
      </c>
    </row>
    <row r="35" spans="9:41" x14ac:dyDescent="0.25">
      <c r="I35">
        <v>3575</v>
      </c>
      <c r="S35">
        <v>4769</v>
      </c>
      <c r="AD35">
        <v>3049</v>
      </c>
      <c r="AO35">
        <v>6681</v>
      </c>
    </row>
    <row r="36" spans="9:41" x14ac:dyDescent="0.25">
      <c r="I36">
        <v>5183</v>
      </c>
      <c r="S36" s="10"/>
      <c r="AD36" s="10"/>
      <c r="AO36">
        <v>3687</v>
      </c>
    </row>
    <row r="37" spans="9:41" x14ac:dyDescent="0.25">
      <c r="I37">
        <v>2015</v>
      </c>
      <c r="S37">
        <v>6336</v>
      </c>
      <c r="AD37" s="10"/>
      <c r="AO37">
        <v>6203</v>
      </c>
    </row>
    <row r="38" spans="9:41" x14ac:dyDescent="0.25">
      <c r="I38" s="10">
        <v>0</v>
      </c>
      <c r="S38" s="10"/>
      <c r="AD38" s="10">
        <v>0</v>
      </c>
      <c r="AO38" s="10">
        <v>0</v>
      </c>
    </row>
    <row r="39" spans="9:41" x14ac:dyDescent="0.25">
      <c r="I39">
        <v>3376</v>
      </c>
      <c r="S39" s="10">
        <v>0</v>
      </c>
      <c r="AD39">
        <v>5315</v>
      </c>
      <c r="AO39">
        <v>3747</v>
      </c>
    </row>
    <row r="40" spans="9:41" x14ac:dyDescent="0.25">
      <c r="I40" s="10"/>
      <c r="S40" s="10">
        <v>0</v>
      </c>
      <c r="AD40">
        <v>4380</v>
      </c>
      <c r="AO40">
        <v>5724</v>
      </c>
    </row>
    <row r="41" spans="9:41" x14ac:dyDescent="0.25">
      <c r="I41">
        <v>5199</v>
      </c>
      <c r="S41">
        <v>7268</v>
      </c>
      <c r="AD41">
        <v>7965</v>
      </c>
      <c r="AO41">
        <v>3947</v>
      </c>
    </row>
    <row r="42" spans="9:41" x14ac:dyDescent="0.25">
      <c r="I42" s="10">
        <v>0</v>
      </c>
      <c r="S42" s="10">
        <v>0</v>
      </c>
      <c r="AD42" s="10">
        <v>0</v>
      </c>
      <c r="AO42" s="10"/>
    </row>
    <row r="43" spans="9:41" x14ac:dyDescent="0.25">
      <c r="I43" s="10">
        <v>0</v>
      </c>
      <c r="S43">
        <v>4430</v>
      </c>
      <c r="AD43">
        <v>5472</v>
      </c>
      <c r="AO43">
        <v>4819</v>
      </c>
    </row>
    <row r="44" spans="9:41" x14ac:dyDescent="0.25">
      <c r="I44">
        <v>4677</v>
      </c>
      <c r="S44">
        <v>2485</v>
      </c>
      <c r="AD44">
        <v>6116</v>
      </c>
      <c r="AO44" s="10">
        <v>0</v>
      </c>
    </row>
    <row r="45" spans="9:41" x14ac:dyDescent="0.25">
      <c r="I45">
        <v>3256</v>
      </c>
      <c r="S45" s="10"/>
      <c r="AD45">
        <v>4464</v>
      </c>
      <c r="AO45" s="10">
        <v>0</v>
      </c>
    </row>
    <row r="46" spans="9:41" x14ac:dyDescent="0.25">
      <c r="I46" s="10">
        <v>0</v>
      </c>
      <c r="S46">
        <v>4384</v>
      </c>
      <c r="AD46">
        <v>3290</v>
      </c>
      <c r="AO46">
        <v>4520</v>
      </c>
    </row>
    <row r="47" spans="9:41" x14ac:dyDescent="0.25">
      <c r="I47">
        <v>7287</v>
      </c>
      <c r="S47" s="10">
        <v>0</v>
      </c>
      <c r="AD47">
        <v>7540</v>
      </c>
      <c r="AO47">
        <v>5452</v>
      </c>
    </row>
    <row r="48" spans="9:41" x14ac:dyDescent="0.25">
      <c r="I48" s="10"/>
      <c r="S48">
        <v>5483</v>
      </c>
      <c r="AD48">
        <v>2930</v>
      </c>
      <c r="AO48">
        <v>6513</v>
      </c>
    </row>
    <row r="49" spans="2:42" x14ac:dyDescent="0.25">
      <c r="C49" t="s">
        <v>142</v>
      </c>
      <c r="D49" t="s">
        <v>143</v>
      </c>
      <c r="E49" t="s">
        <v>146</v>
      </c>
      <c r="F49" t="s">
        <v>589</v>
      </c>
      <c r="I49">
        <v>4698</v>
      </c>
      <c r="S49">
        <v>5353</v>
      </c>
      <c r="AD49" s="10"/>
      <c r="AO49">
        <v>3393</v>
      </c>
    </row>
    <row r="50" spans="2:42" x14ac:dyDescent="0.25">
      <c r="B50" t="s">
        <v>145</v>
      </c>
      <c r="C50">
        <v>4580.5</v>
      </c>
      <c r="D50">
        <v>5067.6899999999996</v>
      </c>
      <c r="E50">
        <v>4733.5</v>
      </c>
      <c r="F50">
        <v>4660.82</v>
      </c>
      <c r="I50" s="10">
        <v>0</v>
      </c>
      <c r="S50" s="10">
        <v>0</v>
      </c>
      <c r="AD50" s="10">
        <v>0</v>
      </c>
      <c r="AO50">
        <v>6061</v>
      </c>
    </row>
    <row r="51" spans="2:42" x14ac:dyDescent="0.25">
      <c r="I51" s="10"/>
      <c r="S51">
        <v>4291</v>
      </c>
      <c r="AD51" s="10">
        <v>0</v>
      </c>
      <c r="AO51">
        <v>2654</v>
      </c>
    </row>
    <row r="52" spans="2:42" x14ac:dyDescent="0.25">
      <c r="I52" s="10">
        <v>0</v>
      </c>
      <c r="S52">
        <v>3733</v>
      </c>
      <c r="AD52" s="10">
        <v>0</v>
      </c>
      <c r="AO52">
        <v>6243</v>
      </c>
    </row>
    <row r="53" spans="2:42" ht="15.75" x14ac:dyDescent="0.25">
      <c r="I53">
        <v>6914</v>
      </c>
      <c r="S53">
        <v>4243</v>
      </c>
      <c r="AD53" s="10">
        <v>0</v>
      </c>
      <c r="AN53" s="1">
        <f>AO53/AP53</f>
        <v>4660.8235294117649</v>
      </c>
      <c r="AO53" s="10">
        <f>SUM(AO30:AO52)</f>
        <v>79234</v>
      </c>
      <c r="AP53">
        <v>17</v>
      </c>
    </row>
    <row r="54" spans="2:42" x14ac:dyDescent="0.25">
      <c r="I54">
        <v>6789</v>
      </c>
      <c r="S54" s="10"/>
      <c r="AD54">
        <v>5299</v>
      </c>
      <c r="AO54" s="10"/>
    </row>
    <row r="55" spans="2:42" x14ac:dyDescent="0.25">
      <c r="I55">
        <v>4770</v>
      </c>
      <c r="S55" s="10">
        <v>0</v>
      </c>
      <c r="AD55" s="10">
        <v>0</v>
      </c>
      <c r="AO55" s="10"/>
    </row>
    <row r="56" spans="2:42" x14ac:dyDescent="0.25">
      <c r="C56" t="s">
        <v>142</v>
      </c>
      <c r="D56" t="s">
        <v>143</v>
      </c>
      <c r="E56" t="s">
        <v>144</v>
      </c>
      <c r="F56" t="s">
        <v>590</v>
      </c>
      <c r="I56">
        <v>2676</v>
      </c>
      <c r="R56" s="2" t="s">
        <v>113</v>
      </c>
      <c r="S56" s="10">
        <v>0</v>
      </c>
      <c r="AD56">
        <v>3536</v>
      </c>
    </row>
    <row r="57" spans="2:42" ht="15.75" x14ac:dyDescent="0.25">
      <c r="B57" t="s">
        <v>147</v>
      </c>
      <c r="C57">
        <v>16</v>
      </c>
      <c r="D57">
        <v>13</v>
      </c>
      <c r="E57">
        <v>14</v>
      </c>
      <c r="F57">
        <v>17</v>
      </c>
      <c r="H57" s="12" t="s">
        <v>110</v>
      </c>
      <c r="I57">
        <v>4051</v>
      </c>
      <c r="R57" s="2">
        <f>S57/T57</f>
        <v>5067.6923076923076</v>
      </c>
      <c r="S57" s="7">
        <f>SUM(S31:S56)</f>
        <v>65880</v>
      </c>
      <c r="T57">
        <v>13</v>
      </c>
      <c r="AC57" s="2" t="s">
        <v>110</v>
      </c>
      <c r="AD57">
        <v>4448</v>
      </c>
    </row>
    <row r="58" spans="2:42" ht="18.75" x14ac:dyDescent="0.3">
      <c r="H58" s="11">
        <f>I58/J58</f>
        <v>4580.5</v>
      </c>
      <c r="I58" s="5">
        <f>SUM(I32:I57)</f>
        <v>73288</v>
      </c>
      <c r="J58">
        <v>16</v>
      </c>
      <c r="AC58" s="13">
        <f>AD58/AE58</f>
        <v>4733.5</v>
      </c>
      <c r="AD58" s="7">
        <f>SUM(AD32:AD57)</f>
        <v>66269</v>
      </c>
      <c r="AE58">
        <v>14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8"/>
  <sheetViews>
    <sheetView topLeftCell="AN1" workbookViewId="0">
      <selection activeCell="AJ2" sqref="AJ2"/>
    </sheetView>
  </sheetViews>
  <sheetFormatPr baseColWidth="10" defaultRowHeight="15" x14ac:dyDescent="0.25"/>
  <cols>
    <col min="1" max="1" width="21.85546875" customWidth="1"/>
    <col min="2" max="2" width="16.85546875" customWidth="1"/>
    <col min="5" max="5" width="14.5703125" customWidth="1"/>
    <col min="6" max="6" width="18.28515625" customWidth="1"/>
    <col min="8" max="8" width="19" customWidth="1"/>
    <col min="9" max="9" width="18.85546875" customWidth="1"/>
    <col min="11" max="11" width="22.85546875" customWidth="1"/>
    <col min="18" max="18" width="20.28515625" customWidth="1"/>
    <col min="19" max="19" width="23.28515625" customWidth="1"/>
    <col min="28" max="28" width="18.85546875" customWidth="1"/>
    <col min="29" max="29" width="19.7109375" customWidth="1"/>
    <col min="31" max="31" width="25" customWidth="1"/>
    <col min="38" max="38" width="18.7109375" customWidth="1"/>
    <col min="42" max="42" width="15.85546875" customWidth="1"/>
  </cols>
  <sheetData>
    <row r="1" spans="1:50" ht="15.75" x14ac:dyDescent="0.25">
      <c r="A1" s="1" t="s">
        <v>75</v>
      </c>
      <c r="B1" s="2" t="s">
        <v>0</v>
      </c>
      <c r="C1" s="2" t="s">
        <v>1</v>
      </c>
      <c r="D1" s="2" t="s">
        <v>26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K1" s="1" t="s">
        <v>75</v>
      </c>
      <c r="L1" s="2" t="s">
        <v>0</v>
      </c>
      <c r="M1" s="2" t="s">
        <v>1</v>
      </c>
      <c r="N1" s="2" t="s">
        <v>26</v>
      </c>
      <c r="O1" s="2" t="s">
        <v>77</v>
      </c>
      <c r="P1" s="2" t="s">
        <v>78</v>
      </c>
      <c r="Q1" s="2" t="s">
        <v>79</v>
      </c>
      <c r="R1" s="2" t="s">
        <v>80</v>
      </c>
      <c r="S1" s="2" t="s">
        <v>81</v>
      </c>
      <c r="U1" s="1" t="s">
        <v>75</v>
      </c>
      <c r="V1" s="2" t="s">
        <v>0</v>
      </c>
      <c r="W1" s="2" t="s">
        <v>1</v>
      </c>
      <c r="X1" s="2" t="s">
        <v>26</v>
      </c>
      <c r="Y1" s="2" t="s">
        <v>77</v>
      </c>
      <c r="Z1" s="2" t="s">
        <v>78</v>
      </c>
      <c r="AA1" s="2" t="s">
        <v>79</v>
      </c>
      <c r="AB1" s="2" t="s">
        <v>80</v>
      </c>
      <c r="AC1" s="2" t="s">
        <v>81</v>
      </c>
      <c r="AE1" s="1" t="s">
        <v>8</v>
      </c>
      <c r="AF1" s="2" t="s">
        <v>0</v>
      </c>
      <c r="AG1" s="2" t="s">
        <v>1</v>
      </c>
      <c r="AH1" s="2" t="s">
        <v>26</v>
      </c>
      <c r="AI1" s="2" t="s">
        <v>77</v>
      </c>
      <c r="AJ1" s="2" t="s">
        <v>78</v>
      </c>
      <c r="AK1" s="2" t="s">
        <v>80</v>
      </c>
      <c r="AL1" s="2" t="s">
        <v>81</v>
      </c>
      <c r="AP1" s="1" t="s">
        <v>8</v>
      </c>
      <c r="AQ1" s="2" t="s">
        <v>0</v>
      </c>
      <c r="AR1" s="2" t="s">
        <v>1</v>
      </c>
      <c r="AS1" s="2" t="s">
        <v>26</v>
      </c>
      <c r="AT1" s="2" t="s">
        <v>756</v>
      </c>
      <c r="AU1" s="2" t="s">
        <v>755</v>
      </c>
      <c r="AV1" s="2" t="s">
        <v>80</v>
      </c>
      <c r="AW1" s="2" t="s">
        <v>81</v>
      </c>
      <c r="AX1" s="2" t="s">
        <v>81</v>
      </c>
    </row>
    <row r="2" spans="1:50" ht="15.75" x14ac:dyDescent="0.25">
      <c r="A2" s="3" t="s">
        <v>4</v>
      </c>
      <c r="B2">
        <v>1</v>
      </c>
      <c r="C2">
        <v>1</v>
      </c>
      <c r="D2">
        <v>1</v>
      </c>
      <c r="E2" t="s">
        <v>149</v>
      </c>
      <c r="F2" t="s">
        <v>82</v>
      </c>
      <c r="H2">
        <v>1</v>
      </c>
      <c r="I2">
        <v>2374</v>
      </c>
      <c r="K2" s="3" t="s">
        <v>176</v>
      </c>
      <c r="L2">
        <v>1</v>
      </c>
      <c r="M2">
        <v>1</v>
      </c>
      <c r="N2">
        <v>1</v>
      </c>
      <c r="O2" t="s">
        <v>164</v>
      </c>
      <c r="P2" t="s">
        <v>83</v>
      </c>
      <c r="R2" s="10">
        <v>0</v>
      </c>
      <c r="S2" s="10">
        <v>3170</v>
      </c>
      <c r="U2" s="3" t="s">
        <v>178</v>
      </c>
      <c r="V2">
        <v>2</v>
      </c>
      <c r="W2">
        <v>3</v>
      </c>
      <c r="X2">
        <v>1</v>
      </c>
      <c r="Y2" t="s">
        <v>180</v>
      </c>
      <c r="Z2" t="s">
        <v>82</v>
      </c>
      <c r="AB2">
        <v>1</v>
      </c>
      <c r="AC2">
        <v>3354</v>
      </c>
      <c r="AE2" s="3" t="s">
        <v>587</v>
      </c>
      <c r="AF2">
        <v>2</v>
      </c>
      <c r="AG2">
        <v>4</v>
      </c>
      <c r="AH2">
        <v>1</v>
      </c>
      <c r="AI2" t="s">
        <v>184</v>
      </c>
      <c r="AJ2" t="s">
        <v>83</v>
      </c>
      <c r="AK2" s="23">
        <v>1</v>
      </c>
      <c r="AL2" s="23">
        <v>1959</v>
      </c>
      <c r="AP2" s="3" t="s">
        <v>753</v>
      </c>
      <c r="AQ2">
        <v>1</v>
      </c>
      <c r="AR2">
        <v>5</v>
      </c>
      <c r="AS2">
        <v>1</v>
      </c>
      <c r="AT2" t="s">
        <v>154</v>
      </c>
      <c r="AU2" t="s">
        <v>82</v>
      </c>
      <c r="AV2">
        <v>0</v>
      </c>
      <c r="AW2">
        <v>0</v>
      </c>
      <c r="AX2">
        <v>0</v>
      </c>
    </row>
    <row r="3" spans="1:50" ht="15.75" x14ac:dyDescent="0.25">
      <c r="A3" s="1" t="s">
        <v>148</v>
      </c>
      <c r="D3">
        <v>2</v>
      </c>
      <c r="E3" t="s">
        <v>150</v>
      </c>
      <c r="F3" t="s">
        <v>82</v>
      </c>
      <c r="H3">
        <v>1</v>
      </c>
      <c r="I3">
        <v>5715</v>
      </c>
      <c r="K3" s="1" t="s">
        <v>148</v>
      </c>
      <c r="N3">
        <v>2</v>
      </c>
      <c r="O3" t="s">
        <v>168</v>
      </c>
      <c r="P3" t="s">
        <v>83</v>
      </c>
      <c r="R3">
        <v>1</v>
      </c>
      <c r="S3">
        <v>2240</v>
      </c>
      <c r="U3" s="1" t="s">
        <v>148</v>
      </c>
      <c r="X3">
        <v>2</v>
      </c>
      <c r="Y3" t="s">
        <v>181</v>
      </c>
      <c r="Z3" t="s">
        <v>83</v>
      </c>
      <c r="AB3">
        <v>1</v>
      </c>
      <c r="AC3">
        <v>3621</v>
      </c>
      <c r="AE3" s="1" t="s">
        <v>148</v>
      </c>
      <c r="AH3">
        <v>2</v>
      </c>
      <c r="AI3" t="s">
        <v>195</v>
      </c>
      <c r="AJ3" t="s">
        <v>82</v>
      </c>
      <c r="AK3" s="19">
        <v>0</v>
      </c>
      <c r="AL3" s="19">
        <v>3621</v>
      </c>
      <c r="AP3" s="1" t="s">
        <v>148</v>
      </c>
      <c r="AS3">
        <v>2</v>
      </c>
      <c r="AT3" t="s">
        <v>157</v>
      </c>
      <c r="AU3" t="s">
        <v>82</v>
      </c>
      <c r="AV3">
        <v>1</v>
      </c>
      <c r="AW3">
        <v>2806</v>
      </c>
      <c r="AX3">
        <v>2806</v>
      </c>
    </row>
    <row r="4" spans="1:50" ht="15.75" x14ac:dyDescent="0.25">
      <c r="A4" s="1" t="s">
        <v>7</v>
      </c>
      <c r="D4">
        <v>3</v>
      </c>
      <c r="E4" t="s">
        <v>151</v>
      </c>
      <c r="F4" t="s">
        <v>83</v>
      </c>
      <c r="H4">
        <v>1</v>
      </c>
      <c r="I4">
        <v>3747</v>
      </c>
      <c r="K4" s="1" t="s">
        <v>177</v>
      </c>
      <c r="N4">
        <v>3</v>
      </c>
      <c r="O4" t="s">
        <v>169</v>
      </c>
      <c r="P4" t="s">
        <v>82</v>
      </c>
      <c r="R4">
        <v>1</v>
      </c>
      <c r="S4">
        <v>2122</v>
      </c>
      <c r="U4" s="1" t="s">
        <v>179</v>
      </c>
      <c r="X4">
        <v>3</v>
      </c>
      <c r="Y4" t="s">
        <v>182</v>
      </c>
      <c r="Z4" t="s">
        <v>83</v>
      </c>
      <c r="AB4">
        <v>1</v>
      </c>
      <c r="AC4">
        <v>2820</v>
      </c>
      <c r="AE4" s="1" t="s">
        <v>588</v>
      </c>
      <c r="AH4">
        <v>3</v>
      </c>
      <c r="AI4" t="s">
        <v>203</v>
      </c>
      <c r="AJ4" t="s">
        <v>83</v>
      </c>
      <c r="AK4" s="23">
        <v>1</v>
      </c>
      <c r="AL4" s="23">
        <v>2835</v>
      </c>
      <c r="AP4" s="1" t="s">
        <v>757</v>
      </c>
      <c r="AS4">
        <v>3</v>
      </c>
      <c r="AT4" t="s">
        <v>173</v>
      </c>
      <c r="AU4" t="s">
        <v>83</v>
      </c>
      <c r="AV4">
        <v>1</v>
      </c>
      <c r="AW4">
        <v>7675</v>
      </c>
      <c r="AX4">
        <v>7675</v>
      </c>
    </row>
    <row r="5" spans="1:50" ht="15.75" x14ac:dyDescent="0.25">
      <c r="D5">
        <v>4</v>
      </c>
      <c r="E5" t="s">
        <v>152</v>
      </c>
      <c r="F5" t="s">
        <v>83</v>
      </c>
      <c r="H5" s="10">
        <v>0</v>
      </c>
      <c r="I5" s="10">
        <v>0</v>
      </c>
      <c r="N5">
        <v>4</v>
      </c>
      <c r="O5" t="s">
        <v>153</v>
      </c>
      <c r="P5" t="s">
        <v>82</v>
      </c>
      <c r="R5">
        <v>1</v>
      </c>
      <c r="S5">
        <v>3141</v>
      </c>
      <c r="X5">
        <v>4</v>
      </c>
      <c r="Y5" t="s">
        <v>183</v>
      </c>
      <c r="Z5" t="s">
        <v>83</v>
      </c>
      <c r="AB5" s="10">
        <v>0</v>
      </c>
      <c r="AC5" s="10">
        <v>0</v>
      </c>
      <c r="AH5">
        <v>4</v>
      </c>
      <c r="AI5" t="s">
        <v>188</v>
      </c>
      <c r="AJ5" t="s">
        <v>83</v>
      </c>
      <c r="AK5" s="23">
        <v>1</v>
      </c>
      <c r="AL5" s="23">
        <v>4560</v>
      </c>
      <c r="AS5">
        <v>4</v>
      </c>
      <c r="AT5" t="s">
        <v>150</v>
      </c>
      <c r="AU5" t="s">
        <v>82</v>
      </c>
      <c r="AV5">
        <v>0</v>
      </c>
      <c r="AW5">
        <v>0</v>
      </c>
      <c r="AX5">
        <v>0</v>
      </c>
    </row>
    <row r="6" spans="1:50" ht="15.75" x14ac:dyDescent="0.25">
      <c r="D6">
        <v>5</v>
      </c>
      <c r="E6" t="s">
        <v>153</v>
      </c>
      <c r="F6" t="s">
        <v>82</v>
      </c>
      <c r="H6" s="10">
        <v>0</v>
      </c>
      <c r="I6" s="10">
        <v>2703</v>
      </c>
      <c r="N6">
        <v>5</v>
      </c>
      <c r="O6" t="s">
        <v>171</v>
      </c>
      <c r="P6" t="s">
        <v>83</v>
      </c>
      <c r="R6">
        <v>1</v>
      </c>
      <c r="S6">
        <v>1943</v>
      </c>
      <c r="X6">
        <v>5</v>
      </c>
      <c r="Y6" t="s">
        <v>184</v>
      </c>
      <c r="Z6" t="s">
        <v>83</v>
      </c>
      <c r="AB6">
        <v>1</v>
      </c>
      <c r="AC6">
        <v>2723</v>
      </c>
      <c r="AH6">
        <v>5</v>
      </c>
      <c r="AI6" t="s">
        <v>199</v>
      </c>
      <c r="AJ6" t="s">
        <v>82</v>
      </c>
      <c r="AK6" s="23">
        <v>1</v>
      </c>
      <c r="AL6" s="23">
        <v>3363</v>
      </c>
      <c r="AS6">
        <v>5</v>
      </c>
      <c r="AT6" t="s">
        <v>153</v>
      </c>
      <c r="AU6" t="s">
        <v>82</v>
      </c>
      <c r="AV6">
        <v>0</v>
      </c>
      <c r="AW6">
        <v>3408</v>
      </c>
    </row>
    <row r="7" spans="1:50" ht="15.75" x14ac:dyDescent="0.25">
      <c r="D7">
        <v>6</v>
      </c>
      <c r="E7" t="s">
        <v>154</v>
      </c>
      <c r="F7" t="s">
        <v>82</v>
      </c>
      <c r="H7" s="10">
        <v>0</v>
      </c>
      <c r="I7" s="10">
        <v>2199</v>
      </c>
      <c r="N7">
        <v>6</v>
      </c>
      <c r="O7" t="s">
        <v>173</v>
      </c>
      <c r="P7" t="s">
        <v>83</v>
      </c>
      <c r="R7">
        <v>1</v>
      </c>
      <c r="S7">
        <v>3725</v>
      </c>
      <c r="X7">
        <v>6</v>
      </c>
      <c r="Y7" t="s">
        <v>185</v>
      </c>
      <c r="Z7" t="s">
        <v>83</v>
      </c>
      <c r="AB7" s="10">
        <v>0</v>
      </c>
      <c r="AC7" s="10">
        <v>0</v>
      </c>
      <c r="AH7">
        <v>6</v>
      </c>
      <c r="AI7" t="s">
        <v>198</v>
      </c>
      <c r="AJ7" t="s">
        <v>82</v>
      </c>
      <c r="AK7" s="23">
        <v>1</v>
      </c>
      <c r="AL7" s="23">
        <v>2711</v>
      </c>
      <c r="AS7">
        <v>6</v>
      </c>
      <c r="AT7" t="s">
        <v>172</v>
      </c>
      <c r="AU7" t="s">
        <v>83</v>
      </c>
      <c r="AV7">
        <v>0</v>
      </c>
      <c r="AW7">
        <v>0</v>
      </c>
      <c r="AX7">
        <v>0</v>
      </c>
    </row>
    <row r="8" spans="1:50" ht="15.75" x14ac:dyDescent="0.25">
      <c r="D8">
        <v>7</v>
      </c>
      <c r="E8" t="s">
        <v>155</v>
      </c>
      <c r="F8" t="s">
        <v>82</v>
      </c>
      <c r="H8">
        <v>1</v>
      </c>
      <c r="I8">
        <v>2030</v>
      </c>
      <c r="N8">
        <v>7</v>
      </c>
      <c r="O8" t="s">
        <v>167</v>
      </c>
      <c r="P8" t="s">
        <v>83</v>
      </c>
      <c r="R8" s="10">
        <v>0</v>
      </c>
      <c r="S8" s="10">
        <v>3367</v>
      </c>
      <c r="X8">
        <v>7</v>
      </c>
      <c r="Y8" t="s">
        <v>186</v>
      </c>
      <c r="Z8" t="s">
        <v>82</v>
      </c>
      <c r="AB8" s="10">
        <v>0</v>
      </c>
      <c r="AC8" s="10">
        <v>6141</v>
      </c>
      <c r="AH8">
        <v>7</v>
      </c>
      <c r="AI8" t="s">
        <v>183</v>
      </c>
      <c r="AJ8" t="s">
        <v>83</v>
      </c>
      <c r="AK8" s="23">
        <v>1</v>
      </c>
      <c r="AL8" s="23">
        <v>6494</v>
      </c>
      <c r="AS8">
        <v>7</v>
      </c>
      <c r="AT8" t="s">
        <v>166</v>
      </c>
      <c r="AU8" t="s">
        <v>83</v>
      </c>
      <c r="AV8">
        <v>1</v>
      </c>
      <c r="AW8">
        <v>4494</v>
      </c>
      <c r="AX8">
        <v>4494</v>
      </c>
    </row>
    <row r="9" spans="1:50" ht="15.75" x14ac:dyDescent="0.25">
      <c r="D9">
        <v>8</v>
      </c>
      <c r="E9" t="s">
        <v>156</v>
      </c>
      <c r="F9" t="s">
        <v>83</v>
      </c>
      <c r="H9" s="10">
        <v>0</v>
      </c>
      <c r="I9" s="10">
        <v>3008</v>
      </c>
      <c r="N9">
        <v>8</v>
      </c>
      <c r="O9" t="s">
        <v>150</v>
      </c>
      <c r="P9" t="s">
        <v>82</v>
      </c>
      <c r="R9">
        <v>1</v>
      </c>
      <c r="S9">
        <v>4146</v>
      </c>
      <c r="X9">
        <v>8</v>
      </c>
      <c r="Y9" t="s">
        <v>187</v>
      </c>
      <c r="Z9" t="s">
        <v>82</v>
      </c>
      <c r="AB9">
        <v>1</v>
      </c>
      <c r="AC9">
        <v>5232</v>
      </c>
      <c r="AH9">
        <v>8</v>
      </c>
      <c r="AI9" t="s">
        <v>191</v>
      </c>
      <c r="AJ9" t="s">
        <v>82</v>
      </c>
      <c r="AK9" s="19">
        <v>0</v>
      </c>
      <c r="AL9" s="19">
        <v>0</v>
      </c>
      <c r="AS9">
        <v>8</v>
      </c>
      <c r="AT9" t="s">
        <v>159</v>
      </c>
      <c r="AU9" t="s">
        <v>82</v>
      </c>
      <c r="AV9">
        <v>0</v>
      </c>
      <c r="AW9">
        <v>0</v>
      </c>
      <c r="AX9">
        <v>0</v>
      </c>
    </row>
    <row r="10" spans="1:50" ht="15.75" x14ac:dyDescent="0.25">
      <c r="D10">
        <v>9</v>
      </c>
      <c r="E10" t="s">
        <v>157</v>
      </c>
      <c r="F10" t="s">
        <v>82</v>
      </c>
      <c r="H10">
        <v>1</v>
      </c>
      <c r="I10">
        <v>1681</v>
      </c>
      <c r="N10">
        <v>9</v>
      </c>
      <c r="O10" t="s">
        <v>160</v>
      </c>
      <c r="P10" t="s">
        <v>83</v>
      </c>
      <c r="R10">
        <v>1</v>
      </c>
      <c r="S10">
        <v>5817</v>
      </c>
      <c r="X10">
        <v>9</v>
      </c>
      <c r="Y10" t="s">
        <v>188</v>
      </c>
      <c r="Z10" t="s">
        <v>83</v>
      </c>
      <c r="AB10" s="10">
        <v>0</v>
      </c>
      <c r="AC10" s="10">
        <v>0</v>
      </c>
      <c r="AH10">
        <v>9</v>
      </c>
      <c r="AI10" t="s">
        <v>193</v>
      </c>
      <c r="AJ10" t="s">
        <v>83</v>
      </c>
      <c r="AK10" s="23">
        <v>1</v>
      </c>
      <c r="AL10" s="23">
        <v>4908</v>
      </c>
      <c r="AS10">
        <v>9</v>
      </c>
      <c r="AT10" t="s">
        <v>169</v>
      </c>
      <c r="AU10" t="s">
        <v>82</v>
      </c>
      <c r="AV10">
        <v>1</v>
      </c>
      <c r="AW10">
        <v>3548</v>
      </c>
      <c r="AX10">
        <v>3548</v>
      </c>
    </row>
    <row r="11" spans="1:50" ht="15.75" x14ac:dyDescent="0.25">
      <c r="D11">
        <v>10</v>
      </c>
      <c r="E11" t="s">
        <v>158</v>
      </c>
      <c r="F11" t="s">
        <v>82</v>
      </c>
      <c r="H11">
        <v>1</v>
      </c>
      <c r="I11">
        <v>1572</v>
      </c>
      <c r="N11">
        <v>10</v>
      </c>
      <c r="O11" t="s">
        <v>157</v>
      </c>
      <c r="P11" t="s">
        <v>82</v>
      </c>
      <c r="R11">
        <v>1</v>
      </c>
      <c r="S11">
        <v>1709</v>
      </c>
      <c r="X11">
        <v>10</v>
      </c>
      <c r="Y11" t="s">
        <v>189</v>
      </c>
      <c r="Z11" t="s">
        <v>83</v>
      </c>
      <c r="AB11">
        <v>1</v>
      </c>
      <c r="AC11">
        <v>3219</v>
      </c>
      <c r="AH11">
        <v>10</v>
      </c>
      <c r="AI11" t="s">
        <v>205</v>
      </c>
      <c r="AJ11" t="s">
        <v>82</v>
      </c>
      <c r="AK11" s="23">
        <v>1</v>
      </c>
      <c r="AL11" s="23">
        <v>5123</v>
      </c>
      <c r="AS11">
        <v>10</v>
      </c>
      <c r="AT11" t="s">
        <v>174</v>
      </c>
      <c r="AU11" t="s">
        <v>82</v>
      </c>
      <c r="AV11">
        <v>1</v>
      </c>
      <c r="AW11">
        <v>3315</v>
      </c>
      <c r="AX11">
        <v>3315</v>
      </c>
    </row>
    <row r="12" spans="1:50" ht="15.75" x14ac:dyDescent="0.25">
      <c r="D12">
        <v>11</v>
      </c>
      <c r="E12" t="s">
        <v>159</v>
      </c>
      <c r="F12" t="s">
        <v>82</v>
      </c>
      <c r="H12" s="10">
        <v>0</v>
      </c>
      <c r="I12" s="10">
        <v>4877</v>
      </c>
      <c r="N12">
        <v>11</v>
      </c>
      <c r="O12" t="s">
        <v>166</v>
      </c>
      <c r="P12" t="s">
        <v>83</v>
      </c>
      <c r="R12">
        <v>1</v>
      </c>
      <c r="S12">
        <v>5371</v>
      </c>
      <c r="X12">
        <v>11</v>
      </c>
      <c r="Y12" t="s">
        <v>190</v>
      </c>
      <c r="Z12" t="s">
        <v>83</v>
      </c>
      <c r="AB12">
        <v>1</v>
      </c>
      <c r="AC12">
        <v>3259</v>
      </c>
      <c r="AH12">
        <v>11</v>
      </c>
      <c r="AI12" t="s">
        <v>196</v>
      </c>
      <c r="AJ12" t="s">
        <v>83</v>
      </c>
      <c r="AK12" s="19">
        <v>0</v>
      </c>
      <c r="AL12" s="19">
        <v>5170</v>
      </c>
      <c r="AS12">
        <v>11</v>
      </c>
      <c r="AT12" t="s">
        <v>171</v>
      </c>
      <c r="AU12" t="s">
        <v>83</v>
      </c>
      <c r="AV12">
        <v>1</v>
      </c>
      <c r="AW12">
        <v>3645</v>
      </c>
      <c r="AX12">
        <v>3645</v>
      </c>
    </row>
    <row r="13" spans="1:50" ht="15.75" x14ac:dyDescent="0.25">
      <c r="D13">
        <v>12</v>
      </c>
      <c r="E13" t="s">
        <v>160</v>
      </c>
      <c r="F13" t="s">
        <v>83</v>
      </c>
      <c r="H13" s="10">
        <v>0</v>
      </c>
      <c r="I13" s="10">
        <v>0</v>
      </c>
      <c r="N13">
        <v>12</v>
      </c>
      <c r="O13" t="s">
        <v>172</v>
      </c>
      <c r="P13" t="s">
        <v>83</v>
      </c>
      <c r="R13" s="10">
        <v>0</v>
      </c>
      <c r="S13" s="10">
        <v>0</v>
      </c>
      <c r="X13">
        <v>12</v>
      </c>
      <c r="Y13" t="s">
        <v>191</v>
      </c>
      <c r="Z13" t="s">
        <v>82</v>
      </c>
      <c r="AB13" s="10">
        <v>0</v>
      </c>
      <c r="AC13" s="10">
        <v>0</v>
      </c>
      <c r="AH13">
        <v>12</v>
      </c>
      <c r="AI13" t="s">
        <v>187</v>
      </c>
      <c r="AJ13" t="s">
        <v>82</v>
      </c>
      <c r="AK13" s="23">
        <v>1</v>
      </c>
      <c r="AL13" s="23">
        <v>6440</v>
      </c>
      <c r="AS13">
        <v>12</v>
      </c>
      <c r="AT13" t="s">
        <v>165</v>
      </c>
      <c r="AU13" t="s">
        <v>82</v>
      </c>
      <c r="AV13">
        <v>0</v>
      </c>
      <c r="AW13">
        <v>0</v>
      </c>
      <c r="AX13">
        <v>0</v>
      </c>
    </row>
    <row r="14" spans="1:50" ht="15.75" x14ac:dyDescent="0.25">
      <c r="D14">
        <v>13</v>
      </c>
      <c r="E14" t="s">
        <v>161</v>
      </c>
      <c r="F14" t="s">
        <v>83</v>
      </c>
      <c r="H14" s="10">
        <v>0</v>
      </c>
      <c r="I14" s="10">
        <v>3907</v>
      </c>
      <c r="N14">
        <v>13</v>
      </c>
      <c r="O14" t="s">
        <v>154</v>
      </c>
      <c r="P14" t="s">
        <v>82</v>
      </c>
      <c r="R14" s="10">
        <v>0</v>
      </c>
      <c r="S14" s="10">
        <v>2233</v>
      </c>
      <c r="X14">
        <v>13</v>
      </c>
      <c r="Y14" t="s">
        <v>192</v>
      </c>
      <c r="Z14" t="s">
        <v>82</v>
      </c>
      <c r="AB14">
        <v>1</v>
      </c>
      <c r="AC14">
        <v>2007</v>
      </c>
      <c r="AH14">
        <v>13</v>
      </c>
      <c r="AI14" t="s">
        <v>200</v>
      </c>
      <c r="AJ14" t="s">
        <v>83</v>
      </c>
      <c r="AK14" s="19">
        <v>0</v>
      </c>
      <c r="AL14" s="19">
        <v>2497</v>
      </c>
      <c r="AS14">
        <v>13</v>
      </c>
      <c r="AT14" t="s">
        <v>149</v>
      </c>
      <c r="AU14" t="s">
        <v>82</v>
      </c>
      <c r="AV14">
        <v>1</v>
      </c>
      <c r="AW14">
        <v>4128</v>
      </c>
      <c r="AX14">
        <v>4128</v>
      </c>
    </row>
    <row r="15" spans="1:50" ht="15.75" x14ac:dyDescent="0.25">
      <c r="D15">
        <v>14</v>
      </c>
      <c r="E15" t="s">
        <v>162</v>
      </c>
      <c r="F15" t="s">
        <v>83</v>
      </c>
      <c r="H15" s="10">
        <v>0</v>
      </c>
      <c r="I15" s="10">
        <v>3900</v>
      </c>
      <c r="N15">
        <v>14</v>
      </c>
      <c r="O15" t="s">
        <v>149</v>
      </c>
      <c r="P15" t="s">
        <v>82</v>
      </c>
      <c r="R15">
        <v>1</v>
      </c>
      <c r="S15">
        <v>4439</v>
      </c>
      <c r="X15">
        <v>14</v>
      </c>
      <c r="Y15" t="s">
        <v>193</v>
      </c>
      <c r="Z15" t="s">
        <v>83</v>
      </c>
      <c r="AB15">
        <v>1</v>
      </c>
      <c r="AC15">
        <v>5767</v>
      </c>
      <c r="AH15">
        <v>14</v>
      </c>
      <c r="AI15" t="s">
        <v>186</v>
      </c>
      <c r="AJ15" t="s">
        <v>82</v>
      </c>
      <c r="AK15" s="23">
        <v>1</v>
      </c>
      <c r="AL15" s="23">
        <v>3495</v>
      </c>
      <c r="AS15">
        <v>14</v>
      </c>
      <c r="AT15" t="s">
        <v>160</v>
      </c>
      <c r="AU15" t="s">
        <v>83</v>
      </c>
      <c r="AV15">
        <v>1</v>
      </c>
      <c r="AW15">
        <v>5449</v>
      </c>
      <c r="AX15">
        <v>5449</v>
      </c>
    </row>
    <row r="16" spans="1:50" ht="15.75" x14ac:dyDescent="0.25">
      <c r="D16">
        <v>15</v>
      </c>
      <c r="E16" t="s">
        <v>163</v>
      </c>
      <c r="F16" t="s">
        <v>82</v>
      </c>
      <c r="H16">
        <v>1</v>
      </c>
      <c r="I16">
        <v>4417</v>
      </c>
      <c r="N16">
        <v>15</v>
      </c>
      <c r="O16" t="s">
        <v>165</v>
      </c>
      <c r="P16" t="s">
        <v>82</v>
      </c>
      <c r="R16" s="10">
        <v>0</v>
      </c>
      <c r="S16" s="10">
        <v>3954</v>
      </c>
      <c r="X16">
        <v>15</v>
      </c>
      <c r="Y16" t="s">
        <v>194</v>
      </c>
      <c r="Z16" t="s">
        <v>82</v>
      </c>
      <c r="AB16">
        <v>1</v>
      </c>
      <c r="AC16">
        <v>7296</v>
      </c>
      <c r="AH16">
        <v>15</v>
      </c>
      <c r="AI16" t="s">
        <v>182</v>
      </c>
      <c r="AJ16" t="s">
        <v>83</v>
      </c>
      <c r="AK16" s="23">
        <v>1</v>
      </c>
      <c r="AL16" s="23">
        <v>7308</v>
      </c>
      <c r="AS16">
        <v>15</v>
      </c>
      <c r="AT16" t="s">
        <v>170</v>
      </c>
      <c r="AU16" t="s">
        <v>82</v>
      </c>
      <c r="AV16">
        <v>1</v>
      </c>
      <c r="AW16">
        <v>5253</v>
      </c>
      <c r="AX16">
        <v>5253</v>
      </c>
    </row>
    <row r="17" spans="4:50" ht="15.75" x14ac:dyDescent="0.25">
      <c r="D17">
        <v>16</v>
      </c>
      <c r="E17" t="s">
        <v>164</v>
      </c>
      <c r="F17" t="s">
        <v>83</v>
      </c>
      <c r="H17" s="10">
        <v>0</v>
      </c>
      <c r="I17" s="10">
        <v>5234</v>
      </c>
      <c r="N17">
        <v>16</v>
      </c>
      <c r="O17" t="s">
        <v>158</v>
      </c>
      <c r="P17" t="s">
        <v>82</v>
      </c>
      <c r="R17">
        <v>1</v>
      </c>
      <c r="S17">
        <v>1956</v>
      </c>
      <c r="X17">
        <v>16</v>
      </c>
      <c r="Y17" t="s">
        <v>195</v>
      </c>
      <c r="Z17" t="s">
        <v>82</v>
      </c>
      <c r="AB17" s="10">
        <v>0</v>
      </c>
      <c r="AC17" s="10">
        <v>4361</v>
      </c>
      <c r="AH17">
        <v>16</v>
      </c>
      <c r="AI17" t="s">
        <v>181</v>
      </c>
      <c r="AJ17" t="s">
        <v>83</v>
      </c>
      <c r="AK17" s="19">
        <v>0</v>
      </c>
      <c r="AL17" s="19">
        <v>4667</v>
      </c>
      <c r="AS17">
        <v>16</v>
      </c>
      <c r="AT17" t="s">
        <v>155</v>
      </c>
      <c r="AU17" t="s">
        <v>82</v>
      </c>
      <c r="AV17">
        <v>1</v>
      </c>
      <c r="AW17">
        <v>3774</v>
      </c>
      <c r="AX17">
        <v>3774</v>
      </c>
    </row>
    <row r="18" spans="4:50" ht="15.75" x14ac:dyDescent="0.25">
      <c r="D18">
        <v>17</v>
      </c>
      <c r="E18" t="s">
        <v>165</v>
      </c>
      <c r="F18" t="s">
        <v>82</v>
      </c>
      <c r="H18" s="10">
        <v>0</v>
      </c>
      <c r="I18" s="10">
        <v>4712</v>
      </c>
      <c r="N18">
        <v>17</v>
      </c>
      <c r="O18" t="s">
        <v>155</v>
      </c>
      <c r="P18" t="s">
        <v>82</v>
      </c>
      <c r="R18" s="10">
        <v>0</v>
      </c>
      <c r="S18" s="10">
        <v>3554</v>
      </c>
      <c r="X18">
        <v>17</v>
      </c>
      <c r="Y18" t="s">
        <v>196</v>
      </c>
      <c r="Z18" t="s">
        <v>83</v>
      </c>
      <c r="AB18" s="10">
        <v>0</v>
      </c>
      <c r="AC18" s="10">
        <v>5268</v>
      </c>
      <c r="AH18">
        <v>17</v>
      </c>
      <c r="AI18" t="s">
        <v>189</v>
      </c>
      <c r="AJ18" t="s">
        <v>83</v>
      </c>
      <c r="AK18" s="23">
        <v>1</v>
      </c>
      <c r="AL18" s="23">
        <v>3122</v>
      </c>
      <c r="AS18">
        <v>17</v>
      </c>
      <c r="AT18" t="s">
        <v>162</v>
      </c>
      <c r="AU18" t="s">
        <v>83</v>
      </c>
      <c r="AV18">
        <v>0</v>
      </c>
      <c r="AW18">
        <v>0</v>
      </c>
      <c r="AX18">
        <v>0</v>
      </c>
    </row>
    <row r="19" spans="4:50" ht="15.75" x14ac:dyDescent="0.25">
      <c r="D19">
        <v>18</v>
      </c>
      <c r="E19" t="s">
        <v>166</v>
      </c>
      <c r="F19" t="s">
        <v>83</v>
      </c>
      <c r="H19">
        <v>1</v>
      </c>
      <c r="I19">
        <v>3759</v>
      </c>
      <c r="N19">
        <v>18</v>
      </c>
      <c r="O19" t="s">
        <v>151</v>
      </c>
      <c r="P19" t="s">
        <v>83</v>
      </c>
      <c r="R19" s="10">
        <v>0</v>
      </c>
      <c r="S19" s="10">
        <v>7075</v>
      </c>
      <c r="X19">
        <v>18</v>
      </c>
      <c r="Y19" t="s">
        <v>197</v>
      </c>
      <c r="Z19" t="s">
        <v>82</v>
      </c>
      <c r="AB19">
        <v>1</v>
      </c>
      <c r="AC19">
        <v>2244</v>
      </c>
      <c r="AH19">
        <v>18</v>
      </c>
      <c r="AI19" t="s">
        <v>180</v>
      </c>
      <c r="AJ19" t="s">
        <v>82</v>
      </c>
      <c r="AK19" s="23">
        <v>1</v>
      </c>
      <c r="AL19" s="23">
        <v>3244</v>
      </c>
      <c r="AS19">
        <v>18</v>
      </c>
      <c r="AT19" t="s">
        <v>161</v>
      </c>
      <c r="AU19" t="s">
        <v>83</v>
      </c>
      <c r="AV19">
        <v>0</v>
      </c>
      <c r="AW19">
        <v>0</v>
      </c>
      <c r="AX19">
        <v>0</v>
      </c>
    </row>
    <row r="20" spans="4:50" ht="15.75" x14ac:dyDescent="0.25">
      <c r="D20">
        <v>19</v>
      </c>
      <c r="E20" t="s">
        <v>167</v>
      </c>
      <c r="F20" t="s">
        <v>83</v>
      </c>
      <c r="H20" s="10">
        <v>0</v>
      </c>
      <c r="I20" s="10">
        <v>6287</v>
      </c>
      <c r="N20">
        <v>19</v>
      </c>
      <c r="O20" t="s">
        <v>174</v>
      </c>
      <c r="P20" t="s">
        <v>82</v>
      </c>
      <c r="R20">
        <v>1</v>
      </c>
      <c r="S20">
        <v>1767</v>
      </c>
      <c r="X20">
        <v>19</v>
      </c>
      <c r="Y20" t="s">
        <v>198</v>
      </c>
      <c r="Z20" t="s">
        <v>82</v>
      </c>
      <c r="AB20">
        <v>1</v>
      </c>
      <c r="AC20">
        <v>2695</v>
      </c>
      <c r="AH20">
        <v>19</v>
      </c>
      <c r="AI20" t="s">
        <v>192</v>
      </c>
      <c r="AJ20" t="s">
        <v>82</v>
      </c>
      <c r="AK20" s="23">
        <v>1</v>
      </c>
      <c r="AL20" s="23">
        <v>2349</v>
      </c>
      <c r="AS20">
        <v>19</v>
      </c>
      <c r="AT20" t="s">
        <v>158</v>
      </c>
      <c r="AU20" t="s">
        <v>82</v>
      </c>
      <c r="AV20">
        <v>1</v>
      </c>
      <c r="AW20">
        <v>3028</v>
      </c>
      <c r="AX20">
        <v>3028</v>
      </c>
    </row>
    <row r="21" spans="4:50" ht="15.75" x14ac:dyDescent="0.25">
      <c r="D21">
        <v>20</v>
      </c>
      <c r="E21" t="s">
        <v>168</v>
      </c>
      <c r="F21" t="s">
        <v>83</v>
      </c>
      <c r="H21">
        <v>1</v>
      </c>
      <c r="I21">
        <v>4063</v>
      </c>
      <c r="N21">
        <v>20</v>
      </c>
      <c r="O21" t="s">
        <v>162</v>
      </c>
      <c r="P21" t="s">
        <v>83</v>
      </c>
      <c r="R21" s="10">
        <v>0</v>
      </c>
      <c r="S21" s="10">
        <v>4725</v>
      </c>
      <c r="X21">
        <v>20</v>
      </c>
      <c r="Y21" t="s">
        <v>199</v>
      </c>
      <c r="Z21" t="s">
        <v>82</v>
      </c>
      <c r="AB21">
        <v>1</v>
      </c>
      <c r="AC21">
        <v>4014</v>
      </c>
      <c r="AH21">
        <v>20</v>
      </c>
      <c r="AI21" t="s">
        <v>204</v>
      </c>
      <c r="AJ21" t="s">
        <v>82</v>
      </c>
      <c r="AK21" s="23">
        <v>1</v>
      </c>
      <c r="AL21" s="23">
        <v>5438</v>
      </c>
      <c r="AS21">
        <v>20</v>
      </c>
      <c r="AT21" t="s">
        <v>156</v>
      </c>
      <c r="AU21" t="s">
        <v>83</v>
      </c>
      <c r="AV21">
        <v>0</v>
      </c>
      <c r="AW21">
        <v>0</v>
      </c>
      <c r="AX21">
        <v>0</v>
      </c>
    </row>
    <row r="22" spans="4:50" ht="15.75" x14ac:dyDescent="0.25">
      <c r="D22">
        <v>21</v>
      </c>
      <c r="E22" t="s">
        <v>169</v>
      </c>
      <c r="F22" t="s">
        <v>82</v>
      </c>
      <c r="H22">
        <v>1</v>
      </c>
      <c r="I22">
        <v>2257</v>
      </c>
      <c r="N22">
        <v>21</v>
      </c>
      <c r="O22" t="s">
        <v>159</v>
      </c>
      <c r="P22" t="s">
        <v>82</v>
      </c>
      <c r="R22" s="10">
        <v>0</v>
      </c>
      <c r="S22" s="10">
        <v>0</v>
      </c>
      <c r="X22">
        <v>21</v>
      </c>
      <c r="Y22" t="s">
        <v>200</v>
      </c>
      <c r="Z22" t="s">
        <v>83</v>
      </c>
      <c r="AB22" s="10">
        <v>0</v>
      </c>
      <c r="AC22" s="10">
        <v>3325</v>
      </c>
      <c r="AH22">
        <v>21</v>
      </c>
      <c r="AI22" t="s">
        <v>190</v>
      </c>
      <c r="AJ22" t="s">
        <v>83</v>
      </c>
      <c r="AK22" s="23">
        <v>1</v>
      </c>
      <c r="AL22" s="23">
        <v>1776</v>
      </c>
      <c r="AS22">
        <v>21</v>
      </c>
      <c r="AT22" t="s">
        <v>168</v>
      </c>
      <c r="AU22" t="s">
        <v>83</v>
      </c>
      <c r="AV22">
        <v>0</v>
      </c>
      <c r="AW22">
        <v>0</v>
      </c>
      <c r="AX22">
        <v>0</v>
      </c>
    </row>
    <row r="23" spans="4:50" ht="15.75" x14ac:dyDescent="0.25">
      <c r="D23">
        <v>22</v>
      </c>
      <c r="E23" t="s">
        <v>170</v>
      </c>
      <c r="F23" t="s">
        <v>82</v>
      </c>
      <c r="H23">
        <v>1</v>
      </c>
      <c r="I23">
        <v>4030</v>
      </c>
      <c r="N23">
        <v>22</v>
      </c>
      <c r="O23" t="s">
        <v>170</v>
      </c>
      <c r="P23" t="s">
        <v>82</v>
      </c>
      <c r="R23">
        <v>1</v>
      </c>
      <c r="S23">
        <v>3337</v>
      </c>
      <c r="X23">
        <v>22</v>
      </c>
      <c r="Y23" t="s">
        <v>201</v>
      </c>
      <c r="Z23" t="s">
        <v>82</v>
      </c>
      <c r="AB23">
        <v>1</v>
      </c>
      <c r="AC23">
        <v>2464</v>
      </c>
      <c r="AH23">
        <v>22</v>
      </c>
      <c r="AI23" t="s">
        <v>194</v>
      </c>
      <c r="AJ23" t="s">
        <v>82</v>
      </c>
      <c r="AK23" s="19">
        <v>0</v>
      </c>
      <c r="AL23" s="19">
        <v>4499</v>
      </c>
      <c r="AS23">
        <v>22</v>
      </c>
      <c r="AT23" t="s">
        <v>167</v>
      </c>
      <c r="AU23" t="s">
        <v>83</v>
      </c>
      <c r="AV23">
        <v>0</v>
      </c>
      <c r="AW23">
        <v>3862</v>
      </c>
    </row>
    <row r="24" spans="4:50" ht="15.75" x14ac:dyDescent="0.25">
      <c r="D24">
        <v>23</v>
      </c>
      <c r="E24" t="s">
        <v>171</v>
      </c>
      <c r="F24" t="s">
        <v>83</v>
      </c>
      <c r="H24">
        <v>1</v>
      </c>
      <c r="I24">
        <v>1884</v>
      </c>
      <c r="N24">
        <v>23</v>
      </c>
      <c r="O24" t="s">
        <v>156</v>
      </c>
      <c r="P24" t="s">
        <v>83</v>
      </c>
      <c r="R24" s="10">
        <v>0</v>
      </c>
      <c r="S24" s="10">
        <v>4670</v>
      </c>
      <c r="X24">
        <v>23</v>
      </c>
      <c r="Y24" t="s">
        <v>202</v>
      </c>
      <c r="Z24" t="s">
        <v>83</v>
      </c>
      <c r="AB24">
        <v>1</v>
      </c>
      <c r="AC24">
        <v>5465</v>
      </c>
      <c r="AH24">
        <v>23</v>
      </c>
      <c r="AI24" t="s">
        <v>201</v>
      </c>
      <c r="AJ24" t="s">
        <v>82</v>
      </c>
      <c r="AK24" s="23">
        <v>1</v>
      </c>
      <c r="AL24" s="23">
        <v>1673</v>
      </c>
      <c r="AS24">
        <v>23</v>
      </c>
      <c r="AT24" t="s">
        <v>151</v>
      </c>
      <c r="AU24" t="s">
        <v>83</v>
      </c>
      <c r="AV24">
        <v>0</v>
      </c>
      <c r="AW24">
        <v>0</v>
      </c>
      <c r="AX24">
        <v>0</v>
      </c>
    </row>
    <row r="25" spans="4:50" ht="15.75" x14ac:dyDescent="0.25">
      <c r="D25">
        <v>24</v>
      </c>
      <c r="E25" t="s">
        <v>172</v>
      </c>
      <c r="F25" t="s">
        <v>83</v>
      </c>
      <c r="H25" s="10">
        <v>0</v>
      </c>
      <c r="I25" s="10">
        <v>3435</v>
      </c>
      <c r="N25">
        <v>24</v>
      </c>
      <c r="O25" t="s">
        <v>163</v>
      </c>
      <c r="P25" t="s">
        <v>82</v>
      </c>
      <c r="R25" s="10">
        <v>0</v>
      </c>
      <c r="S25" s="10">
        <v>0</v>
      </c>
      <c r="X25">
        <v>24</v>
      </c>
      <c r="Y25" t="s">
        <v>203</v>
      </c>
      <c r="Z25" t="s">
        <v>83</v>
      </c>
      <c r="AB25">
        <v>1</v>
      </c>
      <c r="AC25">
        <v>3667</v>
      </c>
      <c r="AH25">
        <v>24</v>
      </c>
      <c r="AI25" t="s">
        <v>185</v>
      </c>
      <c r="AJ25" t="s">
        <v>83</v>
      </c>
      <c r="AK25" s="19">
        <v>0</v>
      </c>
      <c r="AL25" s="19">
        <v>3472</v>
      </c>
      <c r="AS25">
        <v>24</v>
      </c>
      <c r="AT25" t="s">
        <v>163</v>
      </c>
      <c r="AU25" t="s">
        <v>82</v>
      </c>
      <c r="AV25">
        <v>0</v>
      </c>
      <c r="AW25">
        <v>0</v>
      </c>
      <c r="AX25">
        <v>0</v>
      </c>
    </row>
    <row r="26" spans="4:50" ht="15.75" x14ac:dyDescent="0.25">
      <c r="D26">
        <v>25</v>
      </c>
      <c r="E26" t="s">
        <v>173</v>
      </c>
      <c r="F26" t="s">
        <v>83</v>
      </c>
      <c r="H26">
        <v>1</v>
      </c>
      <c r="I26">
        <v>7944</v>
      </c>
      <c r="N26">
        <v>25</v>
      </c>
      <c r="O26" t="s">
        <v>152</v>
      </c>
      <c r="P26" t="s">
        <v>83</v>
      </c>
      <c r="R26">
        <v>1</v>
      </c>
      <c r="S26">
        <v>6524</v>
      </c>
      <c r="X26">
        <v>25</v>
      </c>
      <c r="Y26" t="s">
        <v>204</v>
      </c>
      <c r="Z26" t="s">
        <v>82</v>
      </c>
      <c r="AB26">
        <v>1</v>
      </c>
      <c r="AC26">
        <v>3616</v>
      </c>
      <c r="AH26">
        <v>25</v>
      </c>
      <c r="AI26" t="s">
        <v>202</v>
      </c>
      <c r="AJ26" t="s">
        <v>83</v>
      </c>
      <c r="AK26" s="23">
        <v>1</v>
      </c>
      <c r="AL26" s="23">
        <v>6833</v>
      </c>
      <c r="AS26">
        <v>25</v>
      </c>
      <c r="AT26" t="s">
        <v>164</v>
      </c>
      <c r="AU26" t="s">
        <v>83</v>
      </c>
      <c r="AV26">
        <v>0</v>
      </c>
      <c r="AW26">
        <v>0</v>
      </c>
      <c r="AX26">
        <v>0</v>
      </c>
    </row>
    <row r="27" spans="4:50" ht="15.75" x14ac:dyDescent="0.25">
      <c r="D27">
        <v>26</v>
      </c>
      <c r="E27" t="s">
        <v>174</v>
      </c>
      <c r="F27" t="s">
        <v>82</v>
      </c>
      <c r="H27">
        <v>1</v>
      </c>
      <c r="I27">
        <v>1753</v>
      </c>
      <c r="N27">
        <v>26</v>
      </c>
      <c r="O27" t="s">
        <v>161</v>
      </c>
      <c r="P27" t="s">
        <v>83</v>
      </c>
      <c r="R27">
        <v>1</v>
      </c>
      <c r="S27">
        <v>5946</v>
      </c>
      <c r="X27">
        <v>26</v>
      </c>
      <c r="Y27" t="s">
        <v>205</v>
      </c>
      <c r="Z27" t="s">
        <v>82</v>
      </c>
      <c r="AB27" s="10">
        <v>0</v>
      </c>
      <c r="AC27" s="10">
        <v>6316</v>
      </c>
      <c r="AH27">
        <v>26</v>
      </c>
      <c r="AI27" t="s">
        <v>197</v>
      </c>
      <c r="AJ27" t="s">
        <v>82</v>
      </c>
      <c r="AK27" s="23">
        <v>1</v>
      </c>
      <c r="AL27" s="23">
        <v>2668</v>
      </c>
      <c r="AS27">
        <v>26</v>
      </c>
      <c r="AT27" t="s">
        <v>152</v>
      </c>
      <c r="AU27" t="s">
        <v>83</v>
      </c>
      <c r="AV27">
        <v>0</v>
      </c>
      <c r="AW27">
        <v>0</v>
      </c>
      <c r="AX27">
        <v>0</v>
      </c>
    </row>
    <row r="28" spans="4:50" ht="15.75" x14ac:dyDescent="0.25">
      <c r="H28" s="5">
        <f>SUM(H2:H27)</f>
        <v>14</v>
      </c>
      <c r="R28" s="5">
        <f>SUM(R2:R27)</f>
        <v>15</v>
      </c>
      <c r="AB28" s="7">
        <f>SUM(AB2:AB27)</f>
        <v>17</v>
      </c>
      <c r="AK28" s="5">
        <f>SUM(AK2:AK27)</f>
        <v>19</v>
      </c>
      <c r="AL28" s="5"/>
      <c r="AV28" s="7">
        <f>SUM(AV2:AV27)</f>
        <v>11</v>
      </c>
      <c r="AX28">
        <f>SUM(AX2:AX27)</f>
        <v>47115</v>
      </c>
    </row>
    <row r="29" spans="4:50" ht="15.75" x14ac:dyDescent="0.25">
      <c r="AL29" s="23">
        <v>1959</v>
      </c>
      <c r="AW29" s="7">
        <f>AX28/AV28</f>
        <v>4283.181818181818</v>
      </c>
    </row>
    <row r="30" spans="4:50" ht="15.75" x14ac:dyDescent="0.25">
      <c r="AL30" s="19"/>
    </row>
    <row r="31" spans="4:50" ht="15.75" x14ac:dyDescent="0.25">
      <c r="I31">
        <v>2374</v>
      </c>
      <c r="AC31">
        <v>3354</v>
      </c>
      <c r="AL31" s="23">
        <v>2835</v>
      </c>
    </row>
    <row r="32" spans="4:50" ht="15.75" x14ac:dyDescent="0.25">
      <c r="I32">
        <v>5715</v>
      </c>
      <c r="S32" s="10"/>
      <c r="AC32">
        <v>3621</v>
      </c>
      <c r="AL32" s="23">
        <v>4560</v>
      </c>
    </row>
    <row r="33" spans="2:38" ht="15.75" x14ac:dyDescent="0.25">
      <c r="I33">
        <v>3747</v>
      </c>
      <c r="S33">
        <v>2240</v>
      </c>
      <c r="AC33">
        <v>2820</v>
      </c>
      <c r="AL33" s="23">
        <v>3363</v>
      </c>
    </row>
    <row r="34" spans="2:38" ht="15.75" x14ac:dyDescent="0.25">
      <c r="I34" s="10"/>
      <c r="S34">
        <v>2122</v>
      </c>
      <c r="AC34" s="10">
        <v>0</v>
      </c>
      <c r="AL34" s="23">
        <v>2711</v>
      </c>
    </row>
    <row r="35" spans="2:38" ht="15.75" x14ac:dyDescent="0.25">
      <c r="I35" s="10"/>
      <c r="S35">
        <v>3141</v>
      </c>
      <c r="AC35">
        <v>2723</v>
      </c>
      <c r="AL35" s="23">
        <v>6494</v>
      </c>
    </row>
    <row r="36" spans="2:38" ht="15.75" x14ac:dyDescent="0.25">
      <c r="I36" s="10"/>
      <c r="S36">
        <v>1943</v>
      </c>
      <c r="AC36" s="10">
        <v>0</v>
      </c>
      <c r="AL36" s="19"/>
    </row>
    <row r="37" spans="2:38" ht="15.75" x14ac:dyDescent="0.25">
      <c r="I37">
        <v>2030</v>
      </c>
      <c r="S37">
        <v>3725</v>
      </c>
      <c r="AC37" s="10"/>
      <c r="AL37" s="23">
        <v>4908</v>
      </c>
    </row>
    <row r="38" spans="2:38" ht="15.75" x14ac:dyDescent="0.25">
      <c r="I38" s="10"/>
      <c r="S38" s="10"/>
      <c r="AC38">
        <v>5232</v>
      </c>
      <c r="AL38" s="23">
        <v>5123</v>
      </c>
    </row>
    <row r="39" spans="2:38" ht="15.75" x14ac:dyDescent="0.25">
      <c r="I39">
        <v>1681</v>
      </c>
      <c r="S39">
        <v>4146</v>
      </c>
      <c r="AC39" s="10">
        <v>0</v>
      </c>
      <c r="AL39" s="19"/>
    </row>
    <row r="40" spans="2:38" ht="15.75" x14ac:dyDescent="0.25">
      <c r="I40">
        <v>1572</v>
      </c>
      <c r="S40">
        <v>5817</v>
      </c>
      <c r="AC40">
        <v>3219</v>
      </c>
      <c r="AL40" s="23">
        <v>6440</v>
      </c>
    </row>
    <row r="41" spans="2:38" ht="15.75" x14ac:dyDescent="0.25">
      <c r="I41" s="10"/>
      <c r="S41">
        <v>1709</v>
      </c>
      <c r="AC41">
        <v>3259</v>
      </c>
      <c r="AL41" s="19"/>
    </row>
    <row r="42" spans="2:38" ht="15.75" x14ac:dyDescent="0.25">
      <c r="I42" s="10"/>
      <c r="S42">
        <v>5371</v>
      </c>
      <c r="AC42" s="10">
        <v>0</v>
      </c>
      <c r="AL42" s="23">
        <v>3495</v>
      </c>
    </row>
    <row r="43" spans="2:38" ht="15.75" x14ac:dyDescent="0.25">
      <c r="I43" s="10"/>
      <c r="S43" s="10">
        <v>0</v>
      </c>
      <c r="AC43">
        <v>2007</v>
      </c>
      <c r="AL43" s="23">
        <v>7308</v>
      </c>
    </row>
    <row r="44" spans="2:38" ht="15.75" x14ac:dyDescent="0.25">
      <c r="I44" s="10"/>
      <c r="S44" s="10"/>
      <c r="AC44">
        <v>5767</v>
      </c>
      <c r="AL44" s="19"/>
    </row>
    <row r="45" spans="2:38" ht="15.75" x14ac:dyDescent="0.25">
      <c r="I45">
        <v>4417</v>
      </c>
      <c r="S45">
        <v>4439</v>
      </c>
      <c r="AC45">
        <v>7296</v>
      </c>
      <c r="AL45" s="23">
        <v>3122</v>
      </c>
    </row>
    <row r="46" spans="2:38" ht="15.75" x14ac:dyDescent="0.25">
      <c r="I46" s="10"/>
      <c r="S46" s="10"/>
      <c r="AC46" s="10"/>
      <c r="AL46" s="23">
        <v>3244</v>
      </c>
    </row>
    <row r="47" spans="2:38" ht="15.75" x14ac:dyDescent="0.25">
      <c r="C47" t="s">
        <v>142</v>
      </c>
      <c r="D47" t="s">
        <v>207</v>
      </c>
      <c r="E47" t="s">
        <v>146</v>
      </c>
      <c r="F47" t="s">
        <v>592</v>
      </c>
      <c r="I47" s="10"/>
      <c r="S47">
        <v>1956</v>
      </c>
      <c r="AC47" s="10"/>
      <c r="AL47" s="23">
        <v>2349</v>
      </c>
    </row>
    <row r="48" spans="2:38" ht="15.75" x14ac:dyDescent="0.25">
      <c r="B48" t="s">
        <v>206</v>
      </c>
      <c r="C48">
        <v>14</v>
      </c>
      <c r="D48">
        <v>15</v>
      </c>
      <c r="E48">
        <v>17</v>
      </c>
      <c r="F48">
        <v>19</v>
      </c>
      <c r="I48">
        <v>3759</v>
      </c>
      <c r="S48" s="10"/>
      <c r="AC48">
        <v>2244</v>
      </c>
      <c r="AL48" s="23">
        <v>5438</v>
      </c>
    </row>
    <row r="49" spans="2:39" ht="15.75" x14ac:dyDescent="0.25">
      <c r="I49" s="10"/>
      <c r="S49" s="10"/>
      <c r="AC49">
        <v>2695</v>
      </c>
      <c r="AL49" s="23">
        <v>1776</v>
      </c>
    </row>
    <row r="50" spans="2:39" ht="15.75" x14ac:dyDescent="0.25">
      <c r="I50">
        <v>4063</v>
      </c>
      <c r="S50">
        <v>1767</v>
      </c>
      <c r="AC50">
        <v>4014</v>
      </c>
      <c r="AL50" s="19"/>
    </row>
    <row r="51" spans="2:39" ht="15.75" x14ac:dyDescent="0.25">
      <c r="I51">
        <v>2257</v>
      </c>
      <c r="S51" s="10"/>
      <c r="AC51" s="10"/>
      <c r="AL51" s="23">
        <v>1673</v>
      </c>
    </row>
    <row r="52" spans="2:39" ht="15.75" x14ac:dyDescent="0.25">
      <c r="I52">
        <v>4030</v>
      </c>
      <c r="S52" s="10">
        <v>0</v>
      </c>
      <c r="AC52">
        <v>2464</v>
      </c>
      <c r="AL52" s="19"/>
    </row>
    <row r="53" spans="2:39" ht="15.75" x14ac:dyDescent="0.25">
      <c r="I53">
        <v>1884</v>
      </c>
      <c r="S53">
        <v>3337</v>
      </c>
      <c r="AC53">
        <v>5465</v>
      </c>
      <c r="AL53" s="23">
        <v>6833</v>
      </c>
    </row>
    <row r="54" spans="2:39" ht="15.75" x14ac:dyDescent="0.25">
      <c r="C54" t="s">
        <v>142</v>
      </c>
      <c r="D54" t="s">
        <v>207</v>
      </c>
      <c r="E54" t="s">
        <v>146</v>
      </c>
      <c r="F54" t="s">
        <v>591</v>
      </c>
      <c r="I54" s="10"/>
      <c r="S54" s="10"/>
      <c r="AC54">
        <v>3667</v>
      </c>
      <c r="AL54" s="23">
        <v>2668</v>
      </c>
    </row>
    <row r="55" spans="2:39" ht="15.75" x14ac:dyDescent="0.25">
      <c r="B55" t="s">
        <v>208</v>
      </c>
      <c r="C55">
        <v>3373.28</v>
      </c>
      <c r="D55">
        <v>3612.2</v>
      </c>
      <c r="E55">
        <v>3733.11</v>
      </c>
      <c r="F55">
        <v>4015.73</v>
      </c>
      <c r="I55">
        <v>7944</v>
      </c>
      <c r="S55" s="10">
        <v>0</v>
      </c>
      <c r="AB55" t="s">
        <v>110</v>
      </c>
      <c r="AC55">
        <v>3616</v>
      </c>
      <c r="AK55">
        <f>AL55/AM55</f>
        <v>4015.7368421052633</v>
      </c>
      <c r="AL55" s="13">
        <f>SUM(AL29:AL54)</f>
        <v>76299</v>
      </c>
      <c r="AM55">
        <v>19</v>
      </c>
    </row>
    <row r="56" spans="2:39" ht="18.75" x14ac:dyDescent="0.3">
      <c r="H56" s="2" t="s">
        <v>175</v>
      </c>
      <c r="I56">
        <v>1753</v>
      </c>
      <c r="S56">
        <v>6524</v>
      </c>
      <c r="AB56" s="1">
        <f>AC56/AD56</f>
        <v>3733.1176470588234</v>
      </c>
      <c r="AC56" s="8">
        <f>SUM(AC31:AC55)</f>
        <v>63463</v>
      </c>
      <c r="AD56">
        <v>17</v>
      </c>
    </row>
    <row r="57" spans="2:39" ht="15.75" x14ac:dyDescent="0.25">
      <c r="H57" s="2">
        <f>I57/J57</f>
        <v>3373.2857142857142</v>
      </c>
      <c r="I57" s="5">
        <f>SUM(I31:I56)</f>
        <v>47226</v>
      </c>
      <c r="J57">
        <v>14</v>
      </c>
      <c r="R57" s="2" t="s">
        <v>113</v>
      </c>
      <c r="S57">
        <v>5946</v>
      </c>
    </row>
    <row r="58" spans="2:39" ht="15.75" x14ac:dyDescent="0.25">
      <c r="R58" s="1">
        <f>S58/T58</f>
        <v>3612.2</v>
      </c>
      <c r="S58" s="5">
        <f>SUM(S33:S57)</f>
        <v>54183</v>
      </c>
      <c r="T58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workbookViewId="0">
      <selection activeCell="Z4" sqref="Z4"/>
    </sheetView>
  </sheetViews>
  <sheetFormatPr baseColWidth="10" defaultRowHeight="15" x14ac:dyDescent="0.25"/>
  <cols>
    <col min="1" max="1" width="22.42578125" customWidth="1"/>
    <col min="9" max="9" width="22" customWidth="1"/>
    <col min="17" max="17" width="18.7109375" customWidth="1"/>
    <col min="32" max="32" width="18.140625" customWidth="1"/>
  </cols>
  <sheetData>
    <row r="1" spans="1:32" ht="15.75" x14ac:dyDescent="0.25">
      <c r="A1" s="1" t="s">
        <v>8</v>
      </c>
      <c r="B1" s="2" t="s">
        <v>0</v>
      </c>
      <c r="C1" s="2" t="s">
        <v>1</v>
      </c>
      <c r="D1" s="2" t="s">
        <v>26</v>
      </c>
      <c r="E1" s="2" t="s">
        <v>77</v>
      </c>
      <c r="F1" s="2" t="s">
        <v>80</v>
      </c>
      <c r="G1" s="2" t="s">
        <v>81</v>
      </c>
      <c r="I1" s="1" t="s">
        <v>8</v>
      </c>
      <c r="J1" s="2" t="s">
        <v>0</v>
      </c>
      <c r="K1" s="2" t="s">
        <v>1</v>
      </c>
      <c r="L1" s="2" t="s">
        <v>26</v>
      </c>
      <c r="M1" s="2" t="s">
        <v>77</v>
      </c>
      <c r="N1" s="2" t="s">
        <v>80</v>
      </c>
      <c r="O1" s="2" t="s">
        <v>81</v>
      </c>
      <c r="Q1" s="1" t="s">
        <v>8</v>
      </c>
      <c r="R1" s="2" t="s">
        <v>0</v>
      </c>
      <c r="S1" s="2" t="s">
        <v>1</v>
      </c>
      <c r="T1" s="2" t="s">
        <v>26</v>
      </c>
      <c r="U1" s="2" t="s">
        <v>77</v>
      </c>
      <c r="V1" s="2" t="s">
        <v>80</v>
      </c>
      <c r="W1" s="2" t="s">
        <v>81</v>
      </c>
      <c r="Z1" s="1" t="s">
        <v>8</v>
      </c>
      <c r="AA1" s="2" t="s">
        <v>0</v>
      </c>
      <c r="AB1" s="2" t="s">
        <v>1</v>
      </c>
      <c r="AC1" s="2" t="s">
        <v>26</v>
      </c>
      <c r="AD1" s="2" t="s">
        <v>77</v>
      </c>
      <c r="AE1" s="2" t="s">
        <v>80</v>
      </c>
      <c r="AF1" s="2" t="s">
        <v>81</v>
      </c>
    </row>
    <row r="2" spans="1:32" ht="15.75" x14ac:dyDescent="0.25">
      <c r="A2" s="3" t="s">
        <v>4</v>
      </c>
      <c r="B2">
        <v>1</v>
      </c>
      <c r="C2">
        <v>1</v>
      </c>
      <c r="D2">
        <v>1</v>
      </c>
      <c r="E2" t="s">
        <v>218</v>
      </c>
      <c r="F2">
        <v>1</v>
      </c>
      <c r="G2">
        <v>1351</v>
      </c>
      <c r="I2" s="14" t="s">
        <v>112</v>
      </c>
      <c r="J2">
        <v>1</v>
      </c>
      <c r="K2">
        <v>2</v>
      </c>
      <c r="L2">
        <v>1</v>
      </c>
      <c r="M2" t="s">
        <v>219</v>
      </c>
      <c r="N2">
        <v>1</v>
      </c>
      <c r="O2">
        <v>2133</v>
      </c>
      <c r="Q2" s="14" t="s">
        <v>114</v>
      </c>
      <c r="R2">
        <v>2</v>
      </c>
      <c r="S2">
        <v>3</v>
      </c>
      <c r="T2">
        <v>1</v>
      </c>
      <c r="U2" t="s">
        <v>220</v>
      </c>
      <c r="V2">
        <v>1</v>
      </c>
      <c r="W2" s="16">
        <v>1855</v>
      </c>
      <c r="Z2" s="14" t="s">
        <v>587</v>
      </c>
      <c r="AA2">
        <v>2</v>
      </c>
      <c r="AB2">
        <v>4</v>
      </c>
      <c r="AC2">
        <v>1</v>
      </c>
      <c r="AD2" t="s">
        <v>229</v>
      </c>
      <c r="AE2">
        <v>1</v>
      </c>
      <c r="AF2">
        <v>1724</v>
      </c>
    </row>
    <row r="3" spans="1:32" ht="15.75" x14ac:dyDescent="0.25">
      <c r="A3" s="1" t="s">
        <v>296</v>
      </c>
      <c r="D3">
        <v>2</v>
      </c>
      <c r="E3" t="s">
        <v>221</v>
      </c>
      <c r="F3">
        <v>1</v>
      </c>
      <c r="G3">
        <v>2014</v>
      </c>
      <c r="I3" s="15" t="s">
        <v>297</v>
      </c>
      <c r="L3">
        <v>2</v>
      </c>
      <c r="M3" t="s">
        <v>222</v>
      </c>
      <c r="N3">
        <v>1</v>
      </c>
      <c r="O3">
        <v>2097</v>
      </c>
      <c r="Q3" s="2" t="s">
        <v>298</v>
      </c>
      <c r="T3">
        <v>2</v>
      </c>
      <c r="U3" t="s">
        <v>223</v>
      </c>
      <c r="V3">
        <v>1</v>
      </c>
      <c r="W3" s="16">
        <v>1695</v>
      </c>
      <c r="Z3" s="2" t="s">
        <v>298</v>
      </c>
      <c r="AC3">
        <v>2</v>
      </c>
      <c r="AD3" t="s">
        <v>268</v>
      </c>
      <c r="AE3">
        <v>1</v>
      </c>
      <c r="AF3">
        <v>1672</v>
      </c>
    </row>
    <row r="4" spans="1:32" ht="15.75" x14ac:dyDescent="0.25">
      <c r="A4" s="1" t="s">
        <v>37</v>
      </c>
      <c r="D4">
        <v>3</v>
      </c>
      <c r="E4" t="s">
        <v>224</v>
      </c>
      <c r="F4">
        <v>1</v>
      </c>
      <c r="G4">
        <v>1977</v>
      </c>
      <c r="I4" s="15" t="s">
        <v>177</v>
      </c>
      <c r="L4">
        <v>3</v>
      </c>
      <c r="M4" t="s">
        <v>225</v>
      </c>
      <c r="N4">
        <v>1</v>
      </c>
      <c r="O4">
        <v>2037</v>
      </c>
      <c r="Q4" s="2" t="s">
        <v>179</v>
      </c>
      <c r="T4">
        <v>3</v>
      </c>
      <c r="U4" t="s">
        <v>226</v>
      </c>
      <c r="V4">
        <v>1</v>
      </c>
      <c r="W4" s="16">
        <v>1669</v>
      </c>
      <c r="Z4" s="2" t="s">
        <v>594</v>
      </c>
      <c r="AC4">
        <v>3</v>
      </c>
      <c r="AD4" t="s">
        <v>244</v>
      </c>
      <c r="AE4">
        <v>1</v>
      </c>
      <c r="AF4">
        <v>1605</v>
      </c>
    </row>
    <row r="5" spans="1:32" ht="15.75" x14ac:dyDescent="0.25">
      <c r="D5">
        <v>4</v>
      </c>
      <c r="E5" t="s">
        <v>227</v>
      </c>
      <c r="F5">
        <v>1</v>
      </c>
      <c r="G5">
        <v>1860</v>
      </c>
      <c r="L5">
        <v>4</v>
      </c>
      <c r="M5" t="s">
        <v>228</v>
      </c>
      <c r="N5">
        <v>1</v>
      </c>
      <c r="O5">
        <v>1873</v>
      </c>
      <c r="T5">
        <v>4</v>
      </c>
      <c r="U5" t="s">
        <v>229</v>
      </c>
      <c r="V5">
        <v>1</v>
      </c>
      <c r="W5" s="16">
        <v>1676</v>
      </c>
      <c r="AC5">
        <v>4</v>
      </c>
      <c r="AD5" t="s">
        <v>226</v>
      </c>
      <c r="AE5">
        <v>1</v>
      </c>
      <c r="AF5">
        <v>1853</v>
      </c>
    </row>
    <row r="6" spans="1:32" ht="15.75" x14ac:dyDescent="0.25">
      <c r="D6">
        <v>5</v>
      </c>
      <c r="E6" t="s">
        <v>230</v>
      </c>
      <c r="F6">
        <v>1</v>
      </c>
      <c r="G6">
        <v>2218</v>
      </c>
      <c r="L6">
        <v>5</v>
      </c>
      <c r="M6" t="s">
        <v>231</v>
      </c>
      <c r="N6">
        <v>1</v>
      </c>
      <c r="O6">
        <v>1777</v>
      </c>
      <c r="T6">
        <v>5</v>
      </c>
      <c r="U6" t="s">
        <v>232</v>
      </c>
      <c r="V6">
        <v>1</v>
      </c>
      <c r="W6" s="16">
        <v>2042</v>
      </c>
      <c r="AC6">
        <v>5</v>
      </c>
      <c r="AD6" t="s">
        <v>253</v>
      </c>
      <c r="AE6">
        <v>1</v>
      </c>
      <c r="AF6">
        <v>1686</v>
      </c>
    </row>
    <row r="7" spans="1:32" ht="15.75" x14ac:dyDescent="0.25">
      <c r="D7">
        <v>6</v>
      </c>
      <c r="E7" t="s">
        <v>233</v>
      </c>
      <c r="F7">
        <v>1</v>
      </c>
      <c r="G7">
        <v>2194</v>
      </c>
      <c r="L7">
        <v>6</v>
      </c>
      <c r="M7" t="s">
        <v>234</v>
      </c>
      <c r="N7">
        <v>1</v>
      </c>
      <c r="O7">
        <v>2468</v>
      </c>
      <c r="T7">
        <v>6</v>
      </c>
      <c r="U7" t="s">
        <v>235</v>
      </c>
      <c r="V7">
        <v>1</v>
      </c>
      <c r="W7" s="16">
        <v>1568</v>
      </c>
      <c r="AC7">
        <v>6</v>
      </c>
      <c r="AD7" t="s">
        <v>251</v>
      </c>
      <c r="AE7">
        <v>1</v>
      </c>
      <c r="AF7">
        <v>1942</v>
      </c>
    </row>
    <row r="8" spans="1:32" ht="15.75" x14ac:dyDescent="0.25">
      <c r="D8">
        <v>7</v>
      </c>
      <c r="E8" t="s">
        <v>236</v>
      </c>
      <c r="F8">
        <v>1</v>
      </c>
      <c r="G8">
        <v>2090</v>
      </c>
      <c r="L8">
        <v>7</v>
      </c>
      <c r="M8" t="s">
        <v>230</v>
      </c>
      <c r="N8">
        <v>1</v>
      </c>
      <c r="O8">
        <v>2003</v>
      </c>
      <c r="T8">
        <v>7</v>
      </c>
      <c r="U8" t="s">
        <v>237</v>
      </c>
      <c r="V8">
        <v>1</v>
      </c>
      <c r="W8" s="16">
        <v>1871</v>
      </c>
      <c r="AC8">
        <v>7</v>
      </c>
      <c r="AD8" t="s">
        <v>263</v>
      </c>
      <c r="AE8">
        <v>1</v>
      </c>
      <c r="AF8">
        <v>1858</v>
      </c>
    </row>
    <row r="9" spans="1:32" ht="15.75" x14ac:dyDescent="0.25">
      <c r="D9">
        <v>8</v>
      </c>
      <c r="E9" t="s">
        <v>238</v>
      </c>
      <c r="F9">
        <v>1</v>
      </c>
      <c r="G9">
        <v>2394</v>
      </c>
      <c r="L9">
        <v>8</v>
      </c>
      <c r="M9" t="s">
        <v>239</v>
      </c>
      <c r="N9">
        <v>1</v>
      </c>
      <c r="O9">
        <v>2100</v>
      </c>
      <c r="T9">
        <v>8</v>
      </c>
      <c r="U9" t="s">
        <v>240</v>
      </c>
      <c r="V9">
        <v>1</v>
      </c>
      <c r="W9" s="16">
        <v>1449</v>
      </c>
      <c r="AC9">
        <v>8</v>
      </c>
      <c r="AD9" t="s">
        <v>252</v>
      </c>
      <c r="AE9">
        <v>1</v>
      </c>
      <c r="AF9">
        <v>2133</v>
      </c>
    </row>
    <row r="10" spans="1:32" ht="15.75" x14ac:dyDescent="0.25">
      <c r="D10">
        <v>9</v>
      </c>
      <c r="E10" t="s">
        <v>241</v>
      </c>
      <c r="F10">
        <v>1</v>
      </c>
      <c r="G10">
        <v>2057</v>
      </c>
      <c r="L10">
        <v>9</v>
      </c>
      <c r="M10" t="s">
        <v>242</v>
      </c>
      <c r="N10">
        <v>1</v>
      </c>
      <c r="O10">
        <v>1636</v>
      </c>
      <c r="T10">
        <v>9</v>
      </c>
      <c r="U10" t="s">
        <v>243</v>
      </c>
      <c r="V10">
        <v>1</v>
      </c>
      <c r="W10" s="16">
        <v>1951</v>
      </c>
      <c r="AC10">
        <v>9</v>
      </c>
      <c r="AD10" t="s">
        <v>249</v>
      </c>
      <c r="AE10">
        <v>1</v>
      </c>
      <c r="AF10">
        <v>1689</v>
      </c>
    </row>
    <row r="11" spans="1:32" ht="15.75" x14ac:dyDescent="0.25">
      <c r="D11">
        <v>10</v>
      </c>
      <c r="E11" t="s">
        <v>228</v>
      </c>
      <c r="F11">
        <v>1</v>
      </c>
      <c r="G11">
        <v>1939</v>
      </c>
      <c r="L11">
        <v>10</v>
      </c>
      <c r="M11" t="s">
        <v>224</v>
      </c>
      <c r="N11">
        <v>1</v>
      </c>
      <c r="O11">
        <v>1970</v>
      </c>
      <c r="T11">
        <v>10</v>
      </c>
      <c r="U11" t="s">
        <v>244</v>
      </c>
      <c r="V11">
        <v>1</v>
      </c>
      <c r="W11" s="16">
        <v>1478</v>
      </c>
      <c r="AC11">
        <v>10</v>
      </c>
      <c r="AD11" t="s">
        <v>260</v>
      </c>
      <c r="AE11">
        <v>1</v>
      </c>
      <c r="AF11">
        <v>2096</v>
      </c>
    </row>
    <row r="12" spans="1:32" ht="15.75" x14ac:dyDescent="0.25">
      <c r="D12">
        <v>11</v>
      </c>
      <c r="E12" t="s">
        <v>245</v>
      </c>
      <c r="F12">
        <v>1</v>
      </c>
      <c r="G12">
        <v>2721</v>
      </c>
      <c r="L12">
        <v>11</v>
      </c>
      <c r="M12" t="s">
        <v>238</v>
      </c>
      <c r="N12">
        <v>1</v>
      </c>
      <c r="O12">
        <v>2072</v>
      </c>
      <c r="T12">
        <v>11</v>
      </c>
      <c r="U12" t="s">
        <v>246</v>
      </c>
      <c r="V12">
        <v>1</v>
      </c>
      <c r="W12" s="16">
        <v>1596</v>
      </c>
      <c r="AC12">
        <v>11</v>
      </c>
      <c r="AD12" t="s">
        <v>256</v>
      </c>
      <c r="AE12">
        <v>1</v>
      </c>
      <c r="AF12">
        <v>1453</v>
      </c>
    </row>
    <row r="13" spans="1:32" ht="15.75" x14ac:dyDescent="0.25">
      <c r="D13">
        <v>12</v>
      </c>
      <c r="E13" t="s">
        <v>247</v>
      </c>
      <c r="F13">
        <v>1</v>
      </c>
      <c r="G13">
        <v>2213</v>
      </c>
      <c r="L13">
        <v>12</v>
      </c>
      <c r="M13" t="s">
        <v>248</v>
      </c>
      <c r="N13">
        <v>1</v>
      </c>
      <c r="O13">
        <v>2104</v>
      </c>
      <c r="T13">
        <v>12</v>
      </c>
      <c r="U13" t="s">
        <v>249</v>
      </c>
      <c r="V13">
        <v>1</v>
      </c>
      <c r="W13" s="16">
        <v>1835</v>
      </c>
      <c r="AC13">
        <v>12</v>
      </c>
      <c r="AD13" t="s">
        <v>269</v>
      </c>
      <c r="AE13">
        <v>1</v>
      </c>
      <c r="AF13">
        <v>1721</v>
      </c>
    </row>
    <row r="14" spans="1:32" ht="15.75" x14ac:dyDescent="0.25">
      <c r="D14">
        <v>13</v>
      </c>
      <c r="E14" t="s">
        <v>250</v>
      </c>
      <c r="F14">
        <v>1</v>
      </c>
      <c r="G14">
        <v>1880</v>
      </c>
      <c r="L14">
        <v>13</v>
      </c>
      <c r="M14" t="s">
        <v>245</v>
      </c>
      <c r="N14">
        <v>1</v>
      </c>
      <c r="O14">
        <v>1995</v>
      </c>
      <c r="T14">
        <v>13</v>
      </c>
      <c r="U14" t="s">
        <v>251</v>
      </c>
      <c r="V14">
        <v>1</v>
      </c>
      <c r="W14" s="16">
        <v>2159</v>
      </c>
      <c r="AC14">
        <v>13</v>
      </c>
      <c r="AD14" t="s">
        <v>220</v>
      </c>
      <c r="AE14">
        <v>1</v>
      </c>
      <c r="AF14">
        <v>2080</v>
      </c>
    </row>
    <row r="15" spans="1:32" ht="15.75" x14ac:dyDescent="0.25">
      <c r="D15">
        <v>14</v>
      </c>
      <c r="E15" t="s">
        <v>231</v>
      </c>
      <c r="F15">
        <v>1</v>
      </c>
      <c r="G15">
        <v>2091</v>
      </c>
      <c r="L15">
        <v>14</v>
      </c>
      <c r="M15" t="s">
        <v>227</v>
      </c>
      <c r="N15">
        <v>1</v>
      </c>
      <c r="O15">
        <v>1981</v>
      </c>
      <c r="T15">
        <v>14</v>
      </c>
      <c r="U15" t="s">
        <v>252</v>
      </c>
      <c r="V15">
        <v>1</v>
      </c>
      <c r="W15" s="16">
        <v>2037</v>
      </c>
      <c r="AC15">
        <v>14</v>
      </c>
      <c r="AD15" t="s">
        <v>223</v>
      </c>
      <c r="AE15">
        <v>1</v>
      </c>
      <c r="AF15">
        <v>1794</v>
      </c>
    </row>
    <row r="16" spans="1:32" ht="15.75" x14ac:dyDescent="0.25">
      <c r="D16">
        <v>15</v>
      </c>
      <c r="E16" t="s">
        <v>225</v>
      </c>
      <c r="F16">
        <v>1</v>
      </c>
      <c r="G16">
        <v>1793</v>
      </c>
      <c r="L16">
        <v>15</v>
      </c>
      <c r="M16" t="s">
        <v>247</v>
      </c>
      <c r="N16">
        <v>1</v>
      </c>
      <c r="O16">
        <v>2808</v>
      </c>
      <c r="T16">
        <v>15</v>
      </c>
      <c r="U16" t="s">
        <v>253</v>
      </c>
      <c r="V16">
        <v>1</v>
      </c>
      <c r="W16" s="16">
        <v>1817</v>
      </c>
      <c r="AC16">
        <v>15</v>
      </c>
      <c r="AD16" t="s">
        <v>255</v>
      </c>
      <c r="AE16">
        <v>1</v>
      </c>
      <c r="AF16">
        <v>1598</v>
      </c>
    </row>
    <row r="17" spans="2:33" ht="15.75" x14ac:dyDescent="0.25">
      <c r="D17">
        <v>16</v>
      </c>
      <c r="E17" t="s">
        <v>248</v>
      </c>
      <c r="F17">
        <v>1</v>
      </c>
      <c r="G17">
        <v>2249</v>
      </c>
      <c r="L17">
        <v>16</v>
      </c>
      <c r="M17" t="s">
        <v>254</v>
      </c>
      <c r="N17">
        <v>1</v>
      </c>
      <c r="O17">
        <v>1861</v>
      </c>
      <c r="T17">
        <v>16</v>
      </c>
      <c r="U17" t="s">
        <v>255</v>
      </c>
      <c r="V17">
        <v>1</v>
      </c>
      <c r="W17" s="16">
        <v>1902</v>
      </c>
      <c r="AC17">
        <v>16</v>
      </c>
      <c r="AD17" t="s">
        <v>232</v>
      </c>
      <c r="AE17">
        <v>1</v>
      </c>
      <c r="AF17">
        <v>2135</v>
      </c>
    </row>
    <row r="18" spans="2:33" ht="15.75" x14ac:dyDescent="0.25">
      <c r="D18">
        <v>17</v>
      </c>
      <c r="E18" t="s">
        <v>222</v>
      </c>
      <c r="F18">
        <v>1</v>
      </c>
      <c r="G18">
        <v>2110</v>
      </c>
      <c r="L18">
        <v>17</v>
      </c>
      <c r="M18" t="s">
        <v>221</v>
      </c>
      <c r="N18">
        <v>1</v>
      </c>
      <c r="O18">
        <v>1889</v>
      </c>
      <c r="T18">
        <v>17</v>
      </c>
      <c r="U18" t="s">
        <v>256</v>
      </c>
      <c r="V18">
        <v>1</v>
      </c>
      <c r="W18" s="16">
        <v>1628</v>
      </c>
      <c r="AC18">
        <v>17</v>
      </c>
      <c r="AD18" t="s">
        <v>258</v>
      </c>
      <c r="AE18">
        <v>1</v>
      </c>
      <c r="AF18">
        <v>1636</v>
      </c>
    </row>
    <row r="19" spans="2:33" ht="15.75" x14ac:dyDescent="0.25">
      <c r="D19">
        <v>18</v>
      </c>
      <c r="E19" t="s">
        <v>257</v>
      </c>
      <c r="F19">
        <v>1</v>
      </c>
      <c r="G19">
        <v>2203</v>
      </c>
      <c r="L19">
        <v>18</v>
      </c>
      <c r="M19" t="s">
        <v>250</v>
      </c>
      <c r="N19">
        <v>1</v>
      </c>
      <c r="O19">
        <v>2638</v>
      </c>
      <c r="T19">
        <v>18</v>
      </c>
      <c r="U19" t="s">
        <v>258</v>
      </c>
      <c r="V19">
        <v>1</v>
      </c>
      <c r="W19" s="16">
        <v>1529</v>
      </c>
      <c r="AC19">
        <v>18</v>
      </c>
      <c r="AD19" t="s">
        <v>237</v>
      </c>
      <c r="AE19">
        <v>1</v>
      </c>
      <c r="AF19">
        <v>1966</v>
      </c>
    </row>
    <row r="20" spans="2:33" ht="15.75" x14ac:dyDescent="0.25">
      <c r="D20">
        <v>19</v>
      </c>
      <c r="E20" t="s">
        <v>259</v>
      </c>
      <c r="F20">
        <v>1</v>
      </c>
      <c r="G20">
        <v>1837</v>
      </c>
      <c r="L20">
        <v>19</v>
      </c>
      <c r="M20" t="s">
        <v>233</v>
      </c>
      <c r="N20">
        <v>1</v>
      </c>
      <c r="O20">
        <v>2390</v>
      </c>
      <c r="T20">
        <v>19</v>
      </c>
      <c r="U20" t="s">
        <v>260</v>
      </c>
      <c r="V20">
        <v>1</v>
      </c>
      <c r="W20" s="16">
        <v>1883</v>
      </c>
      <c r="AC20">
        <v>19</v>
      </c>
      <c r="AD20" t="s">
        <v>243</v>
      </c>
      <c r="AE20">
        <v>1</v>
      </c>
      <c r="AF20">
        <v>2205</v>
      </c>
    </row>
    <row r="21" spans="2:33" ht="15.75" x14ac:dyDescent="0.25">
      <c r="D21">
        <v>20</v>
      </c>
      <c r="E21" t="s">
        <v>242</v>
      </c>
      <c r="F21">
        <v>1</v>
      </c>
      <c r="G21">
        <v>1641</v>
      </c>
      <c r="L21">
        <v>20</v>
      </c>
      <c r="M21" t="s">
        <v>257</v>
      </c>
      <c r="N21">
        <v>1</v>
      </c>
      <c r="O21">
        <v>2072</v>
      </c>
      <c r="T21">
        <v>20</v>
      </c>
      <c r="U21" t="s">
        <v>261</v>
      </c>
      <c r="V21">
        <v>1</v>
      </c>
      <c r="W21" s="16">
        <v>1869</v>
      </c>
      <c r="AC21">
        <v>20</v>
      </c>
      <c r="AD21" t="s">
        <v>240</v>
      </c>
      <c r="AE21">
        <v>1</v>
      </c>
      <c r="AF21">
        <v>1561</v>
      </c>
    </row>
    <row r="22" spans="2:33" ht="15.75" x14ac:dyDescent="0.25">
      <c r="D22">
        <v>21</v>
      </c>
      <c r="E22" t="s">
        <v>239</v>
      </c>
      <c r="F22">
        <v>1</v>
      </c>
      <c r="G22">
        <v>2413</v>
      </c>
      <c r="L22">
        <v>21</v>
      </c>
      <c r="M22" t="s">
        <v>262</v>
      </c>
      <c r="N22">
        <v>1</v>
      </c>
      <c r="O22">
        <v>2652</v>
      </c>
      <c r="T22">
        <v>21</v>
      </c>
      <c r="U22" t="s">
        <v>263</v>
      </c>
      <c r="V22">
        <v>1</v>
      </c>
      <c r="W22" s="16">
        <v>1921</v>
      </c>
      <c r="AC22">
        <v>21</v>
      </c>
      <c r="AD22" t="s">
        <v>266</v>
      </c>
      <c r="AE22">
        <v>1</v>
      </c>
      <c r="AF22">
        <v>1549</v>
      </c>
    </row>
    <row r="23" spans="2:33" ht="15.75" x14ac:dyDescent="0.25">
      <c r="D23">
        <v>22</v>
      </c>
      <c r="E23" t="s">
        <v>262</v>
      </c>
      <c r="F23">
        <v>1</v>
      </c>
      <c r="G23">
        <v>1635</v>
      </c>
      <c r="L23">
        <v>22</v>
      </c>
      <c r="M23" t="s">
        <v>259</v>
      </c>
      <c r="N23">
        <v>1</v>
      </c>
      <c r="O23">
        <v>1741</v>
      </c>
      <c r="T23">
        <v>22</v>
      </c>
      <c r="U23" t="s">
        <v>264</v>
      </c>
      <c r="V23">
        <v>1</v>
      </c>
      <c r="W23" s="16">
        <v>1679</v>
      </c>
      <c r="AC23">
        <v>22</v>
      </c>
      <c r="AD23" t="s">
        <v>267</v>
      </c>
      <c r="AE23">
        <v>1</v>
      </c>
      <c r="AF23">
        <v>2331</v>
      </c>
    </row>
    <row r="24" spans="2:33" ht="15.75" x14ac:dyDescent="0.25">
      <c r="D24">
        <v>23</v>
      </c>
      <c r="E24" t="s">
        <v>265</v>
      </c>
      <c r="F24">
        <v>1</v>
      </c>
      <c r="G24">
        <v>1966</v>
      </c>
      <c r="L24">
        <v>23</v>
      </c>
      <c r="M24" t="s">
        <v>241</v>
      </c>
      <c r="N24">
        <v>1</v>
      </c>
      <c r="O24">
        <v>1957</v>
      </c>
      <c r="T24">
        <v>23</v>
      </c>
      <c r="U24" t="s">
        <v>266</v>
      </c>
      <c r="V24">
        <v>1</v>
      </c>
      <c r="W24" s="16">
        <v>1621</v>
      </c>
      <c r="AC24">
        <v>23</v>
      </c>
      <c r="AD24" t="s">
        <v>235</v>
      </c>
      <c r="AE24">
        <v>1</v>
      </c>
      <c r="AF24">
        <v>1940</v>
      </c>
    </row>
    <row r="25" spans="2:33" ht="15.75" x14ac:dyDescent="0.25">
      <c r="D25">
        <v>24</v>
      </c>
      <c r="E25" t="s">
        <v>254</v>
      </c>
      <c r="F25">
        <v>1</v>
      </c>
      <c r="G25">
        <v>2111</v>
      </c>
      <c r="L25">
        <v>24</v>
      </c>
      <c r="M25" t="s">
        <v>218</v>
      </c>
      <c r="N25">
        <v>1</v>
      </c>
      <c r="O25">
        <v>2326</v>
      </c>
      <c r="T25">
        <v>24</v>
      </c>
      <c r="U25" t="s">
        <v>267</v>
      </c>
      <c r="V25">
        <v>1</v>
      </c>
      <c r="W25" s="16">
        <v>1842</v>
      </c>
      <c r="AC25">
        <v>24</v>
      </c>
      <c r="AD25" t="s">
        <v>246</v>
      </c>
      <c r="AE25">
        <v>1</v>
      </c>
      <c r="AF25">
        <v>1985</v>
      </c>
    </row>
    <row r="26" spans="2:33" ht="15.75" x14ac:dyDescent="0.25">
      <c r="D26">
        <v>25</v>
      </c>
      <c r="E26" t="s">
        <v>219</v>
      </c>
      <c r="F26">
        <v>1</v>
      </c>
      <c r="G26">
        <v>2122</v>
      </c>
      <c r="L26">
        <v>25</v>
      </c>
      <c r="M26" t="s">
        <v>265</v>
      </c>
      <c r="N26">
        <v>1</v>
      </c>
      <c r="O26">
        <v>2440</v>
      </c>
      <c r="T26">
        <v>25</v>
      </c>
      <c r="U26" t="s">
        <v>268</v>
      </c>
      <c r="V26">
        <v>1</v>
      </c>
      <c r="W26" s="16">
        <v>1641</v>
      </c>
      <c r="AC26">
        <v>25</v>
      </c>
      <c r="AD26" t="s">
        <v>261</v>
      </c>
      <c r="AE26">
        <v>1</v>
      </c>
      <c r="AF26">
        <v>2047</v>
      </c>
    </row>
    <row r="27" spans="2:33" ht="15.75" x14ac:dyDescent="0.25">
      <c r="D27">
        <v>26</v>
      </c>
      <c r="E27" t="s">
        <v>234</v>
      </c>
      <c r="F27">
        <v>1</v>
      </c>
      <c r="G27">
        <v>1694</v>
      </c>
      <c r="L27">
        <v>26</v>
      </c>
      <c r="M27" t="s">
        <v>236</v>
      </c>
      <c r="N27">
        <v>1</v>
      </c>
      <c r="O27">
        <v>1974</v>
      </c>
      <c r="T27">
        <v>26</v>
      </c>
      <c r="U27" t="s">
        <v>269</v>
      </c>
      <c r="V27">
        <v>1</v>
      </c>
      <c r="W27" s="16">
        <v>2140</v>
      </c>
      <c r="AC27">
        <v>26</v>
      </c>
      <c r="AD27" t="s">
        <v>264</v>
      </c>
      <c r="AE27">
        <v>1</v>
      </c>
      <c r="AF27">
        <v>1762</v>
      </c>
    </row>
    <row r="28" spans="2:33" ht="15.75" x14ac:dyDescent="0.25">
      <c r="G28" s="5">
        <f>SUM(G2:G27)</f>
        <v>52773</v>
      </c>
      <c r="W28" s="16"/>
      <c r="AE28" s="10">
        <f>SUM(AE2:AE27)</f>
        <v>26</v>
      </c>
      <c r="AF28" s="10">
        <f>SUM(AF2:AF27)</f>
        <v>48021</v>
      </c>
    </row>
    <row r="29" spans="2:33" ht="18.75" x14ac:dyDescent="0.3">
      <c r="F29" s="17">
        <f>G29/H29</f>
        <v>2029.7307692307693</v>
      </c>
      <c r="G29">
        <v>52773</v>
      </c>
      <c r="H29">
        <v>26</v>
      </c>
      <c r="O29" s="5">
        <f>SUM(O2:O28)</f>
        <v>54994</v>
      </c>
      <c r="W29" s="8">
        <f>SUM(W2:W28)</f>
        <v>46353</v>
      </c>
      <c r="AG29" s="25">
        <f>AF28/AE28</f>
        <v>1846.9615384615386</v>
      </c>
    </row>
    <row r="30" spans="2:33" ht="15.75" x14ac:dyDescent="0.25">
      <c r="N30" s="17">
        <f>O30/P30</f>
        <v>2115.1538461538462</v>
      </c>
      <c r="O30">
        <v>54994</v>
      </c>
      <c r="P30">
        <v>26</v>
      </c>
      <c r="V30" s="17">
        <f>W30/X30</f>
        <v>1782.8076923076924</v>
      </c>
      <c r="W30" s="16">
        <v>46353</v>
      </c>
      <c r="X30">
        <v>26</v>
      </c>
    </row>
    <row r="31" spans="2:33" x14ac:dyDescent="0.25">
      <c r="C31" s="2" t="s">
        <v>142</v>
      </c>
      <c r="D31" s="2" t="s">
        <v>112</v>
      </c>
      <c r="E31" s="2" t="s">
        <v>114</v>
      </c>
      <c r="F31" s="2" t="s">
        <v>591</v>
      </c>
    </row>
    <row r="32" spans="2:33" x14ac:dyDescent="0.25">
      <c r="B32" s="2" t="s">
        <v>586</v>
      </c>
      <c r="C32">
        <v>26</v>
      </c>
      <c r="D32">
        <v>26</v>
      </c>
      <c r="E32">
        <v>26</v>
      </c>
      <c r="F32">
        <v>26</v>
      </c>
      <c r="K32" s="2" t="s">
        <v>142</v>
      </c>
      <c r="L32" s="2" t="s">
        <v>112</v>
      </c>
      <c r="M32" s="2" t="s">
        <v>114</v>
      </c>
      <c r="N32" s="2" t="s">
        <v>592</v>
      </c>
    </row>
    <row r="33" spans="10:14" x14ac:dyDescent="0.25">
      <c r="J33" s="2" t="s">
        <v>299</v>
      </c>
      <c r="K33">
        <v>2029.73</v>
      </c>
      <c r="L33">
        <v>2115.15</v>
      </c>
      <c r="M33">
        <v>1782.8</v>
      </c>
      <c r="N33">
        <v>1846.96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topLeftCell="A23" workbookViewId="0">
      <selection activeCell="D32" sqref="D32:H33"/>
    </sheetView>
  </sheetViews>
  <sheetFormatPr baseColWidth="10" defaultRowHeight="15" x14ac:dyDescent="0.25"/>
  <cols>
    <col min="1" max="1" width="23.42578125" customWidth="1"/>
    <col min="7" max="8" width="14.42578125" customWidth="1"/>
    <col min="10" max="10" width="20.140625" customWidth="1"/>
    <col min="18" max="18" width="25.42578125" customWidth="1"/>
    <col min="24" max="24" width="19.85546875" customWidth="1"/>
    <col min="30" max="30" width="16.7109375" customWidth="1"/>
    <col min="31" max="31" width="17.28515625" customWidth="1"/>
    <col min="32" max="32" width="20.7109375" customWidth="1"/>
  </cols>
  <sheetData>
    <row r="1" spans="1:32" ht="15.75" x14ac:dyDescent="0.25">
      <c r="A1" s="1" t="s">
        <v>8</v>
      </c>
      <c r="B1" s="2" t="s">
        <v>0</v>
      </c>
      <c r="C1" s="2" t="s">
        <v>1</v>
      </c>
      <c r="D1" s="2" t="s">
        <v>26</v>
      </c>
      <c r="E1" s="2" t="s">
        <v>77</v>
      </c>
      <c r="F1" s="2" t="s">
        <v>80</v>
      </c>
      <c r="G1" s="2" t="s">
        <v>81</v>
      </c>
      <c r="H1" s="2" t="s">
        <v>327</v>
      </c>
      <c r="J1" s="1" t="s">
        <v>8</v>
      </c>
      <c r="K1" s="2" t="s">
        <v>0</v>
      </c>
      <c r="L1" s="2" t="s">
        <v>1</v>
      </c>
      <c r="M1" s="2" t="s">
        <v>26</v>
      </c>
      <c r="N1" s="2" t="s">
        <v>77</v>
      </c>
      <c r="O1" s="2" t="s">
        <v>80</v>
      </c>
      <c r="P1" s="2" t="s">
        <v>81</v>
      </c>
      <c r="R1" s="1" t="s">
        <v>8</v>
      </c>
      <c r="S1" s="2" t="s">
        <v>0</v>
      </c>
      <c r="T1" s="2" t="s">
        <v>1</v>
      </c>
      <c r="U1" s="2" t="s">
        <v>26</v>
      </c>
      <c r="V1" s="2" t="s">
        <v>77</v>
      </c>
      <c r="W1" s="2" t="s">
        <v>80</v>
      </c>
      <c r="X1" s="2" t="s">
        <v>81</v>
      </c>
      <c r="Z1" s="1" t="s">
        <v>8</v>
      </c>
      <c r="AA1" s="2" t="s">
        <v>0</v>
      </c>
      <c r="AB1" s="2" t="s">
        <v>1</v>
      </c>
      <c r="AC1" s="2" t="s">
        <v>26</v>
      </c>
      <c r="AD1" s="2" t="s">
        <v>77</v>
      </c>
      <c r="AE1" s="2" t="s">
        <v>80</v>
      </c>
      <c r="AF1" s="2" t="s">
        <v>81</v>
      </c>
    </row>
    <row r="2" spans="1:32" x14ac:dyDescent="0.25">
      <c r="A2" s="14" t="s">
        <v>4</v>
      </c>
      <c r="B2">
        <v>1</v>
      </c>
      <c r="C2">
        <v>1</v>
      </c>
      <c r="D2">
        <v>1</v>
      </c>
      <c r="E2" t="s">
        <v>270</v>
      </c>
      <c r="F2">
        <v>1</v>
      </c>
      <c r="G2">
        <v>1721</v>
      </c>
      <c r="H2">
        <v>1721</v>
      </c>
      <c r="J2" s="14" t="s">
        <v>112</v>
      </c>
      <c r="K2">
        <v>1</v>
      </c>
      <c r="L2">
        <v>2</v>
      </c>
      <c r="M2">
        <v>1</v>
      </c>
      <c r="N2" t="s">
        <v>270</v>
      </c>
      <c r="O2">
        <v>1</v>
      </c>
      <c r="P2">
        <v>2412</v>
      </c>
      <c r="R2" s="14" t="s">
        <v>114</v>
      </c>
      <c r="S2">
        <v>2</v>
      </c>
      <c r="T2">
        <v>3</v>
      </c>
      <c r="U2">
        <v>1</v>
      </c>
      <c r="V2" t="s">
        <v>301</v>
      </c>
      <c r="W2">
        <v>1</v>
      </c>
      <c r="X2">
        <v>1279</v>
      </c>
      <c r="Z2" s="14" t="s">
        <v>587</v>
      </c>
      <c r="AA2">
        <v>2</v>
      </c>
      <c r="AB2">
        <v>4</v>
      </c>
      <c r="AC2">
        <v>1</v>
      </c>
      <c r="AD2" t="s">
        <v>307</v>
      </c>
      <c r="AE2">
        <v>1</v>
      </c>
      <c r="AF2">
        <v>1501</v>
      </c>
    </row>
    <row r="3" spans="1:32" x14ac:dyDescent="0.25">
      <c r="A3" s="2" t="s">
        <v>300</v>
      </c>
      <c r="D3">
        <v>2</v>
      </c>
      <c r="E3" t="s">
        <v>271</v>
      </c>
      <c r="F3">
        <v>1</v>
      </c>
      <c r="G3">
        <v>1853</v>
      </c>
      <c r="H3">
        <v>1853</v>
      </c>
      <c r="J3" s="2" t="s">
        <v>300</v>
      </c>
      <c r="M3">
        <v>2</v>
      </c>
      <c r="N3" t="s">
        <v>272</v>
      </c>
      <c r="O3">
        <v>1</v>
      </c>
      <c r="P3">
        <v>3311</v>
      </c>
      <c r="R3" s="2" t="s">
        <v>300</v>
      </c>
      <c r="U3">
        <v>2</v>
      </c>
      <c r="V3" t="s">
        <v>302</v>
      </c>
      <c r="W3">
        <v>1</v>
      </c>
      <c r="X3">
        <v>4550</v>
      </c>
      <c r="Z3" s="2" t="s">
        <v>300</v>
      </c>
      <c r="AC3">
        <v>2</v>
      </c>
      <c r="AD3" t="s">
        <v>302</v>
      </c>
      <c r="AE3">
        <v>1</v>
      </c>
      <c r="AF3">
        <v>2117</v>
      </c>
    </row>
    <row r="4" spans="1:32" x14ac:dyDescent="0.25">
      <c r="A4" s="2" t="s">
        <v>7</v>
      </c>
      <c r="D4">
        <v>3</v>
      </c>
      <c r="E4" t="s">
        <v>273</v>
      </c>
      <c r="F4">
        <v>1</v>
      </c>
      <c r="G4">
        <v>1099</v>
      </c>
      <c r="H4">
        <v>1099</v>
      </c>
      <c r="J4" s="2" t="s">
        <v>177</v>
      </c>
      <c r="M4">
        <v>3</v>
      </c>
      <c r="N4" t="s">
        <v>274</v>
      </c>
      <c r="O4">
        <v>1</v>
      </c>
      <c r="P4">
        <v>3189</v>
      </c>
      <c r="R4" s="2" t="s">
        <v>179</v>
      </c>
      <c r="U4">
        <v>3</v>
      </c>
      <c r="V4" t="s">
        <v>303</v>
      </c>
      <c r="W4">
        <v>1</v>
      </c>
      <c r="X4">
        <v>2225</v>
      </c>
      <c r="Z4" s="2" t="s">
        <v>594</v>
      </c>
      <c r="AC4">
        <v>3</v>
      </c>
      <c r="AD4" t="s">
        <v>321</v>
      </c>
      <c r="AE4">
        <v>1</v>
      </c>
      <c r="AF4">
        <v>2052</v>
      </c>
    </row>
    <row r="5" spans="1:32" x14ac:dyDescent="0.25">
      <c r="D5">
        <v>4</v>
      </c>
      <c r="E5" t="s">
        <v>274</v>
      </c>
      <c r="F5">
        <v>1</v>
      </c>
      <c r="G5">
        <v>2484</v>
      </c>
      <c r="H5">
        <v>2484</v>
      </c>
      <c r="M5">
        <v>4</v>
      </c>
      <c r="N5" t="s">
        <v>275</v>
      </c>
      <c r="O5">
        <v>1</v>
      </c>
      <c r="P5">
        <v>3256</v>
      </c>
      <c r="U5">
        <v>4</v>
      </c>
      <c r="V5" t="s">
        <v>304</v>
      </c>
      <c r="W5">
        <v>1</v>
      </c>
      <c r="X5">
        <v>848</v>
      </c>
      <c r="AC5">
        <v>4</v>
      </c>
      <c r="AD5" t="s">
        <v>316</v>
      </c>
      <c r="AE5">
        <v>1</v>
      </c>
      <c r="AF5">
        <v>1727</v>
      </c>
    </row>
    <row r="6" spans="1:32" x14ac:dyDescent="0.25">
      <c r="D6">
        <v>5</v>
      </c>
      <c r="E6" t="s">
        <v>276</v>
      </c>
      <c r="F6" s="10">
        <v>0</v>
      </c>
      <c r="G6" s="10">
        <v>2095</v>
      </c>
      <c r="H6" s="10"/>
      <c r="M6">
        <v>5</v>
      </c>
      <c r="N6" t="s">
        <v>271</v>
      </c>
      <c r="O6">
        <v>1</v>
      </c>
      <c r="P6">
        <v>985</v>
      </c>
      <c r="U6">
        <v>5</v>
      </c>
      <c r="V6" t="s">
        <v>305</v>
      </c>
      <c r="W6">
        <v>1</v>
      </c>
      <c r="X6">
        <v>3022</v>
      </c>
      <c r="AC6">
        <v>5</v>
      </c>
      <c r="AD6" t="s">
        <v>310</v>
      </c>
      <c r="AE6">
        <v>1</v>
      </c>
      <c r="AF6">
        <v>1815</v>
      </c>
    </row>
    <row r="7" spans="1:32" x14ac:dyDescent="0.25">
      <c r="D7">
        <v>6</v>
      </c>
      <c r="E7" t="s">
        <v>277</v>
      </c>
      <c r="F7" s="10">
        <v>0</v>
      </c>
      <c r="G7" s="10">
        <v>2529</v>
      </c>
      <c r="H7" s="10"/>
      <c r="M7">
        <v>6</v>
      </c>
      <c r="N7" t="s">
        <v>278</v>
      </c>
      <c r="O7">
        <v>1</v>
      </c>
      <c r="P7">
        <v>1903</v>
      </c>
      <c r="U7">
        <v>6</v>
      </c>
      <c r="V7" t="s">
        <v>306</v>
      </c>
      <c r="W7">
        <v>1</v>
      </c>
      <c r="X7">
        <v>3030</v>
      </c>
      <c r="AC7">
        <v>6</v>
      </c>
      <c r="AD7" t="s">
        <v>326</v>
      </c>
      <c r="AE7">
        <v>1</v>
      </c>
      <c r="AF7">
        <v>1871</v>
      </c>
    </row>
    <row r="8" spans="1:32" x14ac:dyDescent="0.25">
      <c r="D8">
        <v>7</v>
      </c>
      <c r="E8" t="s">
        <v>272</v>
      </c>
      <c r="F8">
        <v>1</v>
      </c>
      <c r="G8">
        <v>1372</v>
      </c>
      <c r="H8">
        <v>1372</v>
      </c>
      <c r="M8">
        <v>7</v>
      </c>
      <c r="N8" t="s">
        <v>279</v>
      </c>
      <c r="O8">
        <v>1</v>
      </c>
      <c r="P8">
        <v>1054</v>
      </c>
      <c r="U8">
        <v>7</v>
      </c>
      <c r="V8" t="s">
        <v>307</v>
      </c>
      <c r="W8">
        <v>1</v>
      </c>
      <c r="X8">
        <v>1181</v>
      </c>
      <c r="AC8">
        <v>7</v>
      </c>
      <c r="AD8" t="s">
        <v>322</v>
      </c>
      <c r="AE8">
        <v>1</v>
      </c>
      <c r="AF8">
        <v>2023</v>
      </c>
    </row>
    <row r="9" spans="1:32" x14ac:dyDescent="0.25">
      <c r="D9">
        <v>8</v>
      </c>
      <c r="E9" t="s">
        <v>280</v>
      </c>
      <c r="F9" s="10">
        <v>0</v>
      </c>
      <c r="G9" s="10">
        <v>2392</v>
      </c>
      <c r="H9" s="10"/>
      <c r="M9">
        <v>8</v>
      </c>
      <c r="N9" t="s">
        <v>281</v>
      </c>
      <c r="O9">
        <v>1</v>
      </c>
      <c r="P9">
        <v>1766</v>
      </c>
      <c r="U9">
        <v>8</v>
      </c>
      <c r="V9" t="s">
        <v>308</v>
      </c>
      <c r="W9">
        <v>1</v>
      </c>
      <c r="X9">
        <v>1310</v>
      </c>
      <c r="AC9">
        <v>8</v>
      </c>
      <c r="AD9" t="s">
        <v>305</v>
      </c>
      <c r="AE9">
        <v>1</v>
      </c>
      <c r="AF9">
        <v>3494</v>
      </c>
    </row>
    <row r="10" spans="1:32" x14ac:dyDescent="0.25">
      <c r="D10">
        <v>9</v>
      </c>
      <c r="E10" t="s">
        <v>275</v>
      </c>
      <c r="F10">
        <v>1</v>
      </c>
      <c r="G10">
        <v>3196</v>
      </c>
      <c r="H10">
        <v>3196</v>
      </c>
      <c r="M10">
        <v>9</v>
      </c>
      <c r="N10" t="s">
        <v>276</v>
      </c>
      <c r="O10">
        <v>1</v>
      </c>
      <c r="P10">
        <v>1540</v>
      </c>
      <c r="U10">
        <v>9</v>
      </c>
      <c r="V10" t="s">
        <v>309</v>
      </c>
      <c r="W10">
        <v>1</v>
      </c>
      <c r="X10">
        <v>948</v>
      </c>
      <c r="AC10">
        <v>9</v>
      </c>
      <c r="AD10" t="s">
        <v>315</v>
      </c>
      <c r="AE10">
        <v>1</v>
      </c>
      <c r="AF10">
        <v>1915</v>
      </c>
    </row>
    <row r="11" spans="1:32" x14ac:dyDescent="0.25">
      <c r="D11">
        <v>10</v>
      </c>
      <c r="E11" t="s">
        <v>282</v>
      </c>
      <c r="F11">
        <v>1</v>
      </c>
      <c r="G11">
        <v>1225</v>
      </c>
      <c r="H11">
        <v>1225</v>
      </c>
      <c r="M11">
        <v>10</v>
      </c>
      <c r="N11" t="s">
        <v>283</v>
      </c>
      <c r="O11">
        <v>1</v>
      </c>
      <c r="P11">
        <v>1744</v>
      </c>
      <c r="U11">
        <v>10</v>
      </c>
      <c r="V11" t="s">
        <v>310</v>
      </c>
      <c r="W11">
        <v>1</v>
      </c>
      <c r="X11">
        <v>1099</v>
      </c>
      <c r="AC11">
        <v>10</v>
      </c>
      <c r="AD11" t="s">
        <v>306</v>
      </c>
      <c r="AE11">
        <v>1</v>
      </c>
      <c r="AF11">
        <v>4564</v>
      </c>
    </row>
    <row r="12" spans="1:32" x14ac:dyDescent="0.25">
      <c r="D12">
        <v>11</v>
      </c>
      <c r="E12" t="s">
        <v>278</v>
      </c>
      <c r="F12">
        <v>1</v>
      </c>
      <c r="G12">
        <v>2330</v>
      </c>
      <c r="H12">
        <v>2330</v>
      </c>
      <c r="M12">
        <v>11</v>
      </c>
      <c r="N12" t="s">
        <v>284</v>
      </c>
      <c r="O12">
        <v>1</v>
      </c>
      <c r="P12">
        <v>1625</v>
      </c>
      <c r="U12">
        <v>11</v>
      </c>
      <c r="V12" t="s">
        <v>311</v>
      </c>
      <c r="W12">
        <v>1</v>
      </c>
      <c r="X12">
        <v>2238</v>
      </c>
      <c r="AC12">
        <v>11</v>
      </c>
      <c r="AD12" t="s">
        <v>325</v>
      </c>
      <c r="AE12">
        <v>1</v>
      </c>
      <c r="AF12">
        <v>1920</v>
      </c>
    </row>
    <row r="13" spans="1:32" x14ac:dyDescent="0.25">
      <c r="D13">
        <v>12</v>
      </c>
      <c r="E13" t="s">
        <v>285</v>
      </c>
      <c r="F13">
        <v>1</v>
      </c>
      <c r="G13">
        <v>1927</v>
      </c>
      <c r="H13">
        <v>1927</v>
      </c>
      <c r="M13">
        <v>12</v>
      </c>
      <c r="N13" t="s">
        <v>280</v>
      </c>
      <c r="O13">
        <v>1</v>
      </c>
      <c r="P13">
        <v>1517</v>
      </c>
      <c r="U13">
        <v>12</v>
      </c>
      <c r="V13" t="s">
        <v>312</v>
      </c>
      <c r="W13">
        <v>1</v>
      </c>
      <c r="X13">
        <v>2784</v>
      </c>
      <c r="AC13">
        <v>12</v>
      </c>
      <c r="AD13" t="s">
        <v>324</v>
      </c>
      <c r="AE13">
        <v>1</v>
      </c>
      <c r="AF13">
        <v>1842</v>
      </c>
    </row>
    <row r="14" spans="1:32" x14ac:dyDescent="0.25">
      <c r="D14">
        <v>13</v>
      </c>
      <c r="E14" t="s">
        <v>286</v>
      </c>
      <c r="F14">
        <v>1</v>
      </c>
      <c r="G14">
        <v>2155</v>
      </c>
      <c r="H14">
        <v>2155</v>
      </c>
      <c r="M14">
        <v>13</v>
      </c>
      <c r="N14" t="s">
        <v>282</v>
      </c>
      <c r="O14">
        <v>1</v>
      </c>
      <c r="P14">
        <v>1338</v>
      </c>
      <c r="U14">
        <v>13</v>
      </c>
      <c r="V14" t="s">
        <v>313</v>
      </c>
      <c r="W14">
        <v>1</v>
      </c>
      <c r="X14">
        <v>1381</v>
      </c>
      <c r="AC14">
        <v>13</v>
      </c>
      <c r="AD14" t="s">
        <v>323</v>
      </c>
      <c r="AE14">
        <v>1</v>
      </c>
      <c r="AF14">
        <v>2471</v>
      </c>
    </row>
    <row r="15" spans="1:32" x14ac:dyDescent="0.25">
      <c r="D15">
        <v>14</v>
      </c>
      <c r="E15" t="s">
        <v>287</v>
      </c>
      <c r="F15">
        <v>1</v>
      </c>
      <c r="G15">
        <v>2882</v>
      </c>
      <c r="H15">
        <v>2882</v>
      </c>
      <c r="M15">
        <v>14</v>
      </c>
      <c r="N15" t="s">
        <v>288</v>
      </c>
      <c r="O15">
        <v>1</v>
      </c>
      <c r="P15">
        <v>2167</v>
      </c>
      <c r="U15">
        <v>14</v>
      </c>
      <c r="V15" t="s">
        <v>314</v>
      </c>
      <c r="W15">
        <v>1</v>
      </c>
      <c r="X15">
        <v>2031</v>
      </c>
      <c r="AC15">
        <v>14</v>
      </c>
      <c r="AD15" t="s">
        <v>308</v>
      </c>
      <c r="AE15">
        <v>1</v>
      </c>
      <c r="AF15">
        <v>1616</v>
      </c>
    </row>
    <row r="16" spans="1:32" x14ac:dyDescent="0.25">
      <c r="D16">
        <v>15</v>
      </c>
      <c r="E16" t="s">
        <v>289</v>
      </c>
      <c r="F16">
        <v>1</v>
      </c>
      <c r="G16">
        <v>3202</v>
      </c>
      <c r="H16">
        <v>3202</v>
      </c>
      <c r="M16">
        <v>15</v>
      </c>
      <c r="N16" t="s">
        <v>277</v>
      </c>
      <c r="O16">
        <v>1</v>
      </c>
      <c r="P16">
        <v>3064</v>
      </c>
      <c r="U16">
        <v>15</v>
      </c>
      <c r="V16" t="s">
        <v>315</v>
      </c>
      <c r="W16">
        <v>1</v>
      </c>
      <c r="X16">
        <v>1082</v>
      </c>
      <c r="AC16">
        <v>15</v>
      </c>
      <c r="AD16" t="s">
        <v>318</v>
      </c>
      <c r="AE16">
        <v>1</v>
      </c>
      <c r="AF16">
        <v>2688</v>
      </c>
    </row>
    <row r="17" spans="4:33" x14ac:dyDescent="0.25">
      <c r="D17">
        <v>16</v>
      </c>
      <c r="E17" t="s">
        <v>279</v>
      </c>
      <c r="F17">
        <v>1</v>
      </c>
      <c r="G17">
        <v>1332</v>
      </c>
      <c r="H17">
        <v>1332</v>
      </c>
      <c r="M17">
        <v>16</v>
      </c>
      <c r="N17" t="s">
        <v>273</v>
      </c>
      <c r="O17">
        <v>1</v>
      </c>
      <c r="P17">
        <v>2096</v>
      </c>
      <c r="U17">
        <v>16</v>
      </c>
      <c r="V17" t="s">
        <v>316</v>
      </c>
      <c r="W17">
        <v>1</v>
      </c>
      <c r="X17">
        <v>1607</v>
      </c>
      <c r="AC17">
        <v>16</v>
      </c>
      <c r="AD17" t="s">
        <v>319</v>
      </c>
      <c r="AE17">
        <v>1</v>
      </c>
      <c r="AF17">
        <v>1650</v>
      </c>
    </row>
    <row r="18" spans="4:33" x14ac:dyDescent="0.25">
      <c r="D18">
        <v>17</v>
      </c>
      <c r="E18" t="s">
        <v>290</v>
      </c>
      <c r="F18">
        <v>1</v>
      </c>
      <c r="G18">
        <v>1342</v>
      </c>
      <c r="H18">
        <v>1342</v>
      </c>
      <c r="M18">
        <v>17</v>
      </c>
      <c r="N18" t="s">
        <v>289</v>
      </c>
      <c r="O18">
        <v>1</v>
      </c>
      <c r="P18">
        <v>974</v>
      </c>
      <c r="U18">
        <v>17</v>
      </c>
      <c r="V18" t="s">
        <v>317</v>
      </c>
      <c r="W18">
        <v>1</v>
      </c>
      <c r="X18">
        <v>1353</v>
      </c>
      <c r="AC18">
        <v>17</v>
      </c>
      <c r="AD18" t="s">
        <v>311</v>
      </c>
      <c r="AE18">
        <v>1</v>
      </c>
      <c r="AF18">
        <v>2462</v>
      </c>
    </row>
    <row r="19" spans="4:33" x14ac:dyDescent="0.25">
      <c r="D19">
        <v>18</v>
      </c>
      <c r="E19" t="s">
        <v>291</v>
      </c>
      <c r="F19">
        <v>1</v>
      </c>
      <c r="G19">
        <v>1924</v>
      </c>
      <c r="H19">
        <v>1924</v>
      </c>
      <c r="M19">
        <v>18</v>
      </c>
      <c r="N19" t="s">
        <v>292</v>
      </c>
      <c r="O19">
        <v>1</v>
      </c>
      <c r="P19">
        <v>1484</v>
      </c>
      <c r="U19">
        <v>18</v>
      </c>
      <c r="V19" t="s">
        <v>318</v>
      </c>
      <c r="W19">
        <v>1</v>
      </c>
      <c r="X19">
        <v>2570</v>
      </c>
      <c r="AC19">
        <v>18</v>
      </c>
      <c r="AD19" t="s">
        <v>303</v>
      </c>
      <c r="AE19">
        <v>1</v>
      </c>
      <c r="AF19">
        <v>1721</v>
      </c>
    </row>
    <row r="20" spans="4:33" x14ac:dyDescent="0.25">
      <c r="D20">
        <v>19</v>
      </c>
      <c r="E20" t="s">
        <v>284</v>
      </c>
      <c r="F20">
        <v>1</v>
      </c>
      <c r="G20">
        <v>1318</v>
      </c>
      <c r="H20">
        <v>1318</v>
      </c>
      <c r="M20">
        <v>19</v>
      </c>
      <c r="N20" t="s">
        <v>293</v>
      </c>
      <c r="O20">
        <v>1</v>
      </c>
      <c r="P20">
        <v>1672</v>
      </c>
      <c r="U20">
        <v>19</v>
      </c>
      <c r="V20" t="s">
        <v>319</v>
      </c>
      <c r="W20">
        <v>1</v>
      </c>
      <c r="X20">
        <v>1154</v>
      </c>
      <c r="AC20">
        <v>19</v>
      </c>
      <c r="AD20" t="s">
        <v>320</v>
      </c>
      <c r="AE20">
        <v>1</v>
      </c>
      <c r="AF20">
        <v>2662</v>
      </c>
    </row>
    <row r="21" spans="4:33" x14ac:dyDescent="0.25">
      <c r="D21">
        <v>20</v>
      </c>
      <c r="E21" t="s">
        <v>281</v>
      </c>
      <c r="F21">
        <v>1</v>
      </c>
      <c r="G21">
        <v>1133</v>
      </c>
      <c r="H21">
        <v>1133</v>
      </c>
      <c r="M21">
        <v>20</v>
      </c>
      <c r="N21" t="s">
        <v>286</v>
      </c>
      <c r="O21">
        <v>1</v>
      </c>
      <c r="P21">
        <v>1057</v>
      </c>
      <c r="U21">
        <v>20</v>
      </c>
      <c r="V21" t="s">
        <v>320</v>
      </c>
      <c r="W21">
        <v>1</v>
      </c>
      <c r="X21">
        <v>2520</v>
      </c>
      <c r="AC21">
        <v>20</v>
      </c>
      <c r="AD21" t="s">
        <v>309</v>
      </c>
      <c r="AE21">
        <v>1</v>
      </c>
      <c r="AF21">
        <v>2539</v>
      </c>
    </row>
    <row r="22" spans="4:33" x14ac:dyDescent="0.25">
      <c r="D22">
        <v>21</v>
      </c>
      <c r="E22" t="s">
        <v>293</v>
      </c>
      <c r="F22">
        <v>1</v>
      </c>
      <c r="G22">
        <v>1409</v>
      </c>
      <c r="H22">
        <v>1409</v>
      </c>
      <c r="M22">
        <v>21</v>
      </c>
      <c r="N22" t="s">
        <v>285</v>
      </c>
      <c r="O22">
        <v>1</v>
      </c>
      <c r="P22">
        <v>886</v>
      </c>
      <c r="U22">
        <v>21</v>
      </c>
      <c r="V22" t="s">
        <v>321</v>
      </c>
      <c r="W22">
        <v>1</v>
      </c>
      <c r="X22">
        <v>1270</v>
      </c>
      <c r="AC22">
        <v>21</v>
      </c>
      <c r="AD22" t="s">
        <v>314</v>
      </c>
      <c r="AE22">
        <v>1</v>
      </c>
      <c r="AF22">
        <v>2125</v>
      </c>
    </row>
    <row r="23" spans="4:33" x14ac:dyDescent="0.25">
      <c r="D23">
        <v>22</v>
      </c>
      <c r="E23" t="s">
        <v>288</v>
      </c>
      <c r="F23">
        <v>1</v>
      </c>
      <c r="G23">
        <v>2511</v>
      </c>
      <c r="H23">
        <v>2511</v>
      </c>
      <c r="M23">
        <v>22</v>
      </c>
      <c r="N23" t="s">
        <v>290</v>
      </c>
      <c r="O23">
        <v>1</v>
      </c>
      <c r="P23">
        <v>1054</v>
      </c>
      <c r="U23">
        <v>22</v>
      </c>
      <c r="V23" t="s">
        <v>322</v>
      </c>
      <c r="W23">
        <v>1</v>
      </c>
      <c r="X23">
        <v>1561</v>
      </c>
      <c r="AC23">
        <v>22</v>
      </c>
      <c r="AD23" t="s">
        <v>301</v>
      </c>
      <c r="AE23">
        <v>1</v>
      </c>
      <c r="AF23">
        <v>1162</v>
      </c>
    </row>
    <row r="24" spans="4:33" x14ac:dyDescent="0.25">
      <c r="D24">
        <v>23</v>
      </c>
      <c r="E24" t="s">
        <v>283</v>
      </c>
      <c r="F24">
        <v>1</v>
      </c>
      <c r="G24">
        <v>1616</v>
      </c>
      <c r="H24">
        <v>1616</v>
      </c>
      <c r="M24">
        <v>23</v>
      </c>
      <c r="N24" t="s">
        <v>294</v>
      </c>
      <c r="O24">
        <v>1</v>
      </c>
      <c r="P24">
        <v>983</v>
      </c>
      <c r="U24">
        <v>23</v>
      </c>
      <c r="V24" t="s">
        <v>323</v>
      </c>
      <c r="W24">
        <v>1</v>
      </c>
      <c r="X24">
        <v>1392</v>
      </c>
      <c r="AC24">
        <v>23</v>
      </c>
      <c r="AD24" t="s">
        <v>313</v>
      </c>
      <c r="AE24">
        <v>1</v>
      </c>
      <c r="AF24">
        <v>1459</v>
      </c>
    </row>
    <row r="25" spans="4:33" x14ac:dyDescent="0.25">
      <c r="D25">
        <v>24</v>
      </c>
      <c r="E25" t="s">
        <v>294</v>
      </c>
      <c r="F25">
        <v>1</v>
      </c>
      <c r="G25">
        <v>2241</v>
      </c>
      <c r="H25">
        <v>2241</v>
      </c>
      <c r="M25">
        <v>24</v>
      </c>
      <c r="N25" t="s">
        <v>295</v>
      </c>
      <c r="O25">
        <v>1</v>
      </c>
      <c r="P25">
        <v>887</v>
      </c>
      <c r="U25">
        <v>24</v>
      </c>
      <c r="V25" t="s">
        <v>324</v>
      </c>
      <c r="W25">
        <v>1</v>
      </c>
      <c r="X25">
        <v>1437</v>
      </c>
      <c r="AC25">
        <v>24</v>
      </c>
      <c r="AD25" t="s">
        <v>304</v>
      </c>
      <c r="AE25">
        <v>1</v>
      </c>
      <c r="AF25">
        <v>1554</v>
      </c>
    </row>
    <row r="26" spans="4:33" x14ac:dyDescent="0.25">
      <c r="D26">
        <v>25</v>
      </c>
      <c r="E26" t="s">
        <v>295</v>
      </c>
      <c r="F26">
        <v>1</v>
      </c>
      <c r="G26">
        <v>3146</v>
      </c>
      <c r="H26">
        <v>3146</v>
      </c>
      <c r="M26">
        <v>25</v>
      </c>
      <c r="N26" t="s">
        <v>287</v>
      </c>
      <c r="O26">
        <v>1</v>
      </c>
      <c r="P26">
        <v>1120</v>
      </c>
      <c r="U26">
        <v>25</v>
      </c>
      <c r="V26" t="s">
        <v>325</v>
      </c>
      <c r="W26">
        <v>1</v>
      </c>
      <c r="X26">
        <v>1889</v>
      </c>
      <c r="AC26">
        <v>25</v>
      </c>
      <c r="AD26" t="s">
        <v>317</v>
      </c>
      <c r="AE26">
        <v>1</v>
      </c>
      <c r="AF26">
        <v>1566</v>
      </c>
    </row>
    <row r="27" spans="4:33" x14ac:dyDescent="0.25">
      <c r="D27">
        <v>26</v>
      </c>
      <c r="E27" t="s">
        <v>292</v>
      </c>
      <c r="F27">
        <v>1</v>
      </c>
      <c r="G27">
        <v>1452</v>
      </c>
      <c r="H27">
        <v>1452</v>
      </c>
      <c r="M27">
        <v>26</v>
      </c>
      <c r="N27" t="s">
        <v>291</v>
      </c>
      <c r="O27">
        <v>1</v>
      </c>
      <c r="P27">
        <v>1577</v>
      </c>
      <c r="U27">
        <v>26</v>
      </c>
      <c r="V27" t="s">
        <v>326</v>
      </c>
      <c r="W27">
        <v>1</v>
      </c>
      <c r="X27">
        <v>1238</v>
      </c>
      <c r="AC27">
        <v>26</v>
      </c>
      <c r="AD27" t="s">
        <v>312</v>
      </c>
      <c r="AE27">
        <v>1</v>
      </c>
      <c r="AF27">
        <v>2722</v>
      </c>
    </row>
    <row r="28" spans="4:33" ht="15.75" x14ac:dyDescent="0.25">
      <c r="F28" s="5">
        <f>SUM(F2:F27)</f>
        <v>23</v>
      </c>
      <c r="H28" s="7">
        <f>SUM(H2:H27)</f>
        <v>44870</v>
      </c>
      <c r="AE28" s="5">
        <f>SUM(AE2:AE27)</f>
        <v>26</v>
      </c>
      <c r="AF28" s="5">
        <f>SUM(AF2:AF27)</f>
        <v>55238</v>
      </c>
    </row>
    <row r="29" spans="4:33" ht="15.75" x14ac:dyDescent="0.25">
      <c r="O29" s="5">
        <f>SUM(O2:O28)</f>
        <v>26</v>
      </c>
      <c r="P29" s="5">
        <f>SUM(P2:P28)</f>
        <v>44661</v>
      </c>
      <c r="W29" s="5">
        <f>SUM(W2:W28)</f>
        <v>26</v>
      </c>
      <c r="X29" s="5">
        <f>SUM(X2:X28)</f>
        <v>46999</v>
      </c>
    </row>
    <row r="30" spans="4:33" ht="15.75" x14ac:dyDescent="0.25">
      <c r="G30" s="18">
        <f>H30/I30</f>
        <v>1950.8695652173913</v>
      </c>
      <c r="H30">
        <v>44870</v>
      </c>
      <c r="I30">
        <v>23</v>
      </c>
      <c r="O30" s="3">
        <f>P30/Q30</f>
        <v>1717.7307692307693</v>
      </c>
      <c r="P30">
        <v>44661</v>
      </c>
      <c r="Q30">
        <v>26</v>
      </c>
      <c r="W30" s="3">
        <f>X30/Y30</f>
        <v>1807.6538461538462</v>
      </c>
      <c r="X30">
        <v>46999</v>
      </c>
      <c r="Y30">
        <v>26</v>
      </c>
      <c r="AE30" s="3">
        <f>AF30/AG30</f>
        <v>2124.5384615384614</v>
      </c>
      <c r="AF30">
        <v>55238</v>
      </c>
      <c r="AG30">
        <v>26</v>
      </c>
    </row>
    <row r="32" spans="4:33" x14ac:dyDescent="0.25">
      <c r="D32" s="2"/>
      <c r="E32" s="2" t="s">
        <v>142</v>
      </c>
      <c r="F32" s="2" t="s">
        <v>112</v>
      </c>
      <c r="G32" s="2" t="s">
        <v>114</v>
      </c>
      <c r="H32" s="2" t="s">
        <v>587</v>
      </c>
      <c r="L32" t="s">
        <v>142</v>
      </c>
      <c r="M32" t="s">
        <v>112</v>
      </c>
      <c r="N32" t="s">
        <v>114</v>
      </c>
      <c r="O32" t="s">
        <v>590</v>
      </c>
    </row>
    <row r="33" spans="4:15" x14ac:dyDescent="0.25">
      <c r="D33" s="2" t="s">
        <v>300</v>
      </c>
      <c r="E33" s="2">
        <v>23</v>
      </c>
      <c r="F33" s="2">
        <v>26</v>
      </c>
      <c r="G33" s="2">
        <v>26</v>
      </c>
      <c r="H33" s="2">
        <v>26</v>
      </c>
      <c r="K33" t="s">
        <v>328</v>
      </c>
      <c r="L33">
        <v>1950.86</v>
      </c>
      <c r="M33">
        <v>1717.73</v>
      </c>
      <c r="N33">
        <v>1807.65</v>
      </c>
      <c r="O33">
        <v>2124.5300000000002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B1" workbookViewId="0">
      <selection activeCell="X9" sqref="X9"/>
    </sheetView>
  </sheetViews>
  <sheetFormatPr baseColWidth="10" defaultRowHeight="15" x14ac:dyDescent="0.25"/>
  <cols>
    <col min="1" max="1" width="22.7109375" customWidth="1"/>
    <col min="8" max="8" width="24.28515625" customWidth="1"/>
    <col min="15" max="15" width="23.28515625" customWidth="1"/>
    <col min="18" max="18" width="18" customWidth="1"/>
  </cols>
  <sheetData>
    <row r="1" spans="1:25" ht="15.75" x14ac:dyDescent="0.25">
      <c r="A1" s="1" t="s">
        <v>8</v>
      </c>
      <c r="B1" s="2" t="s">
        <v>0</v>
      </c>
      <c r="C1" s="2" t="s">
        <v>1</v>
      </c>
      <c r="D1" s="2" t="s">
        <v>2</v>
      </c>
      <c r="E1" s="1" t="s">
        <v>3</v>
      </c>
      <c r="H1" s="1" t="s">
        <v>8</v>
      </c>
      <c r="I1" s="2" t="s">
        <v>0</v>
      </c>
      <c r="J1" s="2" t="s">
        <v>1</v>
      </c>
      <c r="K1" s="2" t="s">
        <v>2</v>
      </c>
      <c r="L1" s="1" t="s">
        <v>3</v>
      </c>
      <c r="O1" s="1" t="s">
        <v>8</v>
      </c>
      <c r="P1" s="2" t="s">
        <v>0</v>
      </c>
      <c r="Q1" s="2" t="s">
        <v>1</v>
      </c>
      <c r="R1" s="2" t="s">
        <v>2</v>
      </c>
      <c r="S1" s="1" t="s">
        <v>3</v>
      </c>
      <c r="U1" s="1" t="s">
        <v>8</v>
      </c>
      <c r="V1" s="2" t="s">
        <v>0</v>
      </c>
      <c r="W1" s="2" t="s">
        <v>1</v>
      </c>
      <c r="X1" s="2" t="s">
        <v>2</v>
      </c>
      <c r="Y1" s="1" t="s">
        <v>3</v>
      </c>
    </row>
    <row r="2" spans="1:25" ht="15.75" x14ac:dyDescent="0.25">
      <c r="A2" s="3" t="s">
        <v>4</v>
      </c>
      <c r="B2">
        <v>1</v>
      </c>
      <c r="C2" s="4">
        <v>1</v>
      </c>
      <c r="D2" t="s">
        <v>6</v>
      </c>
      <c r="E2" s="5">
        <v>2</v>
      </c>
      <c r="H2" s="3" t="s">
        <v>4</v>
      </c>
      <c r="I2">
        <v>1</v>
      </c>
      <c r="J2" s="4">
        <v>2</v>
      </c>
      <c r="K2" t="s">
        <v>215</v>
      </c>
      <c r="L2" s="5">
        <v>2</v>
      </c>
      <c r="O2" s="3" t="s">
        <v>146</v>
      </c>
      <c r="P2">
        <v>2</v>
      </c>
      <c r="Q2" s="4">
        <v>3</v>
      </c>
      <c r="R2" t="s">
        <v>209</v>
      </c>
      <c r="S2" s="5">
        <v>6</v>
      </c>
      <c r="U2" s="3" t="s">
        <v>592</v>
      </c>
      <c r="V2">
        <v>2</v>
      </c>
      <c r="W2" s="4">
        <v>4</v>
      </c>
      <c r="X2" t="s">
        <v>212</v>
      </c>
      <c r="Y2" s="5">
        <v>3</v>
      </c>
    </row>
    <row r="3" spans="1:25" ht="15.75" x14ac:dyDescent="0.25">
      <c r="A3" s="1" t="s">
        <v>5</v>
      </c>
      <c r="D3" t="s">
        <v>9</v>
      </c>
      <c r="H3" s="1" t="s">
        <v>5</v>
      </c>
      <c r="K3" t="s">
        <v>216</v>
      </c>
      <c r="O3" s="1" t="s">
        <v>5</v>
      </c>
      <c r="R3" t="s">
        <v>214</v>
      </c>
      <c r="U3" s="1" t="s">
        <v>5</v>
      </c>
      <c r="X3" t="s">
        <v>602</v>
      </c>
    </row>
    <row r="4" spans="1:25" ht="15.75" x14ac:dyDescent="0.25">
      <c r="A4" s="1" t="s">
        <v>7</v>
      </c>
      <c r="H4" s="1" t="s">
        <v>177</v>
      </c>
      <c r="O4" s="1" t="s">
        <v>179</v>
      </c>
      <c r="R4" t="s">
        <v>210</v>
      </c>
      <c r="U4" s="1" t="s">
        <v>594</v>
      </c>
      <c r="X4" t="s">
        <v>210</v>
      </c>
    </row>
    <row r="5" spans="1:25" ht="15.75" x14ac:dyDescent="0.25">
      <c r="A5" s="1" t="s">
        <v>10</v>
      </c>
      <c r="H5" s="1" t="s">
        <v>10</v>
      </c>
      <c r="O5" s="1" t="s">
        <v>217</v>
      </c>
      <c r="R5" t="s">
        <v>211</v>
      </c>
      <c r="U5" s="1" t="s">
        <v>217</v>
      </c>
    </row>
    <row r="6" spans="1:25" x14ac:dyDescent="0.25">
      <c r="R6" t="s">
        <v>212</v>
      </c>
    </row>
    <row r="7" spans="1:25" x14ac:dyDescent="0.25">
      <c r="R7" t="s">
        <v>213</v>
      </c>
    </row>
    <row r="8" spans="1:25" x14ac:dyDescent="0.25">
      <c r="W8" t="s">
        <v>603</v>
      </c>
      <c r="X8" t="s">
        <v>6</v>
      </c>
    </row>
    <row r="9" spans="1:25" x14ac:dyDescent="0.25">
      <c r="X9" t="s">
        <v>604</v>
      </c>
    </row>
    <row r="10" spans="1:25" x14ac:dyDescent="0.25">
      <c r="E10" t="s">
        <v>142</v>
      </c>
      <c r="F10" t="s">
        <v>112</v>
      </c>
      <c r="G10" t="s">
        <v>114</v>
      </c>
      <c r="H10" t="s">
        <v>592</v>
      </c>
    </row>
    <row r="11" spans="1:25" x14ac:dyDescent="0.25">
      <c r="D11" t="s">
        <v>329</v>
      </c>
      <c r="E11">
        <v>2</v>
      </c>
      <c r="F11">
        <v>2</v>
      </c>
      <c r="G11">
        <v>6</v>
      </c>
      <c r="H11">
        <v>3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topLeftCell="H1" workbookViewId="0">
      <selection activeCell="AA2" sqref="AA2"/>
    </sheetView>
  </sheetViews>
  <sheetFormatPr baseColWidth="10" defaultRowHeight="15" x14ac:dyDescent="0.25"/>
  <cols>
    <col min="1" max="1" width="23.28515625" customWidth="1"/>
    <col min="8" max="8" width="17.7109375" customWidth="1"/>
    <col min="15" max="15" width="25" customWidth="1"/>
    <col min="26" max="26" width="17.7109375" customWidth="1"/>
  </cols>
  <sheetData>
    <row r="1" spans="1:27" ht="15.75" x14ac:dyDescent="0.25">
      <c r="A1" s="1" t="s">
        <v>8</v>
      </c>
      <c r="B1" s="2" t="s">
        <v>0</v>
      </c>
      <c r="C1" s="2" t="s">
        <v>1</v>
      </c>
      <c r="D1" s="2" t="s">
        <v>11</v>
      </c>
      <c r="E1" s="2" t="s">
        <v>2</v>
      </c>
      <c r="F1" s="1" t="s">
        <v>3</v>
      </c>
      <c r="H1" s="1" t="s">
        <v>8</v>
      </c>
      <c r="I1" s="2" t="s">
        <v>0</v>
      </c>
      <c r="J1" s="2" t="s">
        <v>1</v>
      </c>
      <c r="K1" s="2" t="s">
        <v>11</v>
      </c>
      <c r="L1" s="2" t="s">
        <v>2</v>
      </c>
      <c r="M1" s="1" t="s">
        <v>3</v>
      </c>
      <c r="O1" s="1" t="s">
        <v>8</v>
      </c>
      <c r="P1" s="2" t="s">
        <v>0</v>
      </c>
      <c r="Q1" s="2" t="s">
        <v>1</v>
      </c>
      <c r="R1" s="2" t="s">
        <v>11</v>
      </c>
      <c r="S1" s="2" t="s">
        <v>2</v>
      </c>
      <c r="T1" s="1" t="s">
        <v>3</v>
      </c>
      <c r="V1" s="1" t="s">
        <v>8</v>
      </c>
      <c r="W1" s="2" t="s">
        <v>0</v>
      </c>
      <c r="X1" s="2" t="s">
        <v>1</v>
      </c>
      <c r="Y1" s="2" t="s">
        <v>11</v>
      </c>
      <c r="Z1" s="2" t="s">
        <v>2</v>
      </c>
      <c r="AA1" s="1" t="s">
        <v>3</v>
      </c>
    </row>
    <row r="2" spans="1:27" ht="15.75" x14ac:dyDescent="0.25">
      <c r="A2" s="3" t="s">
        <v>4</v>
      </c>
      <c r="B2">
        <v>1</v>
      </c>
      <c r="C2" s="4">
        <v>1</v>
      </c>
      <c r="D2" s="6">
        <v>1</v>
      </c>
      <c r="E2" t="s">
        <v>12</v>
      </c>
      <c r="F2" s="5">
        <v>10</v>
      </c>
      <c r="H2" s="3" t="s">
        <v>377</v>
      </c>
      <c r="I2">
        <v>1</v>
      </c>
      <c r="J2" s="4">
        <v>2</v>
      </c>
      <c r="K2" s="6">
        <v>1</v>
      </c>
      <c r="L2" t="s">
        <v>378</v>
      </c>
      <c r="M2" s="5">
        <v>9</v>
      </c>
      <c r="O2" s="3" t="s">
        <v>387</v>
      </c>
      <c r="P2">
        <v>2</v>
      </c>
      <c r="Q2" s="4">
        <v>3</v>
      </c>
      <c r="R2" s="6">
        <v>1</v>
      </c>
      <c r="S2" t="s">
        <v>214</v>
      </c>
      <c r="T2" s="5">
        <v>6</v>
      </c>
      <c r="V2" s="3" t="s">
        <v>590</v>
      </c>
      <c r="W2">
        <v>2</v>
      </c>
      <c r="X2" s="4">
        <v>4</v>
      </c>
      <c r="Y2" s="6">
        <v>1</v>
      </c>
      <c r="Z2" t="s">
        <v>595</v>
      </c>
      <c r="AA2" s="5">
        <v>8</v>
      </c>
    </row>
    <row r="3" spans="1:27" ht="15.75" x14ac:dyDescent="0.25">
      <c r="A3" s="1" t="s">
        <v>331</v>
      </c>
      <c r="D3">
        <v>2</v>
      </c>
      <c r="E3" t="s">
        <v>24</v>
      </c>
      <c r="H3" s="1" t="s">
        <v>331</v>
      </c>
      <c r="K3">
        <v>2</v>
      </c>
      <c r="L3" t="s">
        <v>379</v>
      </c>
      <c r="O3" s="1" t="s">
        <v>331</v>
      </c>
      <c r="R3">
        <v>2</v>
      </c>
      <c r="S3" t="s">
        <v>388</v>
      </c>
      <c r="V3" s="1" t="s">
        <v>331</v>
      </c>
      <c r="Y3">
        <v>2</v>
      </c>
      <c r="Z3" t="s">
        <v>346</v>
      </c>
    </row>
    <row r="4" spans="1:27" ht="15.75" x14ac:dyDescent="0.25">
      <c r="A4" s="1" t="s">
        <v>7</v>
      </c>
      <c r="D4">
        <v>3</v>
      </c>
      <c r="E4" t="s">
        <v>13</v>
      </c>
      <c r="H4" s="1" t="s">
        <v>177</v>
      </c>
      <c r="K4">
        <v>3</v>
      </c>
      <c r="L4" t="s">
        <v>380</v>
      </c>
      <c r="O4" s="1" t="s">
        <v>179</v>
      </c>
      <c r="R4">
        <v>3</v>
      </c>
      <c r="S4" t="s">
        <v>389</v>
      </c>
      <c r="V4" s="1" t="s">
        <v>594</v>
      </c>
      <c r="Y4">
        <v>3</v>
      </c>
      <c r="Z4" t="s">
        <v>596</v>
      </c>
    </row>
    <row r="5" spans="1:27" ht="15.75" x14ac:dyDescent="0.25">
      <c r="A5" s="1" t="s">
        <v>25</v>
      </c>
      <c r="D5">
        <v>4</v>
      </c>
      <c r="E5" t="s">
        <v>17</v>
      </c>
      <c r="H5" s="1" t="s">
        <v>386</v>
      </c>
      <c r="K5">
        <v>4</v>
      </c>
      <c r="L5" t="s">
        <v>381</v>
      </c>
      <c r="O5" s="1" t="s">
        <v>217</v>
      </c>
      <c r="R5">
        <v>4</v>
      </c>
      <c r="S5" t="s">
        <v>390</v>
      </c>
      <c r="V5" s="1" t="s">
        <v>217</v>
      </c>
      <c r="Y5">
        <v>4</v>
      </c>
      <c r="Z5" t="s">
        <v>597</v>
      </c>
    </row>
    <row r="6" spans="1:27" x14ac:dyDescent="0.25">
      <c r="D6">
        <v>5</v>
      </c>
      <c r="E6" t="s">
        <v>18</v>
      </c>
      <c r="K6">
        <v>5</v>
      </c>
      <c r="L6" t="s">
        <v>382</v>
      </c>
      <c r="R6">
        <v>5</v>
      </c>
      <c r="S6" t="s">
        <v>391</v>
      </c>
      <c r="Y6">
        <v>5</v>
      </c>
      <c r="Z6" t="s">
        <v>598</v>
      </c>
    </row>
    <row r="7" spans="1:27" x14ac:dyDescent="0.25">
      <c r="D7">
        <v>6</v>
      </c>
      <c r="E7" t="s">
        <v>19</v>
      </c>
      <c r="K7">
        <v>6</v>
      </c>
      <c r="L7" t="s">
        <v>23</v>
      </c>
      <c r="R7">
        <v>6</v>
      </c>
      <c r="S7" t="s">
        <v>392</v>
      </c>
      <c r="Y7">
        <v>6</v>
      </c>
      <c r="Z7" t="s">
        <v>599</v>
      </c>
    </row>
    <row r="8" spans="1:27" x14ac:dyDescent="0.25">
      <c r="D8">
        <v>7</v>
      </c>
      <c r="E8" t="s">
        <v>20</v>
      </c>
      <c r="K8">
        <v>7</v>
      </c>
      <c r="L8" t="s">
        <v>383</v>
      </c>
      <c r="Y8">
        <v>7</v>
      </c>
      <c r="Z8" t="s">
        <v>600</v>
      </c>
    </row>
    <row r="9" spans="1:27" x14ac:dyDescent="0.25">
      <c r="D9">
        <v>8</v>
      </c>
      <c r="E9" t="s">
        <v>21</v>
      </c>
      <c r="K9">
        <v>8</v>
      </c>
      <c r="L9" t="s">
        <v>384</v>
      </c>
      <c r="Y9">
        <v>8</v>
      </c>
      <c r="Z9" t="s">
        <v>601</v>
      </c>
    </row>
    <row r="10" spans="1:27" x14ac:dyDescent="0.25">
      <c r="D10">
        <v>9</v>
      </c>
      <c r="E10" t="s">
        <v>22</v>
      </c>
      <c r="K10">
        <v>9</v>
      </c>
      <c r="L10" t="s">
        <v>385</v>
      </c>
    </row>
    <row r="11" spans="1:27" x14ac:dyDescent="0.25">
      <c r="D11">
        <v>10</v>
      </c>
      <c r="E11" t="s">
        <v>23</v>
      </c>
    </row>
    <row r="13" spans="1:27" x14ac:dyDescent="0.25">
      <c r="D13" t="s">
        <v>16</v>
      </c>
      <c r="E13" s="7" t="s">
        <v>14</v>
      </c>
    </row>
    <row r="14" spans="1:27" x14ac:dyDescent="0.25">
      <c r="E14" s="7" t="s">
        <v>15</v>
      </c>
    </row>
    <row r="18" spans="6:10" x14ac:dyDescent="0.25">
      <c r="G18" t="s">
        <v>142</v>
      </c>
      <c r="H18" t="s">
        <v>207</v>
      </c>
      <c r="I18" t="s">
        <v>146</v>
      </c>
      <c r="J18" t="s">
        <v>591</v>
      </c>
    </row>
    <row r="19" spans="6:10" x14ac:dyDescent="0.25">
      <c r="F19" t="s">
        <v>393</v>
      </c>
      <c r="G19">
        <v>10</v>
      </c>
      <c r="H19">
        <v>9</v>
      </c>
      <c r="I19">
        <v>6</v>
      </c>
      <c r="J19">
        <v>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8"/>
  <sheetViews>
    <sheetView topLeftCell="R1" workbookViewId="0">
      <selection activeCell="AB4" sqref="AB4"/>
    </sheetView>
  </sheetViews>
  <sheetFormatPr baseColWidth="10" defaultRowHeight="15" x14ac:dyDescent="0.25"/>
  <cols>
    <col min="1" max="1" width="28.42578125" customWidth="1"/>
    <col min="6" max="6" width="13.5703125" customWidth="1"/>
    <col min="7" max="7" width="17.85546875" customWidth="1"/>
    <col min="8" max="8" width="17.7109375" customWidth="1"/>
    <col min="10" max="10" width="27.7109375" customWidth="1"/>
    <col min="16" max="16" width="17.7109375" customWidth="1"/>
    <col min="17" max="17" width="19.85546875" customWidth="1"/>
    <col min="19" max="19" width="21.85546875" customWidth="1"/>
    <col min="25" max="25" width="17" customWidth="1"/>
    <col min="26" max="26" width="16.7109375" customWidth="1"/>
    <col min="32" max="32" width="14.28515625" customWidth="1"/>
    <col min="34" max="34" width="16.7109375" customWidth="1"/>
    <col min="35" max="35" width="18.7109375" customWidth="1"/>
  </cols>
  <sheetData>
    <row r="1" spans="1:35" ht="15.75" x14ac:dyDescent="0.25">
      <c r="A1" s="1" t="s">
        <v>8</v>
      </c>
      <c r="B1" s="2" t="s">
        <v>0</v>
      </c>
      <c r="C1" s="2" t="s">
        <v>1</v>
      </c>
      <c r="D1" s="2" t="s">
        <v>26</v>
      </c>
      <c r="E1" s="2" t="s">
        <v>336</v>
      </c>
      <c r="F1" s="2" t="s">
        <v>337</v>
      </c>
      <c r="G1" s="2" t="s">
        <v>396</v>
      </c>
      <c r="H1" s="2" t="s">
        <v>397</v>
      </c>
      <c r="J1" s="1" t="s">
        <v>8</v>
      </c>
      <c r="K1" s="2" t="s">
        <v>0</v>
      </c>
      <c r="L1" s="2" t="s">
        <v>1</v>
      </c>
      <c r="M1" s="2" t="s">
        <v>26</v>
      </c>
      <c r="N1" s="2" t="s">
        <v>336</v>
      </c>
      <c r="O1" s="2" t="s">
        <v>337</v>
      </c>
      <c r="P1" s="2" t="s">
        <v>396</v>
      </c>
      <c r="Q1" s="2" t="s">
        <v>397</v>
      </c>
      <c r="S1" s="1" t="s">
        <v>8</v>
      </c>
      <c r="T1" s="2" t="s">
        <v>0</v>
      </c>
      <c r="U1" s="2" t="s">
        <v>1</v>
      </c>
      <c r="V1" s="2" t="s">
        <v>26</v>
      </c>
      <c r="W1" s="2" t="s">
        <v>336</v>
      </c>
      <c r="X1" s="2" t="s">
        <v>337</v>
      </c>
      <c r="Y1" s="2" t="s">
        <v>396</v>
      </c>
      <c r="Z1" s="2" t="s">
        <v>397</v>
      </c>
      <c r="AB1" s="1" t="s">
        <v>8</v>
      </c>
      <c r="AC1" s="2" t="s">
        <v>0</v>
      </c>
      <c r="AD1" s="2" t="s">
        <v>1</v>
      </c>
      <c r="AE1" s="2" t="s">
        <v>26</v>
      </c>
      <c r="AF1" s="2" t="s">
        <v>336</v>
      </c>
      <c r="AG1" s="2" t="s">
        <v>337</v>
      </c>
      <c r="AH1" s="2" t="s">
        <v>396</v>
      </c>
      <c r="AI1" s="2" t="s">
        <v>397</v>
      </c>
    </row>
    <row r="2" spans="1:35" ht="15.75" x14ac:dyDescent="0.25">
      <c r="A2" s="3" t="s">
        <v>4</v>
      </c>
      <c r="B2">
        <v>1</v>
      </c>
      <c r="C2">
        <v>1</v>
      </c>
      <c r="D2">
        <v>1</v>
      </c>
      <c r="E2" t="s">
        <v>398</v>
      </c>
      <c r="F2" t="s">
        <v>400</v>
      </c>
      <c r="G2">
        <v>1</v>
      </c>
      <c r="H2">
        <v>1741</v>
      </c>
      <c r="J2" s="3" t="s">
        <v>143</v>
      </c>
      <c r="K2">
        <v>1</v>
      </c>
      <c r="L2">
        <v>2</v>
      </c>
      <c r="M2">
        <v>1</v>
      </c>
      <c r="N2" t="s">
        <v>399</v>
      </c>
      <c r="O2" t="s">
        <v>437</v>
      </c>
      <c r="P2" s="19">
        <v>0</v>
      </c>
      <c r="Q2" s="10">
        <v>0</v>
      </c>
      <c r="S2" s="3" t="s">
        <v>144</v>
      </c>
      <c r="T2">
        <v>2</v>
      </c>
      <c r="U2">
        <v>3</v>
      </c>
      <c r="V2">
        <v>1</v>
      </c>
      <c r="W2" t="s">
        <v>399</v>
      </c>
      <c r="X2" t="s">
        <v>461</v>
      </c>
      <c r="Y2">
        <v>1</v>
      </c>
      <c r="Z2">
        <v>1786</v>
      </c>
      <c r="AB2" s="3" t="s">
        <v>591</v>
      </c>
      <c r="AC2">
        <v>2</v>
      </c>
      <c r="AD2">
        <v>3</v>
      </c>
      <c r="AE2">
        <v>1</v>
      </c>
      <c r="AF2" t="s">
        <v>399</v>
      </c>
      <c r="AG2" t="s">
        <v>439</v>
      </c>
      <c r="AH2">
        <v>1</v>
      </c>
      <c r="AI2">
        <v>1169</v>
      </c>
    </row>
    <row r="3" spans="1:35" ht="15.75" x14ac:dyDescent="0.25">
      <c r="A3" s="1" t="s">
        <v>394</v>
      </c>
      <c r="D3">
        <v>2</v>
      </c>
      <c r="E3" t="s">
        <v>399</v>
      </c>
      <c r="F3" t="s">
        <v>401</v>
      </c>
      <c r="G3">
        <v>1</v>
      </c>
      <c r="H3">
        <v>838</v>
      </c>
      <c r="J3" s="1" t="s">
        <v>394</v>
      </c>
      <c r="M3">
        <v>2</v>
      </c>
      <c r="N3" t="s">
        <v>398</v>
      </c>
      <c r="O3" t="s">
        <v>438</v>
      </c>
      <c r="P3" s="16">
        <v>1</v>
      </c>
      <c r="Q3">
        <v>1814</v>
      </c>
      <c r="S3" s="1" t="s">
        <v>394</v>
      </c>
      <c r="V3">
        <v>2</v>
      </c>
      <c r="W3" t="s">
        <v>399</v>
      </c>
      <c r="X3" t="s">
        <v>441</v>
      </c>
      <c r="Y3">
        <v>1</v>
      </c>
      <c r="Z3">
        <v>1024</v>
      </c>
      <c r="AB3" s="1" t="s">
        <v>394</v>
      </c>
      <c r="AE3">
        <v>2</v>
      </c>
      <c r="AF3" t="s">
        <v>398</v>
      </c>
      <c r="AG3" t="s">
        <v>462</v>
      </c>
      <c r="AH3">
        <v>1</v>
      </c>
      <c r="AI3">
        <v>976</v>
      </c>
    </row>
    <row r="4" spans="1:35" ht="15.75" x14ac:dyDescent="0.25">
      <c r="A4" s="1" t="s">
        <v>7</v>
      </c>
      <c r="D4">
        <v>3</v>
      </c>
      <c r="E4" t="s">
        <v>399</v>
      </c>
      <c r="F4" t="s">
        <v>402</v>
      </c>
      <c r="G4">
        <v>1</v>
      </c>
      <c r="H4">
        <v>1555</v>
      </c>
      <c r="J4" s="1" t="s">
        <v>177</v>
      </c>
      <c r="M4">
        <v>3</v>
      </c>
      <c r="N4" t="s">
        <v>399</v>
      </c>
      <c r="O4" t="s">
        <v>439</v>
      </c>
      <c r="P4" s="16">
        <v>1</v>
      </c>
      <c r="Q4">
        <v>1148</v>
      </c>
      <c r="S4" s="1" t="s">
        <v>179</v>
      </c>
      <c r="V4">
        <v>3</v>
      </c>
      <c r="W4" t="s">
        <v>398</v>
      </c>
      <c r="X4" t="s">
        <v>445</v>
      </c>
      <c r="Y4">
        <v>1</v>
      </c>
      <c r="Z4">
        <v>1233</v>
      </c>
      <c r="AB4" s="1" t="s">
        <v>594</v>
      </c>
      <c r="AE4">
        <v>3</v>
      </c>
      <c r="AF4" t="s">
        <v>398</v>
      </c>
      <c r="AG4" t="s">
        <v>466</v>
      </c>
      <c r="AH4">
        <v>1</v>
      </c>
      <c r="AI4">
        <v>1096</v>
      </c>
    </row>
    <row r="5" spans="1:35" ht="15.75" x14ac:dyDescent="0.25">
      <c r="A5" s="1" t="s">
        <v>395</v>
      </c>
      <c r="D5">
        <v>4</v>
      </c>
      <c r="E5" t="s">
        <v>398</v>
      </c>
      <c r="F5" t="s">
        <v>403</v>
      </c>
      <c r="G5">
        <v>1</v>
      </c>
      <c r="H5">
        <v>1001</v>
      </c>
      <c r="J5" s="1" t="s">
        <v>395</v>
      </c>
      <c r="M5">
        <v>4</v>
      </c>
      <c r="N5" t="s">
        <v>398</v>
      </c>
      <c r="O5" t="s">
        <v>440</v>
      </c>
      <c r="P5" s="16">
        <v>1</v>
      </c>
      <c r="Q5">
        <v>3368</v>
      </c>
      <c r="S5" s="1" t="s">
        <v>395</v>
      </c>
      <c r="V5">
        <v>4</v>
      </c>
      <c r="W5" t="s">
        <v>399</v>
      </c>
      <c r="X5" t="s">
        <v>458</v>
      </c>
      <c r="Y5">
        <v>1</v>
      </c>
      <c r="Z5">
        <v>1301</v>
      </c>
      <c r="AB5" s="1" t="s">
        <v>395</v>
      </c>
      <c r="AE5">
        <v>4</v>
      </c>
      <c r="AF5" t="s">
        <v>399</v>
      </c>
      <c r="AG5" t="s">
        <v>443</v>
      </c>
      <c r="AH5">
        <v>1</v>
      </c>
      <c r="AI5">
        <v>1463</v>
      </c>
    </row>
    <row r="6" spans="1:35" ht="15.75" x14ac:dyDescent="0.25">
      <c r="D6">
        <v>5</v>
      </c>
      <c r="E6" t="s">
        <v>398</v>
      </c>
      <c r="F6" t="s">
        <v>404</v>
      </c>
      <c r="G6">
        <v>1</v>
      </c>
      <c r="H6">
        <v>1095</v>
      </c>
      <c r="M6">
        <v>5</v>
      </c>
      <c r="N6" t="s">
        <v>399</v>
      </c>
      <c r="O6" t="s">
        <v>441</v>
      </c>
      <c r="P6" s="16">
        <v>1</v>
      </c>
      <c r="Q6">
        <v>1089</v>
      </c>
      <c r="V6">
        <v>5</v>
      </c>
      <c r="W6" t="s">
        <v>399</v>
      </c>
      <c r="X6" t="s">
        <v>468</v>
      </c>
      <c r="Y6">
        <v>1</v>
      </c>
      <c r="Z6">
        <v>825</v>
      </c>
      <c r="AE6">
        <v>5</v>
      </c>
      <c r="AF6" t="s">
        <v>399</v>
      </c>
      <c r="AG6" t="s">
        <v>459</v>
      </c>
      <c r="AH6">
        <v>1</v>
      </c>
      <c r="AI6">
        <v>2279</v>
      </c>
    </row>
    <row r="7" spans="1:35" ht="15.75" x14ac:dyDescent="0.25">
      <c r="D7">
        <v>6</v>
      </c>
      <c r="E7" t="s">
        <v>399</v>
      </c>
      <c r="F7" t="s">
        <v>405</v>
      </c>
      <c r="G7">
        <v>1</v>
      </c>
      <c r="H7">
        <v>1121</v>
      </c>
      <c r="M7">
        <v>6</v>
      </c>
      <c r="N7" t="s">
        <v>399</v>
      </c>
      <c r="O7" t="s">
        <v>345</v>
      </c>
      <c r="P7" s="16">
        <v>1</v>
      </c>
      <c r="Q7">
        <v>958</v>
      </c>
      <c r="V7">
        <v>6</v>
      </c>
      <c r="W7" t="s">
        <v>399</v>
      </c>
      <c r="X7" t="s">
        <v>350</v>
      </c>
      <c r="Y7" s="10">
        <v>0</v>
      </c>
      <c r="Z7" s="10">
        <v>0</v>
      </c>
      <c r="AE7">
        <v>6</v>
      </c>
      <c r="AF7" t="s">
        <v>399</v>
      </c>
      <c r="AG7" t="s">
        <v>345</v>
      </c>
      <c r="AH7">
        <v>1</v>
      </c>
      <c r="AI7">
        <v>972</v>
      </c>
    </row>
    <row r="8" spans="1:35" ht="15.75" x14ac:dyDescent="0.25">
      <c r="D8">
        <v>7</v>
      </c>
      <c r="E8" t="s">
        <v>399</v>
      </c>
      <c r="F8" t="s">
        <v>406</v>
      </c>
      <c r="G8">
        <v>1</v>
      </c>
      <c r="H8">
        <v>834</v>
      </c>
      <c r="M8">
        <v>7</v>
      </c>
      <c r="N8" t="s">
        <v>399</v>
      </c>
      <c r="O8" t="s">
        <v>442</v>
      </c>
      <c r="P8" s="16">
        <v>1</v>
      </c>
      <c r="Q8">
        <v>1199</v>
      </c>
      <c r="V8">
        <v>7</v>
      </c>
      <c r="W8" t="s">
        <v>398</v>
      </c>
      <c r="X8" t="s">
        <v>454</v>
      </c>
      <c r="Y8">
        <v>1</v>
      </c>
      <c r="Z8">
        <v>5514</v>
      </c>
      <c r="AE8">
        <v>7</v>
      </c>
      <c r="AF8" t="s">
        <v>398</v>
      </c>
      <c r="AG8" t="s">
        <v>455</v>
      </c>
      <c r="AH8">
        <v>1</v>
      </c>
      <c r="AI8">
        <v>4859</v>
      </c>
    </row>
    <row r="9" spans="1:35" ht="15.75" x14ac:dyDescent="0.25">
      <c r="D9">
        <v>8</v>
      </c>
      <c r="E9" t="s">
        <v>398</v>
      </c>
      <c r="F9" t="s">
        <v>407</v>
      </c>
      <c r="G9">
        <v>1</v>
      </c>
      <c r="H9">
        <v>964</v>
      </c>
      <c r="M9">
        <v>8</v>
      </c>
      <c r="N9" t="s">
        <v>399</v>
      </c>
      <c r="O9" t="s">
        <v>443</v>
      </c>
      <c r="P9" s="19">
        <v>0</v>
      </c>
      <c r="Q9" s="10">
        <v>0</v>
      </c>
      <c r="V9">
        <v>8</v>
      </c>
      <c r="W9" t="s">
        <v>399</v>
      </c>
      <c r="X9" t="s">
        <v>450</v>
      </c>
      <c r="Y9">
        <v>1</v>
      </c>
      <c r="Z9">
        <v>1111</v>
      </c>
      <c r="AE9">
        <v>8</v>
      </c>
      <c r="AF9" t="s">
        <v>399</v>
      </c>
      <c r="AG9" t="s">
        <v>450</v>
      </c>
      <c r="AH9">
        <v>1</v>
      </c>
      <c r="AI9">
        <v>936</v>
      </c>
    </row>
    <row r="10" spans="1:35" ht="15.75" x14ac:dyDescent="0.25">
      <c r="D10">
        <v>9</v>
      </c>
      <c r="E10" t="s">
        <v>398</v>
      </c>
      <c r="F10" t="s">
        <v>408</v>
      </c>
      <c r="G10">
        <v>1</v>
      </c>
      <c r="H10">
        <v>2167</v>
      </c>
      <c r="M10">
        <v>9</v>
      </c>
      <c r="N10" t="s">
        <v>398</v>
      </c>
      <c r="O10" t="s">
        <v>444</v>
      </c>
      <c r="P10" s="16">
        <v>1</v>
      </c>
      <c r="Q10">
        <v>2223</v>
      </c>
      <c r="V10">
        <v>9</v>
      </c>
      <c r="W10" t="s">
        <v>398</v>
      </c>
      <c r="X10" t="s">
        <v>465</v>
      </c>
      <c r="Y10">
        <v>1</v>
      </c>
      <c r="Z10">
        <v>2996</v>
      </c>
      <c r="AE10">
        <v>9</v>
      </c>
      <c r="AF10" t="s">
        <v>399</v>
      </c>
      <c r="AG10" t="s">
        <v>456</v>
      </c>
      <c r="AH10">
        <v>1</v>
      </c>
      <c r="AI10">
        <v>943</v>
      </c>
    </row>
    <row r="11" spans="1:35" ht="15.75" x14ac:dyDescent="0.25">
      <c r="D11">
        <v>10</v>
      </c>
      <c r="E11" t="s">
        <v>399</v>
      </c>
      <c r="F11" t="s">
        <v>409</v>
      </c>
      <c r="G11">
        <v>1</v>
      </c>
      <c r="H11">
        <v>997</v>
      </c>
      <c r="M11">
        <v>10</v>
      </c>
      <c r="N11" t="s">
        <v>398</v>
      </c>
      <c r="O11" t="s">
        <v>445</v>
      </c>
      <c r="P11" s="16">
        <v>1</v>
      </c>
      <c r="Q11">
        <v>1362</v>
      </c>
      <c r="V11">
        <v>10</v>
      </c>
      <c r="W11" t="s">
        <v>398</v>
      </c>
      <c r="X11" t="s">
        <v>472</v>
      </c>
      <c r="Y11">
        <v>1</v>
      </c>
      <c r="Z11">
        <v>2221</v>
      </c>
      <c r="AE11">
        <v>10</v>
      </c>
      <c r="AF11" t="s">
        <v>399</v>
      </c>
      <c r="AG11" t="s">
        <v>441</v>
      </c>
      <c r="AH11">
        <v>1</v>
      </c>
      <c r="AI11">
        <v>933</v>
      </c>
    </row>
    <row r="12" spans="1:35" ht="15.75" x14ac:dyDescent="0.25">
      <c r="D12">
        <v>11</v>
      </c>
      <c r="E12" t="s">
        <v>399</v>
      </c>
      <c r="F12" t="s">
        <v>410</v>
      </c>
      <c r="G12">
        <v>1</v>
      </c>
      <c r="H12">
        <v>2362</v>
      </c>
      <c r="M12">
        <v>11</v>
      </c>
      <c r="N12" t="s">
        <v>398</v>
      </c>
      <c r="O12" t="s">
        <v>446</v>
      </c>
      <c r="P12" s="16">
        <v>1</v>
      </c>
      <c r="Q12">
        <v>1760</v>
      </c>
      <c r="V12">
        <v>11</v>
      </c>
      <c r="W12" t="s">
        <v>399</v>
      </c>
      <c r="X12" t="s">
        <v>469</v>
      </c>
      <c r="Y12">
        <v>1</v>
      </c>
      <c r="Z12">
        <v>1199</v>
      </c>
      <c r="AE12">
        <v>11</v>
      </c>
      <c r="AF12" t="s">
        <v>398</v>
      </c>
      <c r="AG12" t="s">
        <v>448</v>
      </c>
      <c r="AH12">
        <v>1</v>
      </c>
      <c r="AI12">
        <v>1403</v>
      </c>
    </row>
    <row r="13" spans="1:35" ht="15.75" x14ac:dyDescent="0.25">
      <c r="D13">
        <v>12</v>
      </c>
      <c r="E13" t="s">
        <v>398</v>
      </c>
      <c r="F13" t="s">
        <v>411</v>
      </c>
      <c r="G13">
        <v>1</v>
      </c>
      <c r="H13">
        <v>1482</v>
      </c>
      <c r="M13">
        <v>12</v>
      </c>
      <c r="N13" t="s">
        <v>399</v>
      </c>
      <c r="O13" t="s">
        <v>447</v>
      </c>
      <c r="P13" s="16">
        <v>1</v>
      </c>
      <c r="Q13">
        <v>863</v>
      </c>
      <c r="V13">
        <v>12</v>
      </c>
      <c r="W13" t="s">
        <v>399</v>
      </c>
      <c r="X13" t="s">
        <v>437</v>
      </c>
      <c r="Y13" s="10">
        <v>0</v>
      </c>
      <c r="Z13" s="10">
        <v>0</v>
      </c>
      <c r="AE13">
        <v>12</v>
      </c>
      <c r="AF13" t="s">
        <v>399</v>
      </c>
      <c r="AG13" t="s">
        <v>350</v>
      </c>
      <c r="AH13" s="10">
        <v>0</v>
      </c>
      <c r="AI13" s="10">
        <v>0</v>
      </c>
    </row>
    <row r="14" spans="1:35" ht="15.75" x14ac:dyDescent="0.25">
      <c r="D14">
        <v>13</v>
      </c>
      <c r="E14" t="s">
        <v>398</v>
      </c>
      <c r="F14" t="s">
        <v>412</v>
      </c>
      <c r="G14">
        <v>1</v>
      </c>
      <c r="H14">
        <v>1223</v>
      </c>
      <c r="M14">
        <v>13</v>
      </c>
      <c r="N14" t="s">
        <v>398</v>
      </c>
      <c r="O14" t="s">
        <v>448</v>
      </c>
      <c r="P14" s="16">
        <v>1</v>
      </c>
      <c r="Q14">
        <v>1401</v>
      </c>
      <c r="V14">
        <v>13</v>
      </c>
      <c r="W14" t="s">
        <v>398</v>
      </c>
      <c r="X14" t="s">
        <v>440</v>
      </c>
      <c r="Y14">
        <v>0</v>
      </c>
      <c r="Z14" s="10">
        <v>0</v>
      </c>
      <c r="AE14">
        <v>13</v>
      </c>
      <c r="AF14" t="s">
        <v>399</v>
      </c>
      <c r="AG14" t="s">
        <v>463</v>
      </c>
      <c r="AH14">
        <v>1</v>
      </c>
      <c r="AI14">
        <v>898</v>
      </c>
    </row>
    <row r="15" spans="1:35" ht="15.75" x14ac:dyDescent="0.25">
      <c r="D15">
        <v>14</v>
      </c>
      <c r="E15" t="s">
        <v>398</v>
      </c>
      <c r="F15" t="s">
        <v>361</v>
      </c>
      <c r="G15">
        <v>1</v>
      </c>
      <c r="H15">
        <v>937</v>
      </c>
      <c r="M15">
        <v>14</v>
      </c>
      <c r="N15" t="s">
        <v>398</v>
      </c>
      <c r="O15" t="s">
        <v>449</v>
      </c>
      <c r="P15" s="16">
        <v>1</v>
      </c>
      <c r="Q15">
        <v>1721</v>
      </c>
      <c r="V15">
        <v>14</v>
      </c>
      <c r="W15" t="s">
        <v>398</v>
      </c>
      <c r="X15" t="s">
        <v>438</v>
      </c>
      <c r="Y15">
        <v>1</v>
      </c>
      <c r="Z15">
        <v>1453</v>
      </c>
      <c r="AE15">
        <v>14</v>
      </c>
      <c r="AF15" t="s">
        <v>399</v>
      </c>
      <c r="AG15" t="s">
        <v>461</v>
      </c>
      <c r="AH15">
        <v>1</v>
      </c>
      <c r="AI15">
        <v>940</v>
      </c>
    </row>
    <row r="16" spans="1:35" ht="15.75" x14ac:dyDescent="0.25">
      <c r="D16">
        <v>15</v>
      </c>
      <c r="E16" t="s">
        <v>398</v>
      </c>
      <c r="F16" t="s">
        <v>413</v>
      </c>
      <c r="G16">
        <v>1</v>
      </c>
      <c r="H16">
        <v>1097</v>
      </c>
      <c r="M16">
        <v>15</v>
      </c>
      <c r="N16" t="s">
        <v>399</v>
      </c>
      <c r="O16" t="s">
        <v>450</v>
      </c>
      <c r="P16" s="16">
        <v>1</v>
      </c>
      <c r="Q16">
        <v>876</v>
      </c>
      <c r="V16">
        <v>15</v>
      </c>
      <c r="W16" t="s">
        <v>399</v>
      </c>
      <c r="X16" t="s">
        <v>443</v>
      </c>
      <c r="Y16" s="10">
        <v>0</v>
      </c>
      <c r="Z16" s="10">
        <v>0</v>
      </c>
      <c r="AE16">
        <v>15</v>
      </c>
      <c r="AF16" t="s">
        <v>399</v>
      </c>
      <c r="AG16" t="s">
        <v>457</v>
      </c>
      <c r="AH16">
        <v>1</v>
      </c>
      <c r="AI16">
        <v>800</v>
      </c>
    </row>
    <row r="17" spans="4:35" ht="15.75" x14ac:dyDescent="0.25">
      <c r="D17">
        <v>16</v>
      </c>
      <c r="E17" t="s">
        <v>398</v>
      </c>
      <c r="F17" t="s">
        <v>414</v>
      </c>
      <c r="G17" s="10">
        <v>0</v>
      </c>
      <c r="H17" s="10">
        <v>0</v>
      </c>
      <c r="M17">
        <v>16</v>
      </c>
      <c r="N17" t="s">
        <v>399</v>
      </c>
      <c r="O17" t="s">
        <v>451</v>
      </c>
      <c r="P17" s="16">
        <v>1</v>
      </c>
      <c r="Q17">
        <v>740</v>
      </c>
      <c r="V17">
        <v>16</v>
      </c>
      <c r="W17" t="s">
        <v>399</v>
      </c>
      <c r="X17" t="s">
        <v>439</v>
      </c>
      <c r="Y17">
        <v>1</v>
      </c>
      <c r="Z17">
        <v>1429</v>
      </c>
      <c r="AE17">
        <v>16</v>
      </c>
      <c r="AF17" t="s">
        <v>398</v>
      </c>
      <c r="AG17" t="s">
        <v>445</v>
      </c>
      <c r="AH17">
        <v>1</v>
      </c>
      <c r="AI17">
        <v>1206</v>
      </c>
    </row>
    <row r="18" spans="4:35" ht="15.75" x14ac:dyDescent="0.25">
      <c r="D18">
        <v>17</v>
      </c>
      <c r="E18" t="s">
        <v>398</v>
      </c>
      <c r="F18" t="s">
        <v>356</v>
      </c>
      <c r="G18">
        <v>1</v>
      </c>
      <c r="H18">
        <v>1250</v>
      </c>
      <c r="M18">
        <v>17</v>
      </c>
      <c r="N18" t="s">
        <v>399</v>
      </c>
      <c r="O18" t="s">
        <v>452</v>
      </c>
      <c r="P18" s="16">
        <v>1</v>
      </c>
      <c r="Q18">
        <v>1009</v>
      </c>
      <c r="V18">
        <v>17</v>
      </c>
      <c r="W18" t="s">
        <v>399</v>
      </c>
      <c r="X18" t="s">
        <v>459</v>
      </c>
      <c r="Y18">
        <v>1</v>
      </c>
      <c r="Z18">
        <v>2529</v>
      </c>
      <c r="AE18">
        <v>17</v>
      </c>
      <c r="AF18" t="s">
        <v>398</v>
      </c>
      <c r="AG18" t="s">
        <v>362</v>
      </c>
      <c r="AH18">
        <v>1</v>
      </c>
      <c r="AI18">
        <v>1784</v>
      </c>
    </row>
    <row r="19" spans="4:35" ht="15.75" x14ac:dyDescent="0.25">
      <c r="D19">
        <v>18</v>
      </c>
      <c r="E19" t="s">
        <v>398</v>
      </c>
      <c r="F19" t="s">
        <v>415</v>
      </c>
      <c r="G19" s="10">
        <v>0</v>
      </c>
      <c r="H19" s="10">
        <v>4291</v>
      </c>
      <c r="M19">
        <v>18</v>
      </c>
      <c r="N19" t="s">
        <v>398</v>
      </c>
      <c r="O19" t="s">
        <v>453</v>
      </c>
      <c r="P19" s="16">
        <v>1</v>
      </c>
      <c r="Q19">
        <v>2538</v>
      </c>
      <c r="V19">
        <v>18</v>
      </c>
      <c r="W19" t="s">
        <v>398</v>
      </c>
      <c r="X19" t="s">
        <v>464</v>
      </c>
      <c r="Y19">
        <v>1</v>
      </c>
      <c r="Z19">
        <v>2068</v>
      </c>
      <c r="AE19">
        <v>18</v>
      </c>
      <c r="AF19" t="s">
        <v>399</v>
      </c>
      <c r="AG19" t="s">
        <v>437</v>
      </c>
      <c r="AH19" s="10">
        <v>0</v>
      </c>
      <c r="AI19" s="10">
        <v>1534</v>
      </c>
    </row>
    <row r="20" spans="4:35" ht="15.75" x14ac:dyDescent="0.25">
      <c r="D20">
        <v>19</v>
      </c>
      <c r="E20" t="s">
        <v>399</v>
      </c>
      <c r="F20" t="s">
        <v>416</v>
      </c>
      <c r="G20" s="10">
        <v>0</v>
      </c>
      <c r="H20" s="10">
        <v>3502</v>
      </c>
      <c r="M20">
        <v>19</v>
      </c>
      <c r="N20" t="s">
        <v>398</v>
      </c>
      <c r="O20" t="s">
        <v>454</v>
      </c>
      <c r="P20" s="16">
        <v>1</v>
      </c>
      <c r="Q20">
        <v>2299</v>
      </c>
      <c r="V20">
        <v>19</v>
      </c>
      <c r="W20" t="s">
        <v>399</v>
      </c>
      <c r="X20" t="s">
        <v>456</v>
      </c>
      <c r="Y20">
        <v>1</v>
      </c>
      <c r="Z20">
        <v>1798</v>
      </c>
      <c r="AE20">
        <v>19</v>
      </c>
      <c r="AF20" t="s">
        <v>398</v>
      </c>
      <c r="AG20" t="s">
        <v>464</v>
      </c>
      <c r="AH20">
        <v>1</v>
      </c>
      <c r="AI20">
        <v>1501</v>
      </c>
    </row>
    <row r="21" spans="4:35" ht="15.75" x14ac:dyDescent="0.25">
      <c r="D21">
        <v>20</v>
      </c>
      <c r="E21" t="s">
        <v>399</v>
      </c>
      <c r="F21" t="s">
        <v>417</v>
      </c>
      <c r="G21">
        <v>1</v>
      </c>
      <c r="H21">
        <v>1129</v>
      </c>
      <c r="M21">
        <v>20</v>
      </c>
      <c r="N21" t="s">
        <v>398</v>
      </c>
      <c r="O21" t="s">
        <v>455</v>
      </c>
      <c r="P21" s="19">
        <v>0</v>
      </c>
      <c r="Q21" s="10">
        <v>0</v>
      </c>
      <c r="V21">
        <v>20</v>
      </c>
      <c r="W21" t="s">
        <v>399</v>
      </c>
      <c r="X21" t="s">
        <v>463</v>
      </c>
      <c r="Y21">
        <v>1</v>
      </c>
      <c r="Z21">
        <v>846</v>
      </c>
      <c r="AE21">
        <v>20</v>
      </c>
      <c r="AF21" t="s">
        <v>399</v>
      </c>
      <c r="AG21" t="s">
        <v>469</v>
      </c>
      <c r="AH21">
        <v>1</v>
      </c>
      <c r="AI21">
        <v>1438</v>
      </c>
    </row>
    <row r="22" spans="4:35" ht="15.75" x14ac:dyDescent="0.25">
      <c r="D22">
        <v>21</v>
      </c>
      <c r="E22" t="s">
        <v>399</v>
      </c>
      <c r="F22" t="s">
        <v>418</v>
      </c>
      <c r="G22" s="10">
        <v>0</v>
      </c>
      <c r="H22" s="10">
        <v>0</v>
      </c>
      <c r="M22">
        <v>21</v>
      </c>
      <c r="N22" t="s">
        <v>399</v>
      </c>
      <c r="O22" t="s">
        <v>456</v>
      </c>
      <c r="P22" s="16">
        <v>1</v>
      </c>
      <c r="Q22">
        <v>1360</v>
      </c>
      <c r="V22">
        <v>21</v>
      </c>
      <c r="W22" t="s">
        <v>398</v>
      </c>
      <c r="X22" t="s">
        <v>470</v>
      </c>
      <c r="Y22">
        <v>1</v>
      </c>
      <c r="Z22">
        <v>1425</v>
      </c>
      <c r="AE22">
        <v>21</v>
      </c>
      <c r="AF22" t="s">
        <v>399</v>
      </c>
      <c r="AG22" t="s">
        <v>473</v>
      </c>
      <c r="AH22">
        <v>1</v>
      </c>
      <c r="AI22">
        <v>978</v>
      </c>
    </row>
    <row r="23" spans="4:35" ht="15.75" x14ac:dyDescent="0.25">
      <c r="D23">
        <v>22</v>
      </c>
      <c r="E23" t="s">
        <v>399</v>
      </c>
      <c r="F23" t="s">
        <v>419</v>
      </c>
      <c r="G23">
        <v>1</v>
      </c>
      <c r="H23">
        <v>1274</v>
      </c>
      <c r="M23">
        <v>22</v>
      </c>
      <c r="N23" t="s">
        <v>398</v>
      </c>
      <c r="O23" t="s">
        <v>362</v>
      </c>
      <c r="P23" s="16">
        <v>1</v>
      </c>
      <c r="Q23">
        <v>4477</v>
      </c>
      <c r="V23">
        <v>22</v>
      </c>
      <c r="W23" t="s">
        <v>398</v>
      </c>
      <c r="X23" t="s">
        <v>455</v>
      </c>
      <c r="Y23" s="10">
        <v>0</v>
      </c>
      <c r="Z23" s="10">
        <v>0</v>
      </c>
      <c r="AE23">
        <v>22</v>
      </c>
      <c r="AF23" t="s">
        <v>398</v>
      </c>
      <c r="AG23" t="s">
        <v>438</v>
      </c>
      <c r="AH23">
        <v>1</v>
      </c>
      <c r="AI23">
        <v>968</v>
      </c>
    </row>
    <row r="24" spans="4:35" ht="15.75" x14ac:dyDescent="0.25">
      <c r="D24">
        <v>23</v>
      </c>
      <c r="E24" t="s">
        <v>398</v>
      </c>
      <c r="F24" t="s">
        <v>420</v>
      </c>
      <c r="G24">
        <v>1</v>
      </c>
      <c r="H24">
        <v>2374</v>
      </c>
      <c r="M24">
        <v>23</v>
      </c>
      <c r="N24" t="s">
        <v>399</v>
      </c>
      <c r="O24" t="s">
        <v>457</v>
      </c>
      <c r="P24" s="16">
        <v>1</v>
      </c>
      <c r="Q24">
        <v>1302</v>
      </c>
      <c r="V24">
        <v>23</v>
      </c>
      <c r="W24" t="s">
        <v>398</v>
      </c>
      <c r="X24" t="s">
        <v>460</v>
      </c>
      <c r="Y24">
        <v>1</v>
      </c>
      <c r="Z24">
        <v>2424</v>
      </c>
      <c r="AE24">
        <v>23</v>
      </c>
      <c r="AF24" t="s">
        <v>398</v>
      </c>
      <c r="AG24" t="s">
        <v>472</v>
      </c>
      <c r="AH24">
        <v>1</v>
      </c>
      <c r="AI24">
        <v>2187</v>
      </c>
    </row>
    <row r="25" spans="4:35" ht="15.75" x14ac:dyDescent="0.25">
      <c r="D25">
        <v>24</v>
      </c>
      <c r="E25" t="s">
        <v>399</v>
      </c>
      <c r="F25" t="s">
        <v>421</v>
      </c>
      <c r="G25">
        <v>1</v>
      </c>
      <c r="H25">
        <v>792</v>
      </c>
      <c r="M25">
        <v>24</v>
      </c>
      <c r="N25" t="s">
        <v>399</v>
      </c>
      <c r="O25" t="s">
        <v>458</v>
      </c>
      <c r="P25" s="16">
        <v>1</v>
      </c>
      <c r="Q25">
        <v>1324</v>
      </c>
      <c r="V25">
        <v>24</v>
      </c>
      <c r="W25" t="s">
        <v>398</v>
      </c>
      <c r="X25" t="s">
        <v>462</v>
      </c>
      <c r="Y25">
        <v>1</v>
      </c>
      <c r="Z25">
        <v>1036</v>
      </c>
      <c r="AE25">
        <v>24</v>
      </c>
      <c r="AF25" t="s">
        <v>399</v>
      </c>
      <c r="AG25" t="s">
        <v>458</v>
      </c>
      <c r="AH25" s="10">
        <v>0</v>
      </c>
      <c r="AI25" s="10">
        <v>5364</v>
      </c>
    </row>
    <row r="26" spans="4:35" ht="15.75" x14ac:dyDescent="0.25">
      <c r="D26">
        <v>25</v>
      </c>
      <c r="E26" t="s">
        <v>399</v>
      </c>
      <c r="F26" t="s">
        <v>422</v>
      </c>
      <c r="G26">
        <v>1</v>
      </c>
      <c r="H26">
        <v>1066</v>
      </c>
      <c r="M26">
        <v>25</v>
      </c>
      <c r="N26" t="s">
        <v>399</v>
      </c>
      <c r="O26" t="s">
        <v>459</v>
      </c>
      <c r="P26" s="16">
        <v>1</v>
      </c>
      <c r="Q26">
        <v>2794</v>
      </c>
      <c r="V26">
        <v>25</v>
      </c>
      <c r="W26" t="s">
        <v>398</v>
      </c>
      <c r="X26" t="s">
        <v>444</v>
      </c>
      <c r="Y26">
        <v>1</v>
      </c>
      <c r="Z26">
        <v>1769</v>
      </c>
      <c r="AE26">
        <v>25</v>
      </c>
      <c r="AF26" t="s">
        <v>398</v>
      </c>
      <c r="AG26" t="s">
        <v>453</v>
      </c>
      <c r="AH26">
        <v>1</v>
      </c>
      <c r="AI26">
        <v>1436</v>
      </c>
    </row>
    <row r="27" spans="4:35" ht="15.75" x14ac:dyDescent="0.25">
      <c r="D27">
        <v>26</v>
      </c>
      <c r="E27" t="s">
        <v>398</v>
      </c>
      <c r="F27" t="s">
        <v>423</v>
      </c>
      <c r="G27">
        <v>1</v>
      </c>
      <c r="H27">
        <v>1446</v>
      </c>
      <c r="M27">
        <v>26</v>
      </c>
      <c r="N27" t="s">
        <v>398</v>
      </c>
      <c r="O27" t="s">
        <v>460</v>
      </c>
      <c r="P27" s="16">
        <v>1</v>
      </c>
      <c r="Q27">
        <v>1529</v>
      </c>
      <c r="V27">
        <v>26</v>
      </c>
      <c r="W27" t="s">
        <v>398</v>
      </c>
      <c r="X27" t="s">
        <v>467</v>
      </c>
      <c r="Y27">
        <v>1</v>
      </c>
      <c r="Z27">
        <v>1406</v>
      </c>
      <c r="AE27">
        <v>26</v>
      </c>
      <c r="AF27" t="s">
        <v>398</v>
      </c>
      <c r="AG27" t="s">
        <v>444</v>
      </c>
      <c r="AH27">
        <v>1</v>
      </c>
      <c r="AI27">
        <v>1275</v>
      </c>
    </row>
    <row r="28" spans="4:35" ht="15.75" x14ac:dyDescent="0.25">
      <c r="D28">
        <v>27</v>
      </c>
      <c r="E28" t="s">
        <v>399</v>
      </c>
      <c r="F28" t="s">
        <v>348</v>
      </c>
      <c r="G28">
        <v>1</v>
      </c>
      <c r="H28">
        <v>794</v>
      </c>
      <c r="M28">
        <v>27</v>
      </c>
      <c r="N28" t="s">
        <v>399</v>
      </c>
      <c r="O28" t="s">
        <v>461</v>
      </c>
      <c r="P28" s="16">
        <v>1</v>
      </c>
      <c r="Q28">
        <v>917</v>
      </c>
      <c r="V28">
        <v>27</v>
      </c>
      <c r="W28" t="s">
        <v>398</v>
      </c>
      <c r="X28" t="s">
        <v>466</v>
      </c>
      <c r="Y28">
        <v>1</v>
      </c>
      <c r="Z28">
        <v>1011</v>
      </c>
      <c r="AE28">
        <v>27</v>
      </c>
      <c r="AF28" t="s">
        <v>398</v>
      </c>
      <c r="AG28" t="s">
        <v>465</v>
      </c>
      <c r="AH28">
        <v>1</v>
      </c>
      <c r="AI28">
        <v>2900</v>
      </c>
    </row>
    <row r="29" spans="4:35" ht="15.75" x14ac:dyDescent="0.25">
      <c r="D29">
        <v>28</v>
      </c>
      <c r="E29" t="s">
        <v>398</v>
      </c>
      <c r="F29" t="s">
        <v>424</v>
      </c>
      <c r="G29" s="10">
        <v>0</v>
      </c>
      <c r="H29" s="10">
        <v>0</v>
      </c>
      <c r="M29">
        <v>28</v>
      </c>
      <c r="N29" t="s">
        <v>399</v>
      </c>
      <c r="O29" t="s">
        <v>350</v>
      </c>
      <c r="P29" s="19">
        <v>0</v>
      </c>
      <c r="Q29" s="10">
        <v>0</v>
      </c>
      <c r="V29">
        <v>28</v>
      </c>
      <c r="W29" t="s">
        <v>398</v>
      </c>
      <c r="X29" t="s">
        <v>471</v>
      </c>
      <c r="Y29">
        <v>1</v>
      </c>
      <c r="Z29">
        <v>1620</v>
      </c>
      <c r="AE29">
        <v>28</v>
      </c>
      <c r="AF29" t="s">
        <v>398</v>
      </c>
      <c r="AG29" t="s">
        <v>454</v>
      </c>
      <c r="AH29">
        <v>1</v>
      </c>
      <c r="AI29">
        <v>4579</v>
      </c>
    </row>
    <row r="30" spans="4:35" ht="15.75" x14ac:dyDescent="0.25">
      <c r="D30">
        <v>29</v>
      </c>
      <c r="E30" t="s">
        <v>398</v>
      </c>
      <c r="F30" t="s">
        <v>425</v>
      </c>
      <c r="G30">
        <v>1</v>
      </c>
      <c r="H30">
        <v>1628</v>
      </c>
      <c r="M30">
        <v>29</v>
      </c>
      <c r="N30" t="s">
        <v>398</v>
      </c>
      <c r="O30" t="s">
        <v>462</v>
      </c>
      <c r="P30" s="16">
        <v>1</v>
      </c>
      <c r="Q30">
        <v>1202</v>
      </c>
      <c r="V30">
        <v>29</v>
      </c>
      <c r="W30" t="s">
        <v>399</v>
      </c>
      <c r="X30" t="s">
        <v>447</v>
      </c>
      <c r="Y30">
        <v>1</v>
      </c>
      <c r="Z30">
        <v>1074</v>
      </c>
      <c r="AE30">
        <v>29</v>
      </c>
      <c r="AF30" t="s">
        <v>399</v>
      </c>
      <c r="AG30" t="s">
        <v>447</v>
      </c>
      <c r="AH30">
        <v>1</v>
      </c>
      <c r="AI30">
        <v>743</v>
      </c>
    </row>
    <row r="31" spans="4:35" ht="15.75" x14ac:dyDescent="0.25">
      <c r="D31">
        <v>30</v>
      </c>
      <c r="E31" t="s">
        <v>399</v>
      </c>
      <c r="F31" t="s">
        <v>426</v>
      </c>
      <c r="G31">
        <v>1</v>
      </c>
      <c r="H31">
        <v>2101</v>
      </c>
      <c r="M31">
        <v>30</v>
      </c>
      <c r="N31" t="s">
        <v>399</v>
      </c>
      <c r="O31" t="s">
        <v>463</v>
      </c>
      <c r="P31" s="16">
        <v>1</v>
      </c>
      <c r="Q31">
        <v>944</v>
      </c>
      <c r="V31">
        <v>30</v>
      </c>
      <c r="W31" t="s">
        <v>399</v>
      </c>
      <c r="X31" t="s">
        <v>442</v>
      </c>
      <c r="Y31">
        <v>1</v>
      </c>
      <c r="Z31">
        <v>1353</v>
      </c>
      <c r="AE31">
        <v>30</v>
      </c>
      <c r="AF31" t="s">
        <v>399</v>
      </c>
      <c r="AG31" t="s">
        <v>468</v>
      </c>
      <c r="AH31">
        <v>1</v>
      </c>
      <c r="AI31">
        <v>770</v>
      </c>
    </row>
    <row r="32" spans="4:35" ht="15.75" x14ac:dyDescent="0.25">
      <c r="D32">
        <v>31</v>
      </c>
      <c r="E32" t="s">
        <v>398</v>
      </c>
      <c r="F32" t="s">
        <v>427</v>
      </c>
      <c r="G32">
        <v>1</v>
      </c>
      <c r="H32">
        <v>2106</v>
      </c>
      <c r="M32">
        <v>31</v>
      </c>
      <c r="N32" t="s">
        <v>398</v>
      </c>
      <c r="O32" t="s">
        <v>464</v>
      </c>
      <c r="P32" s="16">
        <v>1</v>
      </c>
      <c r="Q32">
        <v>2020</v>
      </c>
      <c r="V32">
        <v>31</v>
      </c>
      <c r="W32" t="s">
        <v>399</v>
      </c>
      <c r="X32" t="s">
        <v>345</v>
      </c>
      <c r="Y32">
        <v>1</v>
      </c>
      <c r="Z32">
        <v>932</v>
      </c>
      <c r="AE32">
        <v>31</v>
      </c>
      <c r="AF32" t="s">
        <v>399</v>
      </c>
      <c r="AG32" t="s">
        <v>451</v>
      </c>
      <c r="AH32">
        <v>1</v>
      </c>
      <c r="AI32">
        <v>619</v>
      </c>
    </row>
    <row r="33" spans="4:35" ht="15.75" x14ac:dyDescent="0.25">
      <c r="D33">
        <v>32</v>
      </c>
      <c r="E33" t="s">
        <v>398</v>
      </c>
      <c r="F33" t="s">
        <v>428</v>
      </c>
      <c r="G33">
        <v>1</v>
      </c>
      <c r="H33">
        <v>2733</v>
      </c>
      <c r="M33">
        <v>32</v>
      </c>
      <c r="N33" t="s">
        <v>398</v>
      </c>
      <c r="O33" t="s">
        <v>465</v>
      </c>
      <c r="P33" s="16">
        <v>1</v>
      </c>
      <c r="Q33">
        <v>3367</v>
      </c>
      <c r="V33">
        <v>32</v>
      </c>
      <c r="W33" t="s">
        <v>398</v>
      </c>
      <c r="X33" t="s">
        <v>449</v>
      </c>
      <c r="Y33" s="10">
        <v>0</v>
      </c>
      <c r="Z33" s="10">
        <v>0</v>
      </c>
      <c r="AE33">
        <v>32</v>
      </c>
      <c r="AF33" t="s">
        <v>398</v>
      </c>
      <c r="AG33" t="s">
        <v>449</v>
      </c>
      <c r="AH33">
        <v>1</v>
      </c>
      <c r="AI33">
        <v>2023</v>
      </c>
    </row>
    <row r="34" spans="4:35" ht="15.75" x14ac:dyDescent="0.25">
      <c r="D34">
        <v>33</v>
      </c>
      <c r="E34" t="s">
        <v>399</v>
      </c>
      <c r="F34" t="s">
        <v>429</v>
      </c>
      <c r="G34">
        <v>1</v>
      </c>
      <c r="H34">
        <v>1159</v>
      </c>
      <c r="M34">
        <v>33</v>
      </c>
      <c r="N34" t="s">
        <v>398</v>
      </c>
      <c r="O34" t="s">
        <v>466</v>
      </c>
      <c r="P34" s="16">
        <v>1</v>
      </c>
      <c r="Q34">
        <v>938</v>
      </c>
      <c r="V34">
        <v>33</v>
      </c>
      <c r="W34" t="s">
        <v>399</v>
      </c>
      <c r="X34" t="s">
        <v>451</v>
      </c>
      <c r="Y34">
        <v>1</v>
      </c>
      <c r="Z34">
        <v>827</v>
      </c>
      <c r="AE34">
        <v>33</v>
      </c>
      <c r="AF34" t="s">
        <v>398</v>
      </c>
      <c r="AG34" t="s">
        <v>471</v>
      </c>
      <c r="AH34">
        <v>1</v>
      </c>
      <c r="AI34">
        <v>964</v>
      </c>
    </row>
    <row r="35" spans="4:35" ht="15.75" x14ac:dyDescent="0.25">
      <c r="D35">
        <v>34</v>
      </c>
      <c r="E35" t="s">
        <v>398</v>
      </c>
      <c r="F35" t="s">
        <v>430</v>
      </c>
      <c r="G35">
        <v>1</v>
      </c>
      <c r="H35">
        <v>1410</v>
      </c>
      <c r="M35">
        <v>34</v>
      </c>
      <c r="N35" t="s">
        <v>398</v>
      </c>
      <c r="O35" t="s">
        <v>467</v>
      </c>
      <c r="P35" s="16">
        <v>1</v>
      </c>
      <c r="Q35">
        <v>1229</v>
      </c>
      <c r="V35">
        <v>34</v>
      </c>
      <c r="W35" t="s">
        <v>398</v>
      </c>
      <c r="X35" t="s">
        <v>453</v>
      </c>
      <c r="Y35">
        <v>1</v>
      </c>
      <c r="Z35">
        <v>1837</v>
      </c>
      <c r="AE35">
        <v>34</v>
      </c>
      <c r="AF35" t="s">
        <v>398</v>
      </c>
      <c r="AG35" t="s">
        <v>446</v>
      </c>
      <c r="AH35">
        <v>1</v>
      </c>
      <c r="AI35">
        <v>1596</v>
      </c>
    </row>
    <row r="36" spans="4:35" ht="15.75" x14ac:dyDescent="0.25">
      <c r="D36">
        <v>35</v>
      </c>
      <c r="E36" t="s">
        <v>398</v>
      </c>
      <c r="F36" t="s">
        <v>431</v>
      </c>
      <c r="G36">
        <v>1</v>
      </c>
      <c r="H36">
        <v>1119</v>
      </c>
      <c r="M36">
        <v>35</v>
      </c>
      <c r="N36" t="s">
        <v>399</v>
      </c>
      <c r="O36" t="s">
        <v>468</v>
      </c>
      <c r="P36" s="16">
        <v>1</v>
      </c>
      <c r="Q36">
        <v>719</v>
      </c>
      <c r="V36">
        <v>35</v>
      </c>
      <c r="W36" t="s">
        <v>399</v>
      </c>
      <c r="X36" t="s">
        <v>452</v>
      </c>
      <c r="Y36">
        <v>1</v>
      </c>
      <c r="Z36">
        <v>2277</v>
      </c>
      <c r="AE36">
        <v>35</v>
      </c>
      <c r="AF36" t="s">
        <v>399</v>
      </c>
      <c r="AG36" t="s">
        <v>452</v>
      </c>
      <c r="AH36">
        <v>1</v>
      </c>
      <c r="AI36">
        <v>839</v>
      </c>
    </row>
    <row r="37" spans="4:35" ht="15.75" x14ac:dyDescent="0.25">
      <c r="D37">
        <v>36</v>
      </c>
      <c r="E37" t="s">
        <v>399</v>
      </c>
      <c r="F37" t="s">
        <v>432</v>
      </c>
      <c r="G37" s="10">
        <v>0</v>
      </c>
      <c r="H37" s="10">
        <v>3871</v>
      </c>
      <c r="M37">
        <v>36</v>
      </c>
      <c r="N37" t="s">
        <v>399</v>
      </c>
      <c r="O37" t="s">
        <v>469</v>
      </c>
      <c r="P37" s="16">
        <v>1</v>
      </c>
      <c r="Q37">
        <v>809</v>
      </c>
      <c r="V37">
        <v>36</v>
      </c>
      <c r="W37" t="s">
        <v>398</v>
      </c>
      <c r="X37" t="s">
        <v>448</v>
      </c>
      <c r="Y37">
        <v>1</v>
      </c>
      <c r="Z37">
        <v>1237</v>
      </c>
      <c r="AE37">
        <v>36</v>
      </c>
      <c r="AF37" t="s">
        <v>399</v>
      </c>
      <c r="AG37" t="s">
        <v>442</v>
      </c>
      <c r="AH37">
        <v>1</v>
      </c>
      <c r="AI37">
        <v>963</v>
      </c>
    </row>
    <row r="38" spans="4:35" ht="15.75" x14ac:dyDescent="0.25">
      <c r="D38">
        <v>37</v>
      </c>
      <c r="E38" t="s">
        <v>399</v>
      </c>
      <c r="F38" t="s">
        <v>433</v>
      </c>
      <c r="G38">
        <v>1</v>
      </c>
      <c r="H38">
        <v>4387</v>
      </c>
      <c r="M38">
        <v>37</v>
      </c>
      <c r="N38" t="s">
        <v>398</v>
      </c>
      <c r="O38" t="s">
        <v>470</v>
      </c>
      <c r="P38" s="16">
        <v>1</v>
      </c>
      <c r="Q38">
        <v>1074</v>
      </c>
      <c r="V38">
        <v>37</v>
      </c>
      <c r="W38" t="s">
        <v>398</v>
      </c>
      <c r="X38" t="s">
        <v>446</v>
      </c>
      <c r="Y38" s="10">
        <v>0</v>
      </c>
      <c r="Z38" s="10">
        <v>0</v>
      </c>
      <c r="AE38">
        <v>37</v>
      </c>
      <c r="AF38" t="s">
        <v>398</v>
      </c>
      <c r="AG38" t="s">
        <v>460</v>
      </c>
      <c r="AH38">
        <v>1</v>
      </c>
      <c r="AI38">
        <v>1366</v>
      </c>
    </row>
    <row r="39" spans="4:35" ht="15.75" x14ac:dyDescent="0.25">
      <c r="D39">
        <v>38</v>
      </c>
      <c r="E39" t="s">
        <v>399</v>
      </c>
      <c r="F39" t="s">
        <v>434</v>
      </c>
      <c r="G39">
        <v>1</v>
      </c>
      <c r="H39">
        <v>3277</v>
      </c>
      <c r="M39">
        <v>38</v>
      </c>
      <c r="N39" t="s">
        <v>398</v>
      </c>
      <c r="O39" t="s">
        <v>471</v>
      </c>
      <c r="P39" s="16">
        <v>1</v>
      </c>
      <c r="Q39">
        <v>1078</v>
      </c>
      <c r="V39">
        <v>38</v>
      </c>
      <c r="W39" t="s">
        <v>398</v>
      </c>
      <c r="X39" t="s">
        <v>362</v>
      </c>
      <c r="Y39" s="10">
        <v>0</v>
      </c>
      <c r="Z39" s="10">
        <v>0</v>
      </c>
      <c r="AE39">
        <v>38</v>
      </c>
      <c r="AF39" t="s">
        <v>398</v>
      </c>
      <c r="AG39" t="s">
        <v>470</v>
      </c>
      <c r="AH39">
        <v>1</v>
      </c>
      <c r="AI39">
        <v>1104</v>
      </c>
    </row>
    <row r="40" spans="4:35" ht="15.75" x14ac:dyDescent="0.25">
      <c r="D40">
        <v>39</v>
      </c>
      <c r="E40" t="s">
        <v>399</v>
      </c>
      <c r="F40" t="s">
        <v>435</v>
      </c>
      <c r="G40">
        <v>1</v>
      </c>
      <c r="H40">
        <v>857</v>
      </c>
      <c r="M40">
        <v>39</v>
      </c>
      <c r="N40" t="s">
        <v>398</v>
      </c>
      <c r="O40" t="s">
        <v>472</v>
      </c>
      <c r="P40" s="16">
        <v>1</v>
      </c>
      <c r="Q40">
        <v>1268</v>
      </c>
      <c r="V40">
        <v>39</v>
      </c>
      <c r="W40" t="s">
        <v>399</v>
      </c>
      <c r="X40" t="s">
        <v>473</v>
      </c>
      <c r="Y40">
        <v>1</v>
      </c>
      <c r="Z40">
        <v>987</v>
      </c>
      <c r="AE40">
        <v>39</v>
      </c>
      <c r="AF40" t="s">
        <v>398</v>
      </c>
      <c r="AG40" t="s">
        <v>440</v>
      </c>
      <c r="AH40" s="10">
        <v>0</v>
      </c>
      <c r="AI40" s="10">
        <v>1141</v>
      </c>
    </row>
    <row r="41" spans="4:35" ht="15.75" x14ac:dyDescent="0.25">
      <c r="D41">
        <v>40</v>
      </c>
      <c r="E41" t="s">
        <v>399</v>
      </c>
      <c r="F41" t="s">
        <v>436</v>
      </c>
      <c r="G41">
        <v>1</v>
      </c>
      <c r="H41">
        <v>677</v>
      </c>
      <c r="M41">
        <v>40</v>
      </c>
      <c r="N41" t="s">
        <v>399</v>
      </c>
      <c r="O41" t="s">
        <v>473</v>
      </c>
      <c r="P41" s="16">
        <v>1</v>
      </c>
      <c r="Q41">
        <v>1210</v>
      </c>
      <c r="V41">
        <v>40</v>
      </c>
      <c r="W41" t="s">
        <v>399</v>
      </c>
      <c r="X41" t="s">
        <v>457</v>
      </c>
      <c r="Y41" s="16">
        <v>1</v>
      </c>
      <c r="Z41">
        <v>1214</v>
      </c>
      <c r="AE41">
        <v>40</v>
      </c>
      <c r="AF41" t="s">
        <v>398</v>
      </c>
      <c r="AG41" t="s">
        <v>467</v>
      </c>
      <c r="AH41">
        <v>1</v>
      </c>
      <c r="AI41">
        <v>1624</v>
      </c>
    </row>
    <row r="42" spans="4:35" ht="15.75" x14ac:dyDescent="0.25">
      <c r="G42" s="5">
        <f>SUM(G2:G41)</f>
        <v>34</v>
      </c>
      <c r="P42" s="5">
        <f>SUM(P2:P41)</f>
        <v>36</v>
      </c>
      <c r="Y42" s="5">
        <f>SUM(Y2:Y41)</f>
        <v>32</v>
      </c>
      <c r="AH42" s="7">
        <f>SUM(AH2:AH41)</f>
        <v>36</v>
      </c>
    </row>
    <row r="44" spans="4:35" x14ac:dyDescent="0.25">
      <c r="AI44">
        <v>1169</v>
      </c>
    </row>
    <row r="45" spans="4:35" x14ac:dyDescent="0.25">
      <c r="H45">
        <v>1741</v>
      </c>
      <c r="Q45" s="10">
        <v>0</v>
      </c>
      <c r="Z45">
        <v>1786</v>
      </c>
      <c r="AI45">
        <v>976</v>
      </c>
    </row>
    <row r="46" spans="4:35" x14ac:dyDescent="0.25">
      <c r="H46">
        <v>838</v>
      </c>
      <c r="Q46">
        <v>1814</v>
      </c>
      <c r="Z46">
        <v>1024</v>
      </c>
      <c r="AI46">
        <v>1096</v>
      </c>
    </row>
    <row r="47" spans="4:35" x14ac:dyDescent="0.25">
      <c r="H47">
        <v>1555</v>
      </c>
      <c r="Q47">
        <v>1148</v>
      </c>
      <c r="Z47">
        <v>1233</v>
      </c>
      <c r="AI47">
        <v>1463</v>
      </c>
    </row>
    <row r="48" spans="4:35" x14ac:dyDescent="0.25">
      <c r="H48">
        <v>1001</v>
      </c>
      <c r="Q48">
        <v>3368</v>
      </c>
      <c r="Z48">
        <v>1301</v>
      </c>
      <c r="AI48">
        <v>2279</v>
      </c>
    </row>
    <row r="49" spans="8:35" x14ac:dyDescent="0.25">
      <c r="H49">
        <v>1095</v>
      </c>
      <c r="Q49">
        <v>1089</v>
      </c>
      <c r="Z49">
        <v>825</v>
      </c>
      <c r="AI49">
        <v>972</v>
      </c>
    </row>
    <row r="50" spans="8:35" x14ac:dyDescent="0.25">
      <c r="H50">
        <v>1121</v>
      </c>
      <c r="Q50">
        <v>958</v>
      </c>
      <c r="Z50" s="10">
        <v>0</v>
      </c>
      <c r="AI50">
        <v>4859</v>
      </c>
    </row>
    <row r="51" spans="8:35" x14ac:dyDescent="0.25">
      <c r="H51">
        <v>834</v>
      </c>
      <c r="Q51">
        <v>1199</v>
      </c>
      <c r="Z51">
        <v>5514</v>
      </c>
      <c r="AI51">
        <v>936</v>
      </c>
    </row>
    <row r="52" spans="8:35" x14ac:dyDescent="0.25">
      <c r="H52">
        <v>964</v>
      </c>
      <c r="Q52" s="10">
        <v>0</v>
      </c>
      <c r="Z52">
        <v>1111</v>
      </c>
      <c r="AI52">
        <v>943</v>
      </c>
    </row>
    <row r="53" spans="8:35" x14ac:dyDescent="0.25">
      <c r="H53">
        <v>2167</v>
      </c>
      <c r="Q53">
        <v>2223</v>
      </c>
      <c r="Z53">
        <v>2996</v>
      </c>
      <c r="AI53">
        <v>933</v>
      </c>
    </row>
    <row r="54" spans="8:35" x14ac:dyDescent="0.25">
      <c r="H54">
        <v>997</v>
      </c>
      <c r="Q54">
        <v>1362</v>
      </c>
      <c r="Z54">
        <v>2221</v>
      </c>
      <c r="AI54">
        <v>1403</v>
      </c>
    </row>
    <row r="55" spans="8:35" x14ac:dyDescent="0.25">
      <c r="H55">
        <v>2362</v>
      </c>
      <c r="Q55">
        <v>1760</v>
      </c>
      <c r="Z55">
        <v>1199</v>
      </c>
      <c r="AI55" s="10">
        <v>0</v>
      </c>
    </row>
    <row r="56" spans="8:35" x14ac:dyDescent="0.25">
      <c r="H56">
        <v>1482</v>
      </c>
      <c r="Q56">
        <v>863</v>
      </c>
      <c r="Z56" s="10">
        <v>0</v>
      </c>
      <c r="AI56">
        <v>898</v>
      </c>
    </row>
    <row r="57" spans="8:35" x14ac:dyDescent="0.25">
      <c r="H57">
        <v>1223</v>
      </c>
      <c r="Q57">
        <v>1401</v>
      </c>
      <c r="Z57" s="10">
        <v>0</v>
      </c>
      <c r="AI57">
        <v>940</v>
      </c>
    </row>
    <row r="58" spans="8:35" x14ac:dyDescent="0.25">
      <c r="H58">
        <v>937</v>
      </c>
      <c r="Q58">
        <v>1721</v>
      </c>
      <c r="Z58">
        <v>1453</v>
      </c>
      <c r="AI58">
        <v>800</v>
      </c>
    </row>
    <row r="59" spans="8:35" x14ac:dyDescent="0.25">
      <c r="H59">
        <v>1097</v>
      </c>
      <c r="Q59">
        <v>876</v>
      </c>
      <c r="Z59" s="10">
        <v>0</v>
      </c>
      <c r="AI59">
        <v>1206</v>
      </c>
    </row>
    <row r="60" spans="8:35" x14ac:dyDescent="0.25">
      <c r="H60" s="10">
        <v>0</v>
      </c>
      <c r="Q60">
        <v>740</v>
      </c>
      <c r="Z60">
        <v>1429</v>
      </c>
      <c r="AI60">
        <v>1784</v>
      </c>
    </row>
    <row r="61" spans="8:35" x14ac:dyDescent="0.25">
      <c r="H61">
        <v>1250</v>
      </c>
      <c r="Q61">
        <v>1009</v>
      </c>
      <c r="Z61">
        <v>2529</v>
      </c>
      <c r="AI61" s="10"/>
    </row>
    <row r="62" spans="8:35" x14ac:dyDescent="0.25">
      <c r="H62" s="10"/>
      <c r="Q62">
        <v>2538</v>
      </c>
      <c r="Z62">
        <v>2068</v>
      </c>
      <c r="AI62">
        <v>1501</v>
      </c>
    </row>
    <row r="63" spans="8:35" x14ac:dyDescent="0.25">
      <c r="H63" s="10"/>
      <c r="Q63">
        <v>2299</v>
      </c>
      <c r="Z63">
        <v>1798</v>
      </c>
      <c r="AI63">
        <v>1438</v>
      </c>
    </row>
    <row r="64" spans="8:35" x14ac:dyDescent="0.25">
      <c r="H64">
        <v>1129</v>
      </c>
      <c r="Q64" s="10">
        <v>0</v>
      </c>
      <c r="Z64">
        <v>846</v>
      </c>
      <c r="AI64">
        <v>978</v>
      </c>
    </row>
    <row r="65" spans="8:35" x14ac:dyDescent="0.25">
      <c r="H65" s="10">
        <v>0</v>
      </c>
      <c r="Q65">
        <v>1360</v>
      </c>
      <c r="Z65">
        <v>1425</v>
      </c>
      <c r="AI65">
        <v>968</v>
      </c>
    </row>
    <row r="66" spans="8:35" x14ac:dyDescent="0.25">
      <c r="H66">
        <v>1274</v>
      </c>
      <c r="Q66">
        <v>4477</v>
      </c>
      <c r="Z66" s="10">
        <v>0</v>
      </c>
      <c r="AI66">
        <v>2187</v>
      </c>
    </row>
    <row r="67" spans="8:35" x14ac:dyDescent="0.25">
      <c r="H67">
        <v>2374</v>
      </c>
      <c r="Q67">
        <v>1302</v>
      </c>
      <c r="Z67">
        <v>2424</v>
      </c>
      <c r="AI67" s="10"/>
    </row>
    <row r="68" spans="8:35" x14ac:dyDescent="0.25">
      <c r="H68">
        <v>792</v>
      </c>
      <c r="Q68">
        <v>1324</v>
      </c>
      <c r="Z68">
        <v>1036</v>
      </c>
      <c r="AI68">
        <v>1436</v>
      </c>
    </row>
    <row r="69" spans="8:35" x14ac:dyDescent="0.25">
      <c r="H69">
        <v>1066</v>
      </c>
      <c r="Q69">
        <v>2794</v>
      </c>
      <c r="Z69">
        <v>1769</v>
      </c>
      <c r="AI69">
        <v>1275</v>
      </c>
    </row>
    <row r="70" spans="8:35" x14ac:dyDescent="0.25">
      <c r="H70">
        <v>1446</v>
      </c>
      <c r="Q70">
        <v>1529</v>
      </c>
      <c r="Z70">
        <v>1406</v>
      </c>
      <c r="AI70">
        <v>2900</v>
      </c>
    </row>
    <row r="71" spans="8:35" x14ac:dyDescent="0.25">
      <c r="H71">
        <v>794</v>
      </c>
      <c r="Q71">
        <v>917</v>
      </c>
      <c r="Z71">
        <v>1011</v>
      </c>
      <c r="AI71">
        <v>4579</v>
      </c>
    </row>
    <row r="72" spans="8:35" x14ac:dyDescent="0.25">
      <c r="H72" s="10">
        <v>0</v>
      </c>
      <c r="Q72" s="10">
        <v>0</v>
      </c>
      <c r="Z72">
        <v>1620</v>
      </c>
      <c r="AI72">
        <v>743</v>
      </c>
    </row>
    <row r="73" spans="8:35" x14ac:dyDescent="0.25">
      <c r="H73">
        <v>1628</v>
      </c>
      <c r="Q73">
        <v>1202</v>
      </c>
      <c r="Z73">
        <v>1074</v>
      </c>
      <c r="AI73">
        <v>770</v>
      </c>
    </row>
    <row r="74" spans="8:35" x14ac:dyDescent="0.25">
      <c r="H74">
        <v>2101</v>
      </c>
      <c r="Q74">
        <v>944</v>
      </c>
      <c r="Z74">
        <v>1353</v>
      </c>
      <c r="AI74">
        <v>619</v>
      </c>
    </row>
    <row r="75" spans="8:35" x14ac:dyDescent="0.25">
      <c r="H75">
        <v>2106</v>
      </c>
      <c r="Q75">
        <v>2020</v>
      </c>
      <c r="Z75">
        <v>932</v>
      </c>
      <c r="AI75">
        <v>2023</v>
      </c>
    </row>
    <row r="76" spans="8:35" x14ac:dyDescent="0.25">
      <c r="H76">
        <v>2733</v>
      </c>
      <c r="Q76">
        <v>3367</v>
      </c>
      <c r="Z76" s="10">
        <v>0</v>
      </c>
      <c r="AI76">
        <v>964</v>
      </c>
    </row>
    <row r="77" spans="8:35" x14ac:dyDescent="0.25">
      <c r="H77">
        <v>1159</v>
      </c>
      <c r="Q77">
        <v>938</v>
      </c>
      <c r="Z77">
        <v>827</v>
      </c>
      <c r="AI77">
        <v>1596</v>
      </c>
    </row>
    <row r="78" spans="8:35" x14ac:dyDescent="0.25">
      <c r="H78">
        <v>1410</v>
      </c>
      <c r="Q78">
        <v>1229</v>
      </c>
      <c r="Z78">
        <v>1837</v>
      </c>
      <c r="AI78">
        <v>839</v>
      </c>
    </row>
    <row r="79" spans="8:35" x14ac:dyDescent="0.25">
      <c r="H79">
        <v>1119</v>
      </c>
      <c r="Q79">
        <v>719</v>
      </c>
      <c r="Z79">
        <v>2277</v>
      </c>
      <c r="AI79">
        <v>963</v>
      </c>
    </row>
    <row r="80" spans="8:35" x14ac:dyDescent="0.25">
      <c r="H80" s="10"/>
      <c r="Q80">
        <v>809</v>
      </c>
      <c r="Z80">
        <v>1237</v>
      </c>
      <c r="AI80">
        <v>1366</v>
      </c>
    </row>
    <row r="81" spans="2:36" x14ac:dyDescent="0.25">
      <c r="H81">
        <v>4387</v>
      </c>
      <c r="Q81">
        <v>1074</v>
      </c>
      <c r="Z81" s="10">
        <v>0</v>
      </c>
      <c r="AI81">
        <v>1104</v>
      </c>
    </row>
    <row r="82" spans="2:36" x14ac:dyDescent="0.25">
      <c r="H82">
        <v>3277</v>
      </c>
      <c r="Q82">
        <v>1078</v>
      </c>
      <c r="Z82" s="10">
        <v>0</v>
      </c>
      <c r="AI82" s="10"/>
    </row>
    <row r="83" spans="2:36" x14ac:dyDescent="0.25">
      <c r="H83">
        <v>857</v>
      </c>
      <c r="Q83">
        <v>1268</v>
      </c>
      <c r="Z83">
        <v>987</v>
      </c>
      <c r="AI83">
        <v>1624</v>
      </c>
    </row>
    <row r="84" spans="2:36" x14ac:dyDescent="0.25">
      <c r="H84">
        <v>677</v>
      </c>
      <c r="Q84">
        <v>1210</v>
      </c>
      <c r="Z84">
        <v>1214</v>
      </c>
    </row>
    <row r="85" spans="2:36" ht="18.75" x14ac:dyDescent="0.3">
      <c r="G85" s="20">
        <f>H85/I85</f>
        <v>1499.7941176470588</v>
      </c>
      <c r="H85" s="7">
        <f>SUM(H45:H84)</f>
        <v>50993</v>
      </c>
      <c r="I85">
        <v>34</v>
      </c>
      <c r="P85" s="21">
        <f>Q85/R85</f>
        <v>1553.5833333333333</v>
      </c>
      <c r="Q85" s="1">
        <f>SUM(Q45:Q84)</f>
        <v>55929</v>
      </c>
      <c r="R85">
        <v>36</v>
      </c>
      <c r="Y85" s="20">
        <f>Z85/AA85</f>
        <v>1617.5625</v>
      </c>
      <c r="Z85" s="13">
        <f>SUM(Z45:Z84)</f>
        <v>51762</v>
      </c>
      <c r="AA85">
        <v>32</v>
      </c>
      <c r="AH85" s="1">
        <f>AI85/AJ85</f>
        <v>1459.1666666666667</v>
      </c>
      <c r="AI85" s="1">
        <f>SUM(AI44:AI84)</f>
        <v>52530</v>
      </c>
      <c r="AJ85">
        <v>36</v>
      </c>
    </row>
    <row r="86" spans="2:36" x14ac:dyDescent="0.25">
      <c r="C86" t="s">
        <v>142</v>
      </c>
      <c r="D86" t="s">
        <v>143</v>
      </c>
      <c r="E86" t="s">
        <v>144</v>
      </c>
      <c r="F86" t="s">
        <v>591</v>
      </c>
    </row>
    <row r="87" spans="2:36" x14ac:dyDescent="0.25">
      <c r="B87" t="s">
        <v>474</v>
      </c>
      <c r="C87">
        <v>34</v>
      </c>
      <c r="D87">
        <v>36</v>
      </c>
      <c r="E87">
        <v>32</v>
      </c>
      <c r="F87">
        <v>36</v>
      </c>
      <c r="L87" t="s">
        <v>142</v>
      </c>
      <c r="M87" t="s">
        <v>143</v>
      </c>
      <c r="N87" t="s">
        <v>144</v>
      </c>
      <c r="O87" t="s">
        <v>592</v>
      </c>
    </row>
    <row r="88" spans="2:36" x14ac:dyDescent="0.25">
      <c r="K88" t="s">
        <v>475</v>
      </c>
      <c r="L88">
        <v>1499.79</v>
      </c>
      <c r="M88">
        <v>1553.58</v>
      </c>
      <c r="N88">
        <v>1617.56</v>
      </c>
      <c r="O88">
        <v>1459.16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6"/>
  <sheetViews>
    <sheetView topLeftCell="AL1" zoomScale="115" zoomScaleNormal="115" workbookViewId="0">
      <selection activeCell="AN6" sqref="AN6"/>
    </sheetView>
  </sheetViews>
  <sheetFormatPr baseColWidth="10" defaultRowHeight="15" x14ac:dyDescent="0.25"/>
  <cols>
    <col min="1" max="1" width="26.85546875" customWidth="1"/>
    <col min="6" max="7" width="18.7109375" customWidth="1"/>
    <col min="10" max="10" width="35.140625" customWidth="1"/>
    <col min="11" max="11" width="17.42578125" customWidth="1"/>
    <col min="12" max="12" width="23" customWidth="1"/>
    <col min="14" max="14" width="28.85546875" customWidth="1"/>
    <col min="19" max="19" width="14.7109375" customWidth="1"/>
    <col min="23" max="23" width="41.140625" customWidth="1"/>
    <col min="25" max="25" width="22.42578125" customWidth="1"/>
    <col min="28" max="28" width="30.140625" customWidth="1"/>
    <col min="33" max="33" width="31" customWidth="1"/>
    <col min="34" max="34" width="21.28515625" customWidth="1"/>
    <col min="35" max="35" width="19.42578125" customWidth="1"/>
    <col min="36" max="36" width="25.140625" customWidth="1"/>
    <col min="40" max="40" width="19.5703125" customWidth="1"/>
    <col min="45" max="45" width="24.28515625" customWidth="1"/>
    <col min="46" max="46" width="71.7109375" customWidth="1"/>
    <col min="47" max="47" width="30.140625" customWidth="1"/>
    <col min="48" max="48" width="17.28515625" customWidth="1"/>
  </cols>
  <sheetData>
    <row r="1" spans="1:48" ht="15.75" x14ac:dyDescent="0.25">
      <c r="A1" s="1" t="s">
        <v>8</v>
      </c>
      <c r="B1" s="2" t="s">
        <v>0</v>
      </c>
      <c r="C1" s="2" t="s">
        <v>1</v>
      </c>
      <c r="D1" s="2" t="s">
        <v>26</v>
      </c>
      <c r="E1" s="2" t="s">
        <v>336</v>
      </c>
      <c r="F1" s="2" t="s">
        <v>337</v>
      </c>
      <c r="G1" s="2" t="s">
        <v>337</v>
      </c>
      <c r="H1" s="2" t="s">
        <v>338</v>
      </c>
      <c r="I1" s="2" t="s">
        <v>339</v>
      </c>
      <c r="J1" s="2" t="s">
        <v>340</v>
      </c>
      <c r="K1" s="2" t="s">
        <v>341</v>
      </c>
      <c r="L1" s="2" t="s">
        <v>342</v>
      </c>
      <c r="N1" s="1" t="s">
        <v>8</v>
      </c>
      <c r="O1" s="2" t="s">
        <v>0</v>
      </c>
      <c r="P1" s="2" t="s">
        <v>1</v>
      </c>
      <c r="Q1" s="2" t="s">
        <v>26</v>
      </c>
      <c r="R1" s="2" t="s">
        <v>336</v>
      </c>
      <c r="S1" s="2" t="s">
        <v>337</v>
      </c>
      <c r="T1" s="7" t="s">
        <v>337</v>
      </c>
      <c r="U1" s="2" t="s">
        <v>338</v>
      </c>
      <c r="V1" s="2" t="s">
        <v>339</v>
      </c>
      <c r="W1" s="2" t="s">
        <v>340</v>
      </c>
      <c r="X1" s="2" t="s">
        <v>341</v>
      </c>
      <c r="Y1" s="2" t="s">
        <v>342</v>
      </c>
      <c r="AB1" s="1" t="s">
        <v>8</v>
      </c>
      <c r="AC1" s="2" t="s">
        <v>0</v>
      </c>
      <c r="AD1" s="2" t="s">
        <v>1</v>
      </c>
      <c r="AE1" s="2" t="s">
        <v>26</v>
      </c>
      <c r="AF1" s="2" t="s">
        <v>336</v>
      </c>
      <c r="AG1" s="2" t="s">
        <v>337</v>
      </c>
      <c r="AH1" s="2" t="s">
        <v>340</v>
      </c>
      <c r="AI1" s="2" t="s">
        <v>341</v>
      </c>
      <c r="AJ1" s="2" t="s">
        <v>342</v>
      </c>
      <c r="AN1" s="1" t="s">
        <v>8</v>
      </c>
      <c r="AO1" s="2" t="s">
        <v>0</v>
      </c>
      <c r="AP1" s="2" t="s">
        <v>1</v>
      </c>
      <c r="AQ1" s="2" t="s">
        <v>26</v>
      </c>
      <c r="AR1" s="2" t="s">
        <v>336</v>
      </c>
      <c r="AS1" s="2" t="s">
        <v>337</v>
      </c>
      <c r="AT1" s="2" t="s">
        <v>340</v>
      </c>
      <c r="AU1" s="2" t="s">
        <v>341</v>
      </c>
      <c r="AV1" s="2" t="s">
        <v>342</v>
      </c>
    </row>
    <row r="2" spans="1:48" ht="15.75" x14ac:dyDescent="0.25">
      <c r="A2" s="3" t="s">
        <v>4</v>
      </c>
      <c r="B2">
        <v>1</v>
      </c>
      <c r="C2">
        <v>1</v>
      </c>
      <c r="D2">
        <v>1</v>
      </c>
      <c r="F2" t="s">
        <v>476</v>
      </c>
      <c r="G2" t="s">
        <v>478</v>
      </c>
      <c r="J2" s="10" t="s">
        <v>477</v>
      </c>
      <c r="N2" s="3" t="s">
        <v>112</v>
      </c>
      <c r="O2">
        <v>1</v>
      </c>
      <c r="P2">
        <v>2</v>
      </c>
      <c r="Q2">
        <v>1</v>
      </c>
      <c r="S2" t="s">
        <v>489</v>
      </c>
      <c r="W2" s="10" t="s">
        <v>556</v>
      </c>
      <c r="AB2" s="3" t="s">
        <v>114</v>
      </c>
      <c r="AC2">
        <v>2</v>
      </c>
      <c r="AD2">
        <v>3</v>
      </c>
      <c r="AE2">
        <v>1</v>
      </c>
      <c r="AF2" t="s">
        <v>399</v>
      </c>
      <c r="AG2" t="s">
        <v>713</v>
      </c>
      <c r="AN2" s="3" t="s">
        <v>587</v>
      </c>
      <c r="AO2">
        <v>2</v>
      </c>
      <c r="AP2">
        <v>4</v>
      </c>
      <c r="AQ2">
        <v>1</v>
      </c>
      <c r="AR2" t="s">
        <v>712</v>
      </c>
      <c r="AS2" t="s">
        <v>752</v>
      </c>
      <c r="AT2" t="s">
        <v>805</v>
      </c>
      <c r="AV2">
        <v>1</v>
      </c>
    </row>
    <row r="3" spans="1:48" ht="15.75" x14ac:dyDescent="0.25">
      <c r="A3" s="1" t="s">
        <v>332</v>
      </c>
      <c r="D3">
        <v>2</v>
      </c>
      <c r="F3" t="s">
        <v>479</v>
      </c>
      <c r="J3" t="s">
        <v>518</v>
      </c>
      <c r="L3">
        <v>1</v>
      </c>
      <c r="N3" s="1" t="s">
        <v>332</v>
      </c>
      <c r="Q3">
        <v>2</v>
      </c>
      <c r="S3" t="s">
        <v>502</v>
      </c>
      <c r="W3" s="10" t="s">
        <v>557</v>
      </c>
      <c r="AB3" s="1" t="s">
        <v>332</v>
      </c>
      <c r="AE3">
        <v>2</v>
      </c>
      <c r="AF3" t="s">
        <v>399</v>
      </c>
      <c r="AG3" t="s">
        <v>714</v>
      </c>
      <c r="AH3" t="s">
        <v>343</v>
      </c>
      <c r="AJ3">
        <v>1</v>
      </c>
      <c r="AN3" s="1" t="s">
        <v>332</v>
      </c>
      <c r="AQ3">
        <v>2</v>
      </c>
      <c r="AR3" t="s">
        <v>712</v>
      </c>
      <c r="AS3" t="s">
        <v>735</v>
      </c>
      <c r="AV3">
        <v>1</v>
      </c>
    </row>
    <row r="4" spans="1:48" ht="15.75" x14ac:dyDescent="0.25">
      <c r="A4" s="1" t="s">
        <v>7</v>
      </c>
      <c r="D4">
        <v>3</v>
      </c>
      <c r="F4" t="s">
        <v>480</v>
      </c>
      <c r="J4" s="10" t="s">
        <v>519</v>
      </c>
      <c r="N4" s="1" t="s">
        <v>177</v>
      </c>
      <c r="Q4">
        <v>3</v>
      </c>
      <c r="S4" t="s">
        <v>480</v>
      </c>
      <c r="AB4" s="1" t="s">
        <v>179</v>
      </c>
      <c r="AE4">
        <v>3</v>
      </c>
      <c r="AF4" t="s">
        <v>399</v>
      </c>
      <c r="AG4" t="s">
        <v>715</v>
      </c>
      <c r="AN4" s="1" t="s">
        <v>594</v>
      </c>
      <c r="AQ4">
        <v>3</v>
      </c>
      <c r="AR4" t="s">
        <v>712</v>
      </c>
      <c r="AS4" t="s">
        <v>744</v>
      </c>
      <c r="AT4" t="s">
        <v>806</v>
      </c>
    </row>
    <row r="5" spans="1:48" x14ac:dyDescent="0.25">
      <c r="D5">
        <v>4</v>
      </c>
      <c r="F5" t="s">
        <v>481</v>
      </c>
      <c r="J5" t="s">
        <v>520</v>
      </c>
      <c r="L5">
        <v>1</v>
      </c>
      <c r="Q5">
        <v>4</v>
      </c>
      <c r="S5" t="s">
        <v>501</v>
      </c>
      <c r="W5" t="s">
        <v>558</v>
      </c>
      <c r="Y5">
        <v>1</v>
      </c>
      <c r="AE5">
        <v>4</v>
      </c>
      <c r="AF5" t="s">
        <v>712</v>
      </c>
      <c r="AG5" t="s">
        <v>716</v>
      </c>
      <c r="AH5" t="s">
        <v>344</v>
      </c>
      <c r="AJ5">
        <v>1</v>
      </c>
      <c r="AQ5">
        <v>4</v>
      </c>
      <c r="AR5" t="s">
        <v>712</v>
      </c>
      <c r="AS5" t="s">
        <v>726</v>
      </c>
      <c r="AT5" t="s">
        <v>807</v>
      </c>
    </row>
    <row r="6" spans="1:48" ht="15.75" x14ac:dyDescent="0.25">
      <c r="A6" s="1" t="s">
        <v>333</v>
      </c>
      <c r="D6">
        <v>5</v>
      </c>
      <c r="F6" t="s">
        <v>482</v>
      </c>
      <c r="J6" t="s">
        <v>521</v>
      </c>
      <c r="L6">
        <v>1</v>
      </c>
      <c r="N6" s="1" t="s">
        <v>333</v>
      </c>
      <c r="Q6">
        <v>5</v>
      </c>
      <c r="S6" t="s">
        <v>493</v>
      </c>
      <c r="T6" t="s">
        <v>559</v>
      </c>
      <c r="W6" s="10" t="s">
        <v>560</v>
      </c>
      <c r="AB6" s="1" t="s">
        <v>333</v>
      </c>
      <c r="AE6">
        <v>5</v>
      </c>
      <c r="AF6" t="s">
        <v>399</v>
      </c>
      <c r="AG6" t="s">
        <v>717</v>
      </c>
      <c r="AH6" t="s">
        <v>345</v>
      </c>
      <c r="AJ6">
        <v>1</v>
      </c>
      <c r="AN6" s="1" t="s">
        <v>820</v>
      </c>
      <c r="AQ6">
        <v>5</v>
      </c>
      <c r="AR6" t="s">
        <v>399</v>
      </c>
      <c r="AS6" t="s">
        <v>738</v>
      </c>
      <c r="AT6" t="s">
        <v>808</v>
      </c>
    </row>
    <row r="7" spans="1:48" ht="15.75" x14ac:dyDescent="0.25">
      <c r="A7" s="1" t="s">
        <v>334</v>
      </c>
      <c r="D7">
        <v>6</v>
      </c>
      <c r="F7" t="s">
        <v>483</v>
      </c>
      <c r="N7" s="1" t="s">
        <v>334</v>
      </c>
      <c r="Q7">
        <v>6</v>
      </c>
      <c r="S7" t="s">
        <v>498</v>
      </c>
      <c r="W7" t="s">
        <v>561</v>
      </c>
      <c r="Y7">
        <v>1</v>
      </c>
      <c r="AB7" s="1" t="s">
        <v>334</v>
      </c>
      <c r="AE7">
        <v>6</v>
      </c>
      <c r="AF7" t="s">
        <v>399</v>
      </c>
      <c r="AG7" t="s">
        <v>718</v>
      </c>
      <c r="AH7" t="s">
        <v>346</v>
      </c>
      <c r="AJ7">
        <v>1</v>
      </c>
      <c r="AN7" s="1" t="s">
        <v>334</v>
      </c>
      <c r="AQ7">
        <v>6</v>
      </c>
      <c r="AR7" t="s">
        <v>399</v>
      </c>
      <c r="AS7" t="s">
        <v>743</v>
      </c>
      <c r="AT7" t="s">
        <v>809</v>
      </c>
      <c r="AU7" t="s">
        <v>812</v>
      </c>
    </row>
    <row r="8" spans="1:48" ht="15.75" x14ac:dyDescent="0.25">
      <c r="A8" s="1" t="s">
        <v>335</v>
      </c>
      <c r="D8">
        <v>7</v>
      </c>
      <c r="F8" t="s">
        <v>484</v>
      </c>
      <c r="J8" t="s">
        <v>522</v>
      </c>
      <c r="L8">
        <v>1</v>
      </c>
      <c r="N8" s="1" t="s">
        <v>335</v>
      </c>
      <c r="Q8">
        <v>7</v>
      </c>
      <c r="S8" t="s">
        <v>509</v>
      </c>
      <c r="T8" t="s">
        <v>547</v>
      </c>
      <c r="W8" s="10" t="s">
        <v>562</v>
      </c>
      <c r="AB8" s="1" t="s">
        <v>335</v>
      </c>
      <c r="AE8">
        <v>7</v>
      </c>
      <c r="AF8" t="s">
        <v>712</v>
      </c>
      <c r="AG8" t="s">
        <v>719</v>
      </c>
      <c r="AH8" t="s">
        <v>347</v>
      </c>
      <c r="AJ8">
        <v>1</v>
      </c>
      <c r="AN8" s="1" t="s">
        <v>335</v>
      </c>
      <c r="AQ8">
        <v>7</v>
      </c>
      <c r="AR8" t="s">
        <v>399</v>
      </c>
      <c r="AS8" t="s">
        <v>713</v>
      </c>
      <c r="AT8" t="s">
        <v>810</v>
      </c>
    </row>
    <row r="9" spans="1:48" x14ac:dyDescent="0.25">
      <c r="D9">
        <v>8</v>
      </c>
      <c r="F9" t="s">
        <v>485</v>
      </c>
      <c r="G9" t="s">
        <v>524</v>
      </c>
      <c r="J9" s="10" t="s">
        <v>523</v>
      </c>
      <c r="Q9">
        <v>8</v>
      </c>
      <c r="S9" t="s">
        <v>495</v>
      </c>
      <c r="T9" t="s">
        <v>417</v>
      </c>
      <c r="W9" s="10" t="s">
        <v>563</v>
      </c>
      <c r="AE9">
        <v>8</v>
      </c>
      <c r="AF9" t="s">
        <v>399</v>
      </c>
      <c r="AG9" t="s">
        <v>720</v>
      </c>
      <c r="AH9" t="s">
        <v>348</v>
      </c>
      <c r="AJ9">
        <v>1</v>
      </c>
      <c r="AQ9">
        <v>8</v>
      </c>
      <c r="AR9" t="s">
        <v>712</v>
      </c>
      <c r="AS9" t="s">
        <v>728</v>
      </c>
      <c r="AT9" t="s">
        <v>811</v>
      </c>
      <c r="AV9">
        <v>1</v>
      </c>
    </row>
    <row r="10" spans="1:48" x14ac:dyDescent="0.25">
      <c r="D10">
        <v>9</v>
      </c>
      <c r="F10" t="s">
        <v>486</v>
      </c>
      <c r="J10" t="s">
        <v>525</v>
      </c>
      <c r="L10">
        <v>1</v>
      </c>
      <c r="Q10">
        <v>9</v>
      </c>
      <c r="S10" t="s">
        <v>488</v>
      </c>
      <c r="W10" t="s">
        <v>564</v>
      </c>
      <c r="Y10">
        <v>1</v>
      </c>
      <c r="AE10">
        <v>9</v>
      </c>
      <c r="AF10" t="s">
        <v>399</v>
      </c>
      <c r="AG10" t="s">
        <v>721</v>
      </c>
      <c r="AH10" s="10" t="s">
        <v>349</v>
      </c>
      <c r="AQ10">
        <v>9</v>
      </c>
      <c r="AR10" t="s">
        <v>399</v>
      </c>
      <c r="AS10" t="s">
        <v>742</v>
      </c>
      <c r="AU10" t="s">
        <v>813</v>
      </c>
      <c r="AV10">
        <v>1</v>
      </c>
    </row>
    <row r="11" spans="1:48" x14ac:dyDescent="0.25">
      <c r="D11">
        <v>10</v>
      </c>
      <c r="F11" t="s">
        <v>487</v>
      </c>
      <c r="J11" t="s">
        <v>526</v>
      </c>
      <c r="L11">
        <v>1</v>
      </c>
      <c r="Q11">
        <v>10</v>
      </c>
      <c r="S11" t="s">
        <v>500</v>
      </c>
      <c r="W11" t="s">
        <v>538</v>
      </c>
      <c r="Y11">
        <v>1</v>
      </c>
      <c r="AE11">
        <v>10</v>
      </c>
      <c r="AF11" t="s">
        <v>399</v>
      </c>
      <c r="AG11" t="s">
        <v>722</v>
      </c>
      <c r="AQ11">
        <v>10</v>
      </c>
      <c r="AR11" t="s">
        <v>399</v>
      </c>
      <c r="AS11" t="s">
        <v>721</v>
      </c>
      <c r="AT11" t="s">
        <v>814</v>
      </c>
    </row>
    <row r="12" spans="1:48" x14ac:dyDescent="0.25">
      <c r="D12">
        <v>11</v>
      </c>
      <c r="F12" t="s">
        <v>488</v>
      </c>
      <c r="J12" t="s">
        <v>527</v>
      </c>
      <c r="L12">
        <v>1</v>
      </c>
      <c r="Q12">
        <v>11</v>
      </c>
      <c r="S12" t="s">
        <v>497</v>
      </c>
      <c r="W12" t="s">
        <v>565</v>
      </c>
      <c r="Y12">
        <v>1</v>
      </c>
      <c r="AE12">
        <v>11</v>
      </c>
      <c r="AF12" t="s">
        <v>712</v>
      </c>
      <c r="AG12" t="s">
        <v>723</v>
      </c>
      <c r="AQ12">
        <v>11</v>
      </c>
      <c r="AR12" t="s">
        <v>399</v>
      </c>
      <c r="AS12" t="s">
        <v>717</v>
      </c>
      <c r="AT12" t="s">
        <v>815</v>
      </c>
    </row>
    <row r="13" spans="1:48" x14ac:dyDescent="0.25">
      <c r="D13">
        <v>12</v>
      </c>
      <c r="F13" t="s">
        <v>489</v>
      </c>
      <c r="J13" t="s">
        <v>528</v>
      </c>
      <c r="Q13">
        <v>12</v>
      </c>
      <c r="S13" t="s">
        <v>476</v>
      </c>
      <c r="T13" t="s">
        <v>478</v>
      </c>
      <c r="W13" s="10" t="s">
        <v>566</v>
      </c>
      <c r="AE13">
        <v>12</v>
      </c>
      <c r="AF13" t="s">
        <v>712</v>
      </c>
      <c r="AG13" t="s">
        <v>724</v>
      </c>
      <c r="AH13" t="s">
        <v>351</v>
      </c>
      <c r="AJ13">
        <v>1</v>
      </c>
      <c r="AQ13">
        <v>12</v>
      </c>
      <c r="AR13" t="s">
        <v>399</v>
      </c>
      <c r="AS13" t="s">
        <v>734</v>
      </c>
      <c r="AT13" t="s">
        <v>816</v>
      </c>
    </row>
    <row r="14" spans="1:48" x14ac:dyDescent="0.25">
      <c r="D14">
        <v>13</v>
      </c>
      <c r="F14" t="s">
        <v>490</v>
      </c>
      <c r="J14" t="s">
        <v>529</v>
      </c>
      <c r="L14">
        <v>1</v>
      </c>
      <c r="Q14">
        <v>13</v>
      </c>
      <c r="S14" t="s">
        <v>510</v>
      </c>
      <c r="W14" t="s">
        <v>567</v>
      </c>
      <c r="Y14">
        <v>1</v>
      </c>
      <c r="AE14">
        <v>13</v>
      </c>
      <c r="AF14" t="s">
        <v>712</v>
      </c>
      <c r="AG14" t="s">
        <v>725</v>
      </c>
      <c r="AH14" t="s">
        <v>352</v>
      </c>
      <c r="AQ14">
        <v>13</v>
      </c>
      <c r="AR14" t="s">
        <v>399</v>
      </c>
      <c r="AS14" t="s">
        <v>733</v>
      </c>
      <c r="AV14">
        <v>1</v>
      </c>
    </row>
    <row r="15" spans="1:48" x14ac:dyDescent="0.25">
      <c r="D15">
        <v>14</v>
      </c>
      <c r="F15" t="s">
        <v>491</v>
      </c>
      <c r="G15" t="s">
        <v>450</v>
      </c>
      <c r="Q15">
        <v>14</v>
      </c>
      <c r="S15" t="s">
        <v>503</v>
      </c>
      <c r="T15" t="s">
        <v>464</v>
      </c>
      <c r="W15" s="10" t="s">
        <v>568</v>
      </c>
      <c r="AE15">
        <v>14</v>
      </c>
      <c r="AF15" t="s">
        <v>712</v>
      </c>
      <c r="AG15" t="s">
        <v>726</v>
      </c>
      <c r="AH15" t="s">
        <v>353</v>
      </c>
      <c r="AJ15">
        <v>1</v>
      </c>
      <c r="AQ15">
        <v>14</v>
      </c>
      <c r="AR15" t="s">
        <v>399</v>
      </c>
      <c r="AS15" t="s">
        <v>750</v>
      </c>
    </row>
    <row r="16" spans="1:48" x14ac:dyDescent="0.25">
      <c r="D16">
        <v>15</v>
      </c>
      <c r="F16" t="s">
        <v>492</v>
      </c>
      <c r="J16" t="s">
        <v>530</v>
      </c>
      <c r="Q16">
        <v>15</v>
      </c>
      <c r="S16" t="s">
        <v>511</v>
      </c>
      <c r="W16" t="s">
        <v>442</v>
      </c>
      <c r="Y16">
        <v>1</v>
      </c>
      <c r="AE16">
        <v>15</v>
      </c>
      <c r="AF16" t="s">
        <v>399</v>
      </c>
      <c r="AG16" t="s">
        <v>727</v>
      </c>
      <c r="AH16" t="s">
        <v>354</v>
      </c>
      <c r="AJ16">
        <v>1</v>
      </c>
      <c r="AQ16">
        <v>15</v>
      </c>
      <c r="AR16" t="s">
        <v>712</v>
      </c>
      <c r="AS16" t="s">
        <v>747</v>
      </c>
    </row>
    <row r="17" spans="4:48" x14ac:dyDescent="0.25">
      <c r="D17">
        <v>16</v>
      </c>
      <c r="F17" t="s">
        <v>493</v>
      </c>
      <c r="Q17">
        <v>16</v>
      </c>
      <c r="S17" t="s">
        <v>496</v>
      </c>
      <c r="W17" s="10" t="s">
        <v>569</v>
      </c>
      <c r="AE17">
        <v>16</v>
      </c>
      <c r="AF17" t="s">
        <v>712</v>
      </c>
      <c r="AG17" t="s">
        <v>728</v>
      </c>
      <c r="AH17" t="s">
        <v>355</v>
      </c>
      <c r="AJ17">
        <v>1</v>
      </c>
      <c r="AQ17">
        <v>16</v>
      </c>
      <c r="AR17" t="s">
        <v>712</v>
      </c>
      <c r="AS17" t="s">
        <v>730</v>
      </c>
      <c r="AV17">
        <v>1</v>
      </c>
    </row>
    <row r="18" spans="4:48" x14ac:dyDescent="0.25">
      <c r="D18">
        <v>17</v>
      </c>
      <c r="F18" t="s">
        <v>494</v>
      </c>
      <c r="J18" s="10" t="s">
        <v>531</v>
      </c>
      <c r="Q18">
        <v>17</v>
      </c>
      <c r="S18" t="s">
        <v>479</v>
      </c>
      <c r="W18" t="s">
        <v>570</v>
      </c>
      <c r="Y18">
        <v>1</v>
      </c>
      <c r="AE18">
        <v>17</v>
      </c>
      <c r="AF18" t="s">
        <v>712</v>
      </c>
      <c r="AG18" t="s">
        <v>729</v>
      </c>
      <c r="AQ18">
        <v>17</v>
      </c>
      <c r="AR18" t="s">
        <v>399</v>
      </c>
      <c r="AS18" t="s">
        <v>732</v>
      </c>
    </row>
    <row r="19" spans="4:48" x14ac:dyDescent="0.25">
      <c r="D19">
        <v>18</v>
      </c>
      <c r="F19" t="s">
        <v>495</v>
      </c>
      <c r="G19" t="s">
        <v>532</v>
      </c>
      <c r="J19" t="s">
        <v>533</v>
      </c>
      <c r="Q19">
        <v>18</v>
      </c>
      <c r="S19" t="s">
        <v>516</v>
      </c>
      <c r="W19" s="6" t="s">
        <v>551</v>
      </c>
      <c r="Y19">
        <v>1</v>
      </c>
      <c r="AE19">
        <v>18</v>
      </c>
      <c r="AF19" t="s">
        <v>712</v>
      </c>
      <c r="AG19" t="s">
        <v>730</v>
      </c>
      <c r="AH19" t="s">
        <v>356</v>
      </c>
      <c r="AJ19">
        <v>1</v>
      </c>
      <c r="AQ19">
        <v>18</v>
      </c>
      <c r="AR19" t="s">
        <v>399</v>
      </c>
      <c r="AS19" t="s">
        <v>745</v>
      </c>
      <c r="AV19">
        <v>1</v>
      </c>
    </row>
    <row r="20" spans="4:48" x14ac:dyDescent="0.25">
      <c r="D20">
        <v>19</v>
      </c>
      <c r="F20" t="s">
        <v>496</v>
      </c>
      <c r="G20" t="s">
        <v>409</v>
      </c>
      <c r="K20" s="22" t="s">
        <v>535</v>
      </c>
      <c r="Q20">
        <v>19</v>
      </c>
      <c r="S20" t="s">
        <v>508</v>
      </c>
      <c r="W20" t="s">
        <v>571</v>
      </c>
      <c r="Y20">
        <v>1</v>
      </c>
      <c r="AE20">
        <v>19</v>
      </c>
      <c r="AF20" t="s">
        <v>712</v>
      </c>
      <c r="AG20" t="s">
        <v>731</v>
      </c>
      <c r="AH20" t="s">
        <v>357</v>
      </c>
      <c r="AJ20">
        <v>1</v>
      </c>
      <c r="AQ20">
        <v>19</v>
      </c>
      <c r="AR20" t="s">
        <v>399</v>
      </c>
      <c r="AS20" t="s">
        <v>741</v>
      </c>
    </row>
    <row r="21" spans="4:48" x14ac:dyDescent="0.25">
      <c r="D21">
        <v>20</v>
      </c>
      <c r="F21" t="s">
        <v>497</v>
      </c>
      <c r="J21" t="s">
        <v>534</v>
      </c>
      <c r="L21">
        <v>1</v>
      </c>
      <c r="Q21">
        <v>20</v>
      </c>
      <c r="S21" t="s">
        <v>482</v>
      </c>
      <c r="T21" t="s">
        <v>521</v>
      </c>
      <c r="W21" s="10" t="s">
        <v>572</v>
      </c>
      <c r="AE21">
        <v>20</v>
      </c>
      <c r="AF21" t="s">
        <v>399</v>
      </c>
      <c r="AG21" t="s">
        <v>732</v>
      </c>
      <c r="AH21" t="s">
        <v>358</v>
      </c>
      <c r="AJ21">
        <v>1</v>
      </c>
      <c r="AQ21">
        <v>20</v>
      </c>
      <c r="AR21" t="s">
        <v>712</v>
      </c>
      <c r="AS21" t="s">
        <v>729</v>
      </c>
    </row>
    <row r="22" spans="4:48" x14ac:dyDescent="0.25">
      <c r="D22">
        <v>21</v>
      </c>
      <c r="F22" t="s">
        <v>498</v>
      </c>
      <c r="J22" t="s">
        <v>536</v>
      </c>
      <c r="L22">
        <v>1</v>
      </c>
      <c r="Q22">
        <v>21</v>
      </c>
      <c r="S22" t="s">
        <v>486</v>
      </c>
      <c r="W22" t="s">
        <v>525</v>
      </c>
      <c r="Y22">
        <v>1</v>
      </c>
      <c r="AE22">
        <v>21</v>
      </c>
      <c r="AF22" t="s">
        <v>399</v>
      </c>
      <c r="AG22" t="s">
        <v>733</v>
      </c>
      <c r="AH22" t="s">
        <v>359</v>
      </c>
      <c r="AJ22">
        <v>1</v>
      </c>
      <c r="AQ22">
        <v>21</v>
      </c>
      <c r="AR22" t="s">
        <v>712</v>
      </c>
      <c r="AS22" t="s">
        <v>716</v>
      </c>
      <c r="AV22">
        <v>1</v>
      </c>
    </row>
    <row r="23" spans="4:48" x14ac:dyDescent="0.25">
      <c r="D23">
        <v>22</v>
      </c>
      <c r="F23" t="s">
        <v>499</v>
      </c>
      <c r="J23" t="s">
        <v>537</v>
      </c>
      <c r="L23">
        <v>1</v>
      </c>
      <c r="Q23">
        <v>22</v>
      </c>
      <c r="S23" t="s">
        <v>506</v>
      </c>
      <c r="W23" s="6" t="s">
        <v>433</v>
      </c>
      <c r="Y23">
        <v>1</v>
      </c>
      <c r="AE23">
        <v>22</v>
      </c>
      <c r="AF23" t="s">
        <v>399</v>
      </c>
      <c r="AG23" t="s">
        <v>734</v>
      </c>
      <c r="AH23" s="10" t="s">
        <v>360</v>
      </c>
      <c r="AQ23">
        <v>22</v>
      </c>
      <c r="AR23" t="s">
        <v>712</v>
      </c>
      <c r="AS23" t="s">
        <v>740</v>
      </c>
      <c r="AT23" t="s">
        <v>817</v>
      </c>
    </row>
    <row r="24" spans="4:48" x14ac:dyDescent="0.25">
      <c r="D24">
        <v>23</v>
      </c>
      <c r="F24" t="s">
        <v>500</v>
      </c>
      <c r="J24" t="s">
        <v>538</v>
      </c>
      <c r="L24">
        <v>1</v>
      </c>
      <c r="Q24">
        <v>23</v>
      </c>
      <c r="S24" t="s">
        <v>512</v>
      </c>
      <c r="W24" t="s">
        <v>573</v>
      </c>
      <c r="AE24">
        <v>23</v>
      </c>
      <c r="AF24" t="s">
        <v>712</v>
      </c>
      <c r="AG24" t="s">
        <v>735</v>
      </c>
      <c r="AH24" t="s">
        <v>361</v>
      </c>
      <c r="AJ24">
        <v>1</v>
      </c>
      <c r="AQ24">
        <v>23</v>
      </c>
      <c r="AR24" t="s">
        <v>712</v>
      </c>
      <c r="AS24" t="s">
        <v>719</v>
      </c>
      <c r="AV24">
        <v>1</v>
      </c>
    </row>
    <row r="25" spans="4:48" x14ac:dyDescent="0.25">
      <c r="D25">
        <v>24</v>
      </c>
      <c r="F25" t="s">
        <v>501</v>
      </c>
      <c r="J25" t="s">
        <v>539</v>
      </c>
      <c r="L25">
        <v>1</v>
      </c>
      <c r="Q25">
        <v>24</v>
      </c>
      <c r="S25" t="s">
        <v>492</v>
      </c>
      <c r="W25" t="s">
        <v>574</v>
      </c>
      <c r="AE25">
        <v>24</v>
      </c>
      <c r="AF25" t="s">
        <v>712</v>
      </c>
      <c r="AG25" t="s">
        <v>736</v>
      </c>
      <c r="AQ25">
        <v>24</v>
      </c>
      <c r="AR25" t="s">
        <v>712</v>
      </c>
      <c r="AS25" t="s">
        <v>731</v>
      </c>
      <c r="AV25">
        <v>1</v>
      </c>
    </row>
    <row r="26" spans="4:48" x14ac:dyDescent="0.25">
      <c r="D26">
        <v>25</v>
      </c>
      <c r="F26" t="s">
        <v>502</v>
      </c>
      <c r="J26" s="10" t="s">
        <v>540</v>
      </c>
      <c r="Q26">
        <v>25</v>
      </c>
      <c r="S26" t="s">
        <v>553</v>
      </c>
      <c r="W26" t="s">
        <v>575</v>
      </c>
      <c r="AE26">
        <v>25</v>
      </c>
      <c r="AF26" t="s">
        <v>712</v>
      </c>
      <c r="AG26" t="s">
        <v>737</v>
      </c>
      <c r="AH26" t="s">
        <v>363</v>
      </c>
      <c r="AQ26">
        <v>25</v>
      </c>
      <c r="AR26" t="s">
        <v>712</v>
      </c>
      <c r="AS26" t="s">
        <v>748</v>
      </c>
      <c r="AT26" t="s">
        <v>818</v>
      </c>
    </row>
    <row r="27" spans="4:48" x14ac:dyDescent="0.25">
      <c r="D27">
        <v>26</v>
      </c>
      <c r="F27" t="s">
        <v>503</v>
      </c>
      <c r="G27" t="s">
        <v>464</v>
      </c>
      <c r="Q27">
        <v>26</v>
      </c>
      <c r="S27" t="s">
        <v>491</v>
      </c>
      <c r="W27" s="10" t="s">
        <v>576</v>
      </c>
      <c r="AE27">
        <v>26</v>
      </c>
      <c r="AF27" t="s">
        <v>399</v>
      </c>
      <c r="AG27" t="s">
        <v>738</v>
      </c>
      <c r="AH27" t="s">
        <v>364</v>
      </c>
      <c r="AJ27">
        <v>1</v>
      </c>
      <c r="AQ27">
        <v>26</v>
      </c>
      <c r="AR27" t="s">
        <v>399</v>
      </c>
      <c r="AS27" t="s">
        <v>718</v>
      </c>
      <c r="AV27">
        <v>1</v>
      </c>
    </row>
    <row r="28" spans="4:48" x14ac:dyDescent="0.25">
      <c r="D28">
        <v>27</v>
      </c>
      <c r="F28" t="s">
        <v>504</v>
      </c>
      <c r="J28" t="s">
        <v>541</v>
      </c>
      <c r="L28">
        <v>1</v>
      </c>
      <c r="Q28">
        <v>27</v>
      </c>
      <c r="S28" t="s">
        <v>554</v>
      </c>
      <c r="W28" t="s">
        <v>422</v>
      </c>
      <c r="Y28">
        <v>1</v>
      </c>
      <c r="AE28">
        <v>27</v>
      </c>
      <c r="AF28" t="s">
        <v>399</v>
      </c>
      <c r="AG28" t="s">
        <v>739</v>
      </c>
      <c r="AH28" t="s">
        <v>365</v>
      </c>
      <c r="AJ28">
        <v>1</v>
      </c>
      <c r="AQ28">
        <v>27</v>
      </c>
      <c r="AR28" t="s">
        <v>399</v>
      </c>
      <c r="AS28" t="s">
        <v>720</v>
      </c>
      <c r="AV28">
        <v>1</v>
      </c>
    </row>
    <row r="29" spans="4:48" x14ac:dyDescent="0.25">
      <c r="D29">
        <v>28</v>
      </c>
      <c r="F29" t="s">
        <v>505</v>
      </c>
      <c r="J29" s="10" t="s">
        <v>542</v>
      </c>
      <c r="Q29">
        <v>28</v>
      </c>
      <c r="S29" t="s">
        <v>504</v>
      </c>
      <c r="W29" t="s">
        <v>541</v>
      </c>
      <c r="Y29">
        <v>1</v>
      </c>
      <c r="AE29">
        <v>28</v>
      </c>
      <c r="AF29" t="s">
        <v>712</v>
      </c>
      <c r="AG29" t="s">
        <v>740</v>
      </c>
      <c r="AH29" t="s">
        <v>366</v>
      </c>
      <c r="AJ29">
        <v>1</v>
      </c>
      <c r="AQ29">
        <v>28</v>
      </c>
      <c r="AR29" t="s">
        <v>399</v>
      </c>
      <c r="AS29" t="s">
        <v>714</v>
      </c>
    </row>
    <row r="30" spans="4:48" x14ac:dyDescent="0.25">
      <c r="D30">
        <v>29</v>
      </c>
      <c r="F30" t="s">
        <v>506</v>
      </c>
      <c r="J30" s="10" t="s">
        <v>543</v>
      </c>
      <c r="Q30">
        <v>29</v>
      </c>
      <c r="S30" t="s">
        <v>484</v>
      </c>
      <c r="W30" t="s">
        <v>522</v>
      </c>
      <c r="Y30">
        <v>1</v>
      </c>
      <c r="AE30">
        <v>29</v>
      </c>
      <c r="AF30" t="s">
        <v>399</v>
      </c>
      <c r="AG30" t="s">
        <v>741</v>
      </c>
      <c r="AH30" t="s">
        <v>367</v>
      </c>
      <c r="AJ30">
        <v>1</v>
      </c>
      <c r="AQ30">
        <v>29</v>
      </c>
      <c r="AR30" t="s">
        <v>399</v>
      </c>
      <c r="AS30" t="s">
        <v>715</v>
      </c>
    </row>
    <row r="31" spans="4:48" x14ac:dyDescent="0.25">
      <c r="D31">
        <v>30</v>
      </c>
      <c r="F31" t="s">
        <v>507</v>
      </c>
      <c r="J31" s="6" t="s">
        <v>544</v>
      </c>
      <c r="L31">
        <v>1</v>
      </c>
      <c r="Q31">
        <v>30</v>
      </c>
      <c r="S31" t="s">
        <v>490</v>
      </c>
      <c r="W31" t="s">
        <v>577</v>
      </c>
      <c r="Y31">
        <v>1</v>
      </c>
      <c r="AE31">
        <v>30</v>
      </c>
      <c r="AF31" t="s">
        <v>399</v>
      </c>
      <c r="AG31" t="s">
        <v>742</v>
      </c>
      <c r="AQ31">
        <v>30</v>
      </c>
      <c r="AR31" t="s">
        <v>712</v>
      </c>
      <c r="AS31" t="s">
        <v>749</v>
      </c>
      <c r="AV31">
        <v>1</v>
      </c>
    </row>
    <row r="32" spans="4:48" x14ac:dyDescent="0.25">
      <c r="D32">
        <v>31</v>
      </c>
      <c r="F32" t="s">
        <v>508</v>
      </c>
      <c r="G32" t="s">
        <v>407</v>
      </c>
      <c r="J32" t="s">
        <v>545</v>
      </c>
      <c r="L32">
        <v>1</v>
      </c>
      <c r="Q32">
        <v>31</v>
      </c>
      <c r="S32" t="s">
        <v>499</v>
      </c>
      <c r="W32" t="s">
        <v>578</v>
      </c>
      <c r="Y32">
        <v>1</v>
      </c>
      <c r="AE32">
        <v>31</v>
      </c>
      <c r="AF32" t="s">
        <v>399</v>
      </c>
      <c r="AG32" t="s">
        <v>743</v>
      </c>
      <c r="AH32" t="s">
        <v>368</v>
      </c>
      <c r="AJ32">
        <v>1</v>
      </c>
      <c r="AQ32">
        <v>31</v>
      </c>
      <c r="AR32" t="s">
        <v>399</v>
      </c>
      <c r="AS32" t="s">
        <v>722</v>
      </c>
      <c r="AT32" t="s">
        <v>819</v>
      </c>
    </row>
    <row r="33" spans="2:48" x14ac:dyDescent="0.25">
      <c r="D33">
        <v>32</v>
      </c>
      <c r="F33" t="s">
        <v>509</v>
      </c>
      <c r="G33" t="s">
        <v>547</v>
      </c>
      <c r="J33" s="10" t="s">
        <v>546</v>
      </c>
      <c r="Q33">
        <v>32</v>
      </c>
      <c r="S33" t="s">
        <v>507</v>
      </c>
      <c r="W33" t="s">
        <v>579</v>
      </c>
      <c r="Y33">
        <v>1</v>
      </c>
      <c r="AE33">
        <v>32</v>
      </c>
      <c r="AF33" t="s">
        <v>712</v>
      </c>
      <c r="AG33" t="s">
        <v>744</v>
      </c>
      <c r="AH33" s="10" t="s">
        <v>369</v>
      </c>
      <c r="AQ33">
        <v>32</v>
      </c>
      <c r="AR33" t="s">
        <v>399</v>
      </c>
      <c r="AS33" t="s">
        <v>739</v>
      </c>
      <c r="AV33">
        <v>1</v>
      </c>
    </row>
    <row r="34" spans="2:48" x14ac:dyDescent="0.25">
      <c r="D34">
        <v>33</v>
      </c>
      <c r="F34" t="s">
        <v>510</v>
      </c>
      <c r="J34" t="s">
        <v>548</v>
      </c>
      <c r="L34">
        <v>1</v>
      </c>
      <c r="Q34">
        <v>33</v>
      </c>
      <c r="S34" t="s">
        <v>483</v>
      </c>
      <c r="W34" s="10" t="s">
        <v>580</v>
      </c>
      <c r="AE34">
        <v>33</v>
      </c>
      <c r="AF34" t="s">
        <v>399</v>
      </c>
      <c r="AG34" t="s">
        <v>745</v>
      </c>
      <c r="AH34" t="s">
        <v>370</v>
      </c>
      <c r="AJ34">
        <v>1</v>
      </c>
      <c r="AQ34">
        <v>33</v>
      </c>
      <c r="AR34" t="s">
        <v>399</v>
      </c>
      <c r="AS34" t="s">
        <v>746</v>
      </c>
    </row>
    <row r="35" spans="2:48" x14ac:dyDescent="0.25">
      <c r="D35">
        <v>34</v>
      </c>
      <c r="F35" t="s">
        <v>511</v>
      </c>
      <c r="J35" t="s">
        <v>442</v>
      </c>
      <c r="L35">
        <v>1</v>
      </c>
      <c r="Q35">
        <v>34</v>
      </c>
      <c r="S35" t="s">
        <v>555</v>
      </c>
      <c r="W35" t="s">
        <v>581</v>
      </c>
      <c r="Y35">
        <v>1</v>
      </c>
      <c r="AE35">
        <v>34</v>
      </c>
      <c r="AF35" t="s">
        <v>399</v>
      </c>
      <c r="AG35" t="s">
        <v>746</v>
      </c>
      <c r="AH35" t="s">
        <v>371</v>
      </c>
      <c r="AJ35">
        <v>1</v>
      </c>
      <c r="AQ35">
        <v>34</v>
      </c>
      <c r="AR35" t="s">
        <v>712</v>
      </c>
      <c r="AS35" t="s">
        <v>725</v>
      </c>
      <c r="AU35">
        <v>1</v>
      </c>
      <c r="AV35">
        <v>1</v>
      </c>
    </row>
    <row r="36" spans="2:48" x14ac:dyDescent="0.25">
      <c r="D36">
        <v>35</v>
      </c>
      <c r="F36" t="s">
        <v>512</v>
      </c>
      <c r="G36" t="s">
        <v>549</v>
      </c>
      <c r="Q36">
        <v>35</v>
      </c>
      <c r="S36" t="s">
        <v>494</v>
      </c>
      <c r="W36" s="10" t="s">
        <v>582</v>
      </c>
      <c r="AE36">
        <v>35</v>
      </c>
      <c r="AF36" t="s">
        <v>712</v>
      </c>
      <c r="AG36" t="s">
        <v>747</v>
      </c>
      <c r="AH36" t="s">
        <v>372</v>
      </c>
      <c r="AJ36">
        <v>1</v>
      </c>
      <c r="AQ36">
        <v>35</v>
      </c>
      <c r="AR36" t="s">
        <v>712</v>
      </c>
      <c r="AS36" t="s">
        <v>736</v>
      </c>
    </row>
    <row r="37" spans="2:48" x14ac:dyDescent="0.25">
      <c r="D37">
        <v>36</v>
      </c>
      <c r="F37" t="s">
        <v>513</v>
      </c>
      <c r="Q37">
        <v>36</v>
      </c>
      <c r="S37" t="s">
        <v>485</v>
      </c>
      <c r="T37" t="s">
        <v>524</v>
      </c>
      <c r="W37" s="10" t="s">
        <v>523</v>
      </c>
      <c r="AE37">
        <v>36</v>
      </c>
      <c r="AF37" t="s">
        <v>712</v>
      </c>
      <c r="AG37" t="s">
        <v>748</v>
      </c>
      <c r="AQ37">
        <v>36</v>
      </c>
      <c r="AR37" t="s">
        <v>712</v>
      </c>
      <c r="AS37" t="s">
        <v>751</v>
      </c>
    </row>
    <row r="38" spans="2:48" x14ac:dyDescent="0.25">
      <c r="D38">
        <v>37</v>
      </c>
      <c r="F38" t="s">
        <v>514</v>
      </c>
      <c r="Q38">
        <v>37</v>
      </c>
      <c r="S38" t="s">
        <v>513</v>
      </c>
      <c r="AE38">
        <v>37</v>
      </c>
      <c r="AF38" t="s">
        <v>712</v>
      </c>
      <c r="AG38" t="s">
        <v>749</v>
      </c>
      <c r="AH38" t="s">
        <v>373</v>
      </c>
      <c r="AJ38">
        <v>1</v>
      </c>
      <c r="AQ38">
        <v>37</v>
      </c>
      <c r="AR38" t="s">
        <v>399</v>
      </c>
      <c r="AS38" t="s">
        <v>727</v>
      </c>
      <c r="AV38">
        <v>1</v>
      </c>
    </row>
    <row r="39" spans="2:48" x14ac:dyDescent="0.25">
      <c r="D39">
        <v>38</v>
      </c>
      <c r="F39" t="s">
        <v>515</v>
      </c>
      <c r="J39" t="s">
        <v>550</v>
      </c>
      <c r="L39">
        <v>1</v>
      </c>
      <c r="Q39">
        <v>38</v>
      </c>
      <c r="S39" t="s">
        <v>505</v>
      </c>
      <c r="W39" s="10" t="s">
        <v>367</v>
      </c>
      <c r="AE39">
        <v>38</v>
      </c>
      <c r="AF39" t="s">
        <v>399</v>
      </c>
      <c r="AG39" t="s">
        <v>750</v>
      </c>
      <c r="AH39" t="s">
        <v>374</v>
      </c>
      <c r="AI39" s="7">
        <v>1</v>
      </c>
      <c r="AQ39">
        <v>38</v>
      </c>
      <c r="AR39" t="s">
        <v>712</v>
      </c>
      <c r="AS39" t="s">
        <v>724</v>
      </c>
      <c r="AV39">
        <v>1</v>
      </c>
    </row>
    <row r="40" spans="2:48" x14ac:dyDescent="0.25">
      <c r="D40">
        <v>39</v>
      </c>
      <c r="F40" t="s">
        <v>516</v>
      </c>
      <c r="J40" t="s">
        <v>551</v>
      </c>
      <c r="L40">
        <v>1</v>
      </c>
      <c r="Q40">
        <v>39</v>
      </c>
      <c r="S40" t="s">
        <v>514</v>
      </c>
      <c r="W40" t="s">
        <v>583</v>
      </c>
      <c r="Y40">
        <v>1</v>
      </c>
      <c r="AE40">
        <v>39</v>
      </c>
      <c r="AF40" t="s">
        <v>712</v>
      </c>
      <c r="AG40" t="s">
        <v>751</v>
      </c>
      <c r="AH40" t="s">
        <v>375</v>
      </c>
      <c r="AJ40">
        <v>1</v>
      </c>
      <c r="AQ40">
        <v>39</v>
      </c>
      <c r="AR40" t="s">
        <v>712</v>
      </c>
      <c r="AS40" t="s">
        <v>723</v>
      </c>
    </row>
    <row r="41" spans="2:48" x14ac:dyDescent="0.25">
      <c r="D41">
        <v>40</v>
      </c>
      <c r="F41" t="s">
        <v>517</v>
      </c>
      <c r="J41" s="10" t="s">
        <v>552</v>
      </c>
      <c r="Q41">
        <v>40</v>
      </c>
      <c r="S41" t="s">
        <v>487</v>
      </c>
      <c r="W41" t="s">
        <v>584</v>
      </c>
      <c r="AE41">
        <v>40</v>
      </c>
      <c r="AF41" t="s">
        <v>712</v>
      </c>
      <c r="AG41" t="s">
        <v>752</v>
      </c>
      <c r="AH41" t="s">
        <v>376</v>
      </c>
      <c r="AJ41">
        <v>1</v>
      </c>
      <c r="AQ41">
        <v>40</v>
      </c>
      <c r="AR41" t="s">
        <v>712</v>
      </c>
      <c r="AS41" t="s">
        <v>737</v>
      </c>
      <c r="AV41">
        <v>1</v>
      </c>
    </row>
    <row r="42" spans="2:48" ht="15.75" x14ac:dyDescent="0.25">
      <c r="L42" s="7">
        <f>SUM(L2:L41)</f>
        <v>20</v>
      </c>
      <c r="Y42" s="7">
        <f>SUM(Y2:Y41)</f>
        <v>20</v>
      </c>
      <c r="AJ42" s="5">
        <f>SUM(AJ2:AJ41)</f>
        <v>26</v>
      </c>
      <c r="AV42" s="2">
        <f>SUM(AV2:AV41)</f>
        <v>18</v>
      </c>
    </row>
    <row r="45" spans="2:48" x14ac:dyDescent="0.25">
      <c r="C45" t="s">
        <v>142</v>
      </c>
      <c r="D45" t="s">
        <v>143</v>
      </c>
      <c r="E45" t="s">
        <v>144</v>
      </c>
      <c r="F45" t="s">
        <v>591</v>
      </c>
    </row>
    <row r="46" spans="2:48" x14ac:dyDescent="0.25">
      <c r="B46" t="s">
        <v>585</v>
      </c>
      <c r="C46">
        <v>20</v>
      </c>
      <c r="D46">
        <v>20</v>
      </c>
      <c r="E46">
        <v>26</v>
      </c>
      <c r="F46">
        <v>19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"/>
  <sheetViews>
    <sheetView tabSelected="1" topLeftCell="W1" workbookViewId="0">
      <selection activeCell="AD15" sqref="AD15"/>
    </sheetView>
  </sheetViews>
  <sheetFormatPr baseColWidth="10" defaultRowHeight="15" x14ac:dyDescent="0.25"/>
  <cols>
    <col min="1" max="1" width="22.85546875" customWidth="1"/>
    <col min="7" max="7" width="15.85546875" customWidth="1"/>
    <col min="8" max="8" width="9.140625" customWidth="1"/>
    <col min="10" max="10" width="22.7109375" customWidth="1"/>
    <col min="19" max="19" width="36.140625" customWidth="1"/>
    <col min="28" max="28" width="25.7109375" customWidth="1"/>
  </cols>
  <sheetData>
    <row r="1" spans="1:35" ht="15.75" x14ac:dyDescent="0.25">
      <c r="A1" s="1" t="s">
        <v>8</v>
      </c>
      <c r="B1" s="2" t="s">
        <v>0</v>
      </c>
      <c r="C1" s="2" t="s">
        <v>1</v>
      </c>
      <c r="D1" s="2" t="s">
        <v>26</v>
      </c>
      <c r="E1" s="2" t="s">
        <v>628</v>
      </c>
      <c r="F1" s="2" t="s">
        <v>337</v>
      </c>
      <c r="G1" s="2" t="s">
        <v>340</v>
      </c>
      <c r="H1" s="2" t="s">
        <v>607</v>
      </c>
      <c r="J1" s="1" t="s">
        <v>8</v>
      </c>
      <c r="K1" s="2" t="s">
        <v>0</v>
      </c>
      <c r="L1" s="2" t="s">
        <v>1</v>
      </c>
      <c r="M1" s="2" t="s">
        <v>26</v>
      </c>
      <c r="N1" s="2" t="s">
        <v>336</v>
      </c>
      <c r="O1" s="2" t="s">
        <v>337</v>
      </c>
      <c r="P1" s="2" t="s">
        <v>340</v>
      </c>
      <c r="Q1" s="2" t="s">
        <v>607</v>
      </c>
      <c r="S1" s="1" t="s">
        <v>8</v>
      </c>
      <c r="T1" s="2" t="s">
        <v>0</v>
      </c>
      <c r="U1" s="2" t="s">
        <v>1</v>
      </c>
      <c r="V1" s="2" t="s">
        <v>26</v>
      </c>
      <c r="W1" s="2" t="s">
        <v>605</v>
      </c>
      <c r="X1" s="2" t="s">
        <v>336</v>
      </c>
      <c r="Y1" s="2" t="s">
        <v>340</v>
      </c>
      <c r="Z1" s="2" t="s">
        <v>606</v>
      </c>
      <c r="AA1" s="2"/>
      <c r="AB1" s="1" t="s">
        <v>8</v>
      </c>
      <c r="AC1" s="2" t="s">
        <v>0</v>
      </c>
      <c r="AD1" s="2" t="s">
        <v>1</v>
      </c>
      <c r="AE1" s="2" t="s">
        <v>26</v>
      </c>
      <c r="AF1" s="2" t="s">
        <v>336</v>
      </c>
      <c r="AG1" s="2" t="s">
        <v>337</v>
      </c>
      <c r="AH1" s="2" t="s">
        <v>340</v>
      </c>
      <c r="AI1" s="2" t="s">
        <v>607</v>
      </c>
    </row>
    <row r="2" spans="1:35" ht="15.75" x14ac:dyDescent="0.25">
      <c r="A2" s="3" t="s">
        <v>4</v>
      </c>
      <c r="B2">
        <v>1</v>
      </c>
      <c r="C2">
        <v>1</v>
      </c>
      <c r="D2">
        <v>1</v>
      </c>
      <c r="E2" t="s">
        <v>608</v>
      </c>
      <c r="F2" t="s">
        <v>629</v>
      </c>
      <c r="G2">
        <v>1</v>
      </c>
      <c r="J2" s="3" t="s">
        <v>112</v>
      </c>
      <c r="K2">
        <v>1</v>
      </c>
      <c r="L2">
        <v>2</v>
      </c>
      <c r="M2">
        <v>1</v>
      </c>
      <c r="N2" t="s">
        <v>610</v>
      </c>
      <c r="O2" t="s">
        <v>656</v>
      </c>
      <c r="P2">
        <v>1</v>
      </c>
      <c r="S2" s="3" t="s">
        <v>114</v>
      </c>
      <c r="T2">
        <v>2</v>
      </c>
      <c r="U2">
        <v>3</v>
      </c>
      <c r="V2">
        <v>1</v>
      </c>
      <c r="AB2" s="3" t="s">
        <v>587</v>
      </c>
      <c r="AC2">
        <v>2</v>
      </c>
      <c r="AD2">
        <v>3</v>
      </c>
      <c r="AE2">
        <v>1</v>
      </c>
      <c r="AF2" t="s">
        <v>615</v>
      </c>
      <c r="AG2" t="s">
        <v>619</v>
      </c>
      <c r="AH2">
        <v>1</v>
      </c>
    </row>
    <row r="3" spans="1:35" ht="15.75" x14ac:dyDescent="0.25">
      <c r="A3" s="1" t="s">
        <v>614</v>
      </c>
      <c r="D3">
        <v>2</v>
      </c>
      <c r="E3" t="s">
        <v>610</v>
      </c>
      <c r="F3" t="s">
        <v>630</v>
      </c>
      <c r="G3">
        <v>1</v>
      </c>
      <c r="J3" s="1" t="s">
        <v>614</v>
      </c>
      <c r="M3">
        <v>2</v>
      </c>
      <c r="N3" t="s">
        <v>610</v>
      </c>
      <c r="O3" t="s">
        <v>612</v>
      </c>
      <c r="P3">
        <v>1</v>
      </c>
      <c r="S3" s="1" t="s">
        <v>614</v>
      </c>
      <c r="V3">
        <v>2</v>
      </c>
      <c r="AB3" s="1" t="s">
        <v>614</v>
      </c>
      <c r="AE3">
        <v>2</v>
      </c>
      <c r="AF3" t="s">
        <v>615</v>
      </c>
      <c r="AG3" t="s">
        <v>616</v>
      </c>
      <c r="AH3">
        <v>1</v>
      </c>
    </row>
    <row r="4" spans="1:35" ht="15.75" x14ac:dyDescent="0.25">
      <c r="A4" s="1" t="s">
        <v>7</v>
      </c>
      <c r="D4">
        <v>3</v>
      </c>
      <c r="E4" t="s">
        <v>608</v>
      </c>
      <c r="F4" t="s">
        <v>631</v>
      </c>
      <c r="G4" s="6">
        <v>1</v>
      </c>
      <c r="H4" s="10"/>
      <c r="J4" s="1" t="s">
        <v>177</v>
      </c>
      <c r="M4">
        <v>3</v>
      </c>
      <c r="N4" t="s">
        <v>610</v>
      </c>
      <c r="O4" t="s">
        <v>634</v>
      </c>
      <c r="P4">
        <v>1</v>
      </c>
      <c r="S4" s="1" t="s">
        <v>179</v>
      </c>
      <c r="V4">
        <v>3</v>
      </c>
      <c r="AB4" s="1" t="s">
        <v>594</v>
      </c>
      <c r="AE4">
        <v>3</v>
      </c>
      <c r="AF4" t="s">
        <v>608</v>
      </c>
      <c r="AG4" t="s">
        <v>665</v>
      </c>
      <c r="AH4">
        <v>1</v>
      </c>
    </row>
    <row r="5" spans="1:35" ht="15.75" x14ac:dyDescent="0.25">
      <c r="A5" s="1" t="s">
        <v>708</v>
      </c>
      <c r="D5">
        <v>4</v>
      </c>
      <c r="E5" t="s">
        <v>615</v>
      </c>
      <c r="F5" s="10" t="s">
        <v>632</v>
      </c>
      <c r="G5">
        <v>1</v>
      </c>
      <c r="M5">
        <v>4</v>
      </c>
      <c r="N5" t="s">
        <v>610</v>
      </c>
      <c r="O5" t="s">
        <v>638</v>
      </c>
      <c r="P5">
        <v>1</v>
      </c>
      <c r="S5" s="10"/>
      <c r="V5">
        <v>4</v>
      </c>
      <c r="AB5" s="1" t="s">
        <v>625</v>
      </c>
      <c r="AE5">
        <v>4</v>
      </c>
      <c r="AF5" t="s">
        <v>615</v>
      </c>
      <c r="AG5" t="s">
        <v>617</v>
      </c>
      <c r="AH5">
        <v>1</v>
      </c>
    </row>
    <row r="6" spans="1:35" ht="15.75" x14ac:dyDescent="0.25">
      <c r="D6">
        <v>5</v>
      </c>
      <c r="E6" t="s">
        <v>615</v>
      </c>
      <c r="F6" t="s">
        <v>633</v>
      </c>
      <c r="G6">
        <v>1</v>
      </c>
      <c r="M6">
        <v>5</v>
      </c>
      <c r="N6" t="s">
        <v>610</v>
      </c>
      <c r="O6" t="s">
        <v>653</v>
      </c>
      <c r="P6">
        <v>1</v>
      </c>
      <c r="S6" s="28" t="s">
        <v>710</v>
      </c>
      <c r="V6">
        <v>5</v>
      </c>
      <c r="AE6">
        <v>5</v>
      </c>
      <c r="AF6" t="s">
        <v>608</v>
      </c>
      <c r="AG6" t="s">
        <v>666</v>
      </c>
      <c r="AH6">
        <v>1</v>
      </c>
    </row>
    <row r="7" spans="1:35" ht="15.75" x14ac:dyDescent="0.25">
      <c r="D7">
        <v>6</v>
      </c>
      <c r="E7" t="s">
        <v>610</v>
      </c>
      <c r="F7" t="s">
        <v>634</v>
      </c>
      <c r="G7">
        <v>1</v>
      </c>
      <c r="M7">
        <v>6</v>
      </c>
      <c r="N7" t="s">
        <v>615</v>
      </c>
      <c r="O7" t="s">
        <v>651</v>
      </c>
      <c r="P7">
        <v>1</v>
      </c>
      <c r="S7" s="28" t="s">
        <v>711</v>
      </c>
      <c r="V7">
        <v>6</v>
      </c>
      <c r="AE7">
        <v>6</v>
      </c>
      <c r="AF7" t="s">
        <v>615</v>
      </c>
      <c r="AG7" t="s">
        <v>667</v>
      </c>
      <c r="AH7">
        <v>1</v>
      </c>
    </row>
    <row r="8" spans="1:35" x14ac:dyDescent="0.25">
      <c r="D8">
        <v>7</v>
      </c>
      <c r="E8" t="s">
        <v>610</v>
      </c>
      <c r="F8" t="s">
        <v>612</v>
      </c>
      <c r="G8">
        <v>1</v>
      </c>
      <c r="M8">
        <v>7</v>
      </c>
      <c r="N8" t="s">
        <v>615</v>
      </c>
      <c r="O8" t="s">
        <v>622</v>
      </c>
      <c r="P8">
        <v>1</v>
      </c>
      <c r="V8">
        <v>7</v>
      </c>
      <c r="AE8">
        <v>7</v>
      </c>
      <c r="AF8" t="s">
        <v>610</v>
      </c>
      <c r="AG8" t="s">
        <v>668</v>
      </c>
      <c r="AH8">
        <v>1</v>
      </c>
    </row>
    <row r="9" spans="1:35" x14ac:dyDescent="0.25">
      <c r="D9">
        <v>8</v>
      </c>
      <c r="E9" t="s">
        <v>615</v>
      </c>
      <c r="F9" t="s">
        <v>635</v>
      </c>
      <c r="G9">
        <v>1</v>
      </c>
      <c r="M9">
        <v>8</v>
      </c>
      <c r="N9" t="s">
        <v>615</v>
      </c>
      <c r="O9" t="s">
        <v>408</v>
      </c>
      <c r="P9">
        <v>1</v>
      </c>
      <c r="V9">
        <v>8</v>
      </c>
      <c r="AE9">
        <v>8</v>
      </c>
      <c r="AF9" t="s">
        <v>615</v>
      </c>
      <c r="AG9" t="s">
        <v>669</v>
      </c>
      <c r="AH9">
        <v>1</v>
      </c>
    </row>
    <row r="10" spans="1:35" x14ac:dyDescent="0.25">
      <c r="D10">
        <v>9</v>
      </c>
      <c r="E10" t="s">
        <v>615</v>
      </c>
      <c r="F10" t="s">
        <v>636</v>
      </c>
      <c r="G10">
        <v>1</v>
      </c>
      <c r="M10">
        <v>9</v>
      </c>
      <c r="N10" t="s">
        <v>608</v>
      </c>
      <c r="O10" t="s">
        <v>658</v>
      </c>
      <c r="P10">
        <v>1</v>
      </c>
      <c r="V10">
        <v>9</v>
      </c>
      <c r="AE10">
        <v>9</v>
      </c>
      <c r="AF10" t="s">
        <v>615</v>
      </c>
      <c r="AG10" t="s">
        <v>670</v>
      </c>
      <c r="AH10">
        <v>1</v>
      </c>
    </row>
    <row r="11" spans="1:35" x14ac:dyDescent="0.25">
      <c r="D11">
        <v>10</v>
      </c>
      <c r="E11" t="s">
        <v>610</v>
      </c>
      <c r="F11" t="s">
        <v>637</v>
      </c>
      <c r="G11">
        <v>1</v>
      </c>
      <c r="M11">
        <v>10</v>
      </c>
      <c r="N11" t="s">
        <v>608</v>
      </c>
      <c r="O11" t="s">
        <v>640</v>
      </c>
      <c r="P11">
        <v>1</v>
      </c>
      <c r="V11">
        <v>10</v>
      </c>
      <c r="AE11">
        <v>10</v>
      </c>
      <c r="AF11" t="s">
        <v>608</v>
      </c>
      <c r="AG11" t="s">
        <v>671</v>
      </c>
      <c r="AH11">
        <v>1</v>
      </c>
    </row>
    <row r="12" spans="1:35" x14ac:dyDescent="0.25">
      <c r="D12">
        <v>11</v>
      </c>
      <c r="E12" t="s">
        <v>610</v>
      </c>
      <c r="F12" t="s">
        <v>638</v>
      </c>
      <c r="G12">
        <v>1</v>
      </c>
      <c r="M12">
        <v>11</v>
      </c>
      <c r="N12" t="s">
        <v>615</v>
      </c>
      <c r="O12" t="s">
        <v>649</v>
      </c>
      <c r="P12">
        <v>1</v>
      </c>
      <c r="V12">
        <v>11</v>
      </c>
      <c r="AE12">
        <v>11</v>
      </c>
      <c r="AF12" t="s">
        <v>615</v>
      </c>
      <c r="AG12" t="s">
        <v>672</v>
      </c>
      <c r="AH12">
        <v>1</v>
      </c>
    </row>
    <row r="13" spans="1:35" x14ac:dyDescent="0.25">
      <c r="D13">
        <v>12</v>
      </c>
      <c r="E13" t="s">
        <v>610</v>
      </c>
      <c r="F13" t="s">
        <v>639</v>
      </c>
      <c r="G13">
        <v>1</v>
      </c>
      <c r="M13">
        <v>12</v>
      </c>
      <c r="N13" t="s">
        <v>608</v>
      </c>
      <c r="O13" t="s">
        <v>641</v>
      </c>
      <c r="P13">
        <v>1</v>
      </c>
      <c r="V13">
        <v>12</v>
      </c>
      <c r="AE13">
        <v>12</v>
      </c>
      <c r="AF13" t="s">
        <v>615</v>
      </c>
      <c r="AG13" t="s">
        <v>673</v>
      </c>
      <c r="AH13">
        <v>1</v>
      </c>
    </row>
    <row r="14" spans="1:35" x14ac:dyDescent="0.25">
      <c r="D14">
        <v>13</v>
      </c>
      <c r="E14" t="s">
        <v>608</v>
      </c>
      <c r="F14" t="s">
        <v>640</v>
      </c>
      <c r="G14">
        <v>1</v>
      </c>
      <c r="M14">
        <v>13</v>
      </c>
      <c r="N14" t="s">
        <v>608</v>
      </c>
      <c r="O14" t="s">
        <v>618</v>
      </c>
      <c r="P14">
        <v>1</v>
      </c>
      <c r="V14">
        <v>13</v>
      </c>
      <c r="AE14">
        <v>13</v>
      </c>
      <c r="AF14" t="s">
        <v>615</v>
      </c>
      <c r="AG14" t="s">
        <v>674</v>
      </c>
      <c r="AH14">
        <v>1</v>
      </c>
    </row>
    <row r="15" spans="1:35" x14ac:dyDescent="0.25">
      <c r="D15">
        <v>14</v>
      </c>
      <c r="E15" t="s">
        <v>608</v>
      </c>
      <c r="F15" t="s">
        <v>641</v>
      </c>
      <c r="G15">
        <v>1</v>
      </c>
      <c r="M15">
        <v>14</v>
      </c>
      <c r="N15" t="s">
        <v>610</v>
      </c>
      <c r="O15" t="s">
        <v>664</v>
      </c>
      <c r="P15">
        <v>1</v>
      </c>
      <c r="V15">
        <v>14</v>
      </c>
      <c r="AE15">
        <v>14</v>
      </c>
      <c r="AF15" t="s">
        <v>608</v>
      </c>
      <c r="AG15" t="s">
        <v>675</v>
      </c>
      <c r="AH15">
        <v>1</v>
      </c>
    </row>
    <row r="16" spans="1:35" x14ac:dyDescent="0.25">
      <c r="D16">
        <v>15</v>
      </c>
      <c r="E16" t="s">
        <v>610</v>
      </c>
      <c r="F16" t="s">
        <v>642</v>
      </c>
      <c r="G16">
        <v>1</v>
      </c>
      <c r="M16">
        <v>15</v>
      </c>
      <c r="N16" t="s">
        <v>608</v>
      </c>
      <c r="O16" t="s">
        <v>657</v>
      </c>
      <c r="P16">
        <v>1</v>
      </c>
      <c r="V16">
        <v>15</v>
      </c>
      <c r="AE16">
        <v>15</v>
      </c>
      <c r="AF16" t="s">
        <v>608</v>
      </c>
      <c r="AG16" t="s">
        <v>676</v>
      </c>
      <c r="AH16">
        <v>1</v>
      </c>
    </row>
    <row r="17" spans="4:35" x14ac:dyDescent="0.25">
      <c r="D17">
        <v>16</v>
      </c>
      <c r="E17" t="s">
        <v>615</v>
      </c>
      <c r="F17" t="s">
        <v>643</v>
      </c>
      <c r="G17">
        <v>1</v>
      </c>
      <c r="M17">
        <v>16</v>
      </c>
      <c r="N17" t="s">
        <v>615</v>
      </c>
      <c r="O17" t="s">
        <v>636</v>
      </c>
      <c r="P17">
        <v>1</v>
      </c>
      <c r="V17">
        <v>16</v>
      </c>
      <c r="AE17">
        <v>16</v>
      </c>
      <c r="AF17" t="s">
        <v>610</v>
      </c>
      <c r="AG17" t="s">
        <v>624</v>
      </c>
      <c r="AH17">
        <v>1</v>
      </c>
    </row>
    <row r="18" spans="4:35" x14ac:dyDescent="0.25">
      <c r="D18">
        <v>17</v>
      </c>
      <c r="E18" t="s">
        <v>615</v>
      </c>
      <c r="F18" t="s">
        <v>644</v>
      </c>
      <c r="G18">
        <v>1</v>
      </c>
      <c r="M18">
        <v>17</v>
      </c>
      <c r="N18" t="s">
        <v>610</v>
      </c>
      <c r="O18" t="s">
        <v>626</v>
      </c>
      <c r="P18">
        <v>1</v>
      </c>
      <c r="V18">
        <v>17</v>
      </c>
      <c r="AE18">
        <v>17</v>
      </c>
      <c r="AF18" t="s">
        <v>610</v>
      </c>
      <c r="AG18" t="s">
        <v>677</v>
      </c>
      <c r="AH18">
        <v>1</v>
      </c>
    </row>
    <row r="19" spans="4:35" x14ac:dyDescent="0.25">
      <c r="D19">
        <v>18</v>
      </c>
      <c r="E19" t="s">
        <v>615</v>
      </c>
      <c r="F19" t="s">
        <v>408</v>
      </c>
      <c r="G19">
        <v>1</v>
      </c>
      <c r="M19">
        <v>18</v>
      </c>
      <c r="N19" t="s">
        <v>615</v>
      </c>
      <c r="O19" t="s">
        <v>644</v>
      </c>
      <c r="P19">
        <v>1</v>
      </c>
      <c r="V19">
        <v>18</v>
      </c>
      <c r="AE19">
        <v>18</v>
      </c>
      <c r="AF19" t="s">
        <v>608</v>
      </c>
      <c r="AG19" t="s">
        <v>678</v>
      </c>
      <c r="AH19">
        <v>1</v>
      </c>
    </row>
    <row r="20" spans="4:35" x14ac:dyDescent="0.25">
      <c r="D20">
        <v>19</v>
      </c>
      <c r="E20" t="s">
        <v>610</v>
      </c>
      <c r="F20" t="s">
        <v>645</v>
      </c>
      <c r="G20">
        <v>1</v>
      </c>
      <c r="M20">
        <v>19</v>
      </c>
      <c r="N20" t="s">
        <v>608</v>
      </c>
      <c r="O20" t="s">
        <v>631</v>
      </c>
      <c r="P20">
        <v>1</v>
      </c>
      <c r="V20">
        <v>19</v>
      </c>
      <c r="AE20">
        <v>19</v>
      </c>
      <c r="AF20" t="s">
        <v>608</v>
      </c>
      <c r="AG20" t="s">
        <v>679</v>
      </c>
      <c r="AH20">
        <v>1</v>
      </c>
    </row>
    <row r="21" spans="4:35" x14ac:dyDescent="0.25">
      <c r="D21">
        <v>20</v>
      </c>
      <c r="E21" t="s">
        <v>615</v>
      </c>
      <c r="F21" t="s">
        <v>646</v>
      </c>
      <c r="G21">
        <v>1</v>
      </c>
      <c r="M21">
        <v>20</v>
      </c>
      <c r="N21" t="s">
        <v>608</v>
      </c>
      <c r="O21" t="s">
        <v>663</v>
      </c>
      <c r="P21">
        <v>1</v>
      </c>
      <c r="V21">
        <v>20</v>
      </c>
      <c r="AE21">
        <v>20</v>
      </c>
      <c r="AF21" t="s">
        <v>608</v>
      </c>
      <c r="AG21" t="s">
        <v>680</v>
      </c>
      <c r="AH21">
        <v>1</v>
      </c>
    </row>
    <row r="22" spans="4:35" x14ac:dyDescent="0.25">
      <c r="D22">
        <v>21</v>
      </c>
      <c r="E22" t="s">
        <v>608</v>
      </c>
      <c r="F22" t="s">
        <v>647</v>
      </c>
      <c r="G22">
        <v>1</v>
      </c>
      <c r="M22">
        <v>21</v>
      </c>
      <c r="N22" t="s">
        <v>608</v>
      </c>
      <c r="O22" t="s">
        <v>661</v>
      </c>
      <c r="P22">
        <v>1</v>
      </c>
      <c r="V22">
        <v>21</v>
      </c>
      <c r="AE22">
        <v>21</v>
      </c>
      <c r="AF22" t="s">
        <v>608</v>
      </c>
      <c r="AG22" t="s">
        <v>681</v>
      </c>
      <c r="AH22">
        <v>1</v>
      </c>
    </row>
    <row r="23" spans="4:35" x14ac:dyDescent="0.25">
      <c r="D23">
        <v>22</v>
      </c>
      <c r="E23" t="s">
        <v>608</v>
      </c>
      <c r="F23" t="s">
        <v>648</v>
      </c>
      <c r="G23">
        <v>0</v>
      </c>
      <c r="H23" t="s">
        <v>706</v>
      </c>
      <c r="M23">
        <v>22</v>
      </c>
      <c r="N23" t="s">
        <v>615</v>
      </c>
      <c r="O23" t="s">
        <v>627</v>
      </c>
      <c r="P23">
        <v>1</v>
      </c>
      <c r="V23">
        <v>22</v>
      </c>
      <c r="AE23">
        <v>22</v>
      </c>
      <c r="AF23" t="s">
        <v>608</v>
      </c>
      <c r="AG23" t="s">
        <v>609</v>
      </c>
      <c r="AH23">
        <v>0</v>
      </c>
      <c r="AI23" t="s">
        <v>702</v>
      </c>
    </row>
    <row r="24" spans="4:35" x14ac:dyDescent="0.25">
      <c r="D24">
        <v>23</v>
      </c>
      <c r="E24" t="s">
        <v>615</v>
      </c>
      <c r="F24" t="s">
        <v>649</v>
      </c>
      <c r="G24">
        <v>1</v>
      </c>
      <c r="M24">
        <v>23</v>
      </c>
      <c r="N24" t="s">
        <v>615</v>
      </c>
      <c r="O24" t="s">
        <v>635</v>
      </c>
      <c r="P24">
        <v>1</v>
      </c>
      <c r="V24">
        <v>23</v>
      </c>
      <c r="AE24">
        <v>23</v>
      </c>
      <c r="AF24" t="s">
        <v>610</v>
      </c>
      <c r="AG24" t="s">
        <v>682</v>
      </c>
      <c r="AH24">
        <v>0</v>
      </c>
      <c r="AI24" t="s">
        <v>703</v>
      </c>
    </row>
    <row r="25" spans="4:35" x14ac:dyDescent="0.25">
      <c r="D25">
        <v>24</v>
      </c>
      <c r="E25" t="s">
        <v>610</v>
      </c>
      <c r="F25" t="s">
        <v>621</v>
      </c>
      <c r="G25">
        <v>1</v>
      </c>
      <c r="M25">
        <v>24</v>
      </c>
      <c r="N25" t="s">
        <v>615</v>
      </c>
      <c r="O25" t="s">
        <v>643</v>
      </c>
      <c r="P25">
        <v>1</v>
      </c>
      <c r="V25">
        <v>24</v>
      </c>
      <c r="AE25">
        <v>24</v>
      </c>
      <c r="AF25" t="s">
        <v>610</v>
      </c>
      <c r="AG25" t="s">
        <v>683</v>
      </c>
      <c r="AH25">
        <v>0</v>
      </c>
      <c r="AI25" t="s">
        <v>704</v>
      </c>
    </row>
    <row r="26" spans="4:35" x14ac:dyDescent="0.25">
      <c r="D26">
        <v>25</v>
      </c>
      <c r="E26" t="s">
        <v>610</v>
      </c>
      <c r="F26" t="s">
        <v>650</v>
      </c>
      <c r="G26">
        <v>1</v>
      </c>
      <c r="M26">
        <v>25</v>
      </c>
      <c r="N26" t="s">
        <v>608</v>
      </c>
      <c r="O26" t="s">
        <v>659</v>
      </c>
      <c r="P26">
        <v>0</v>
      </c>
      <c r="Q26" t="s">
        <v>707</v>
      </c>
      <c r="V26">
        <v>25</v>
      </c>
      <c r="AE26">
        <v>25</v>
      </c>
      <c r="AF26" t="s">
        <v>610</v>
      </c>
      <c r="AG26" t="s">
        <v>611</v>
      </c>
      <c r="AH26">
        <v>1</v>
      </c>
    </row>
    <row r="27" spans="4:35" x14ac:dyDescent="0.25">
      <c r="D27">
        <v>26</v>
      </c>
      <c r="E27" t="s">
        <v>608</v>
      </c>
      <c r="F27" t="s">
        <v>618</v>
      </c>
      <c r="G27">
        <v>1</v>
      </c>
      <c r="M27">
        <v>26</v>
      </c>
      <c r="N27" t="s">
        <v>610</v>
      </c>
      <c r="O27" t="s">
        <v>645</v>
      </c>
      <c r="P27">
        <v>1</v>
      </c>
      <c r="V27">
        <v>26</v>
      </c>
      <c r="AE27">
        <v>26</v>
      </c>
      <c r="AF27" t="s">
        <v>608</v>
      </c>
      <c r="AG27" t="s">
        <v>684</v>
      </c>
      <c r="AH27">
        <v>1</v>
      </c>
    </row>
    <row r="28" spans="4:35" x14ac:dyDescent="0.25">
      <c r="D28">
        <v>27</v>
      </c>
      <c r="E28" t="s">
        <v>615</v>
      </c>
      <c r="F28" t="s">
        <v>651</v>
      </c>
      <c r="G28">
        <v>1</v>
      </c>
      <c r="M28">
        <v>27</v>
      </c>
      <c r="N28" t="s">
        <v>615</v>
      </c>
      <c r="O28" s="10" t="s">
        <v>632</v>
      </c>
      <c r="P28">
        <v>1</v>
      </c>
      <c r="V28">
        <v>27</v>
      </c>
      <c r="AE28">
        <v>27</v>
      </c>
      <c r="AF28" t="s">
        <v>615</v>
      </c>
      <c r="AG28" t="s">
        <v>685</v>
      </c>
      <c r="AH28">
        <v>1</v>
      </c>
    </row>
    <row r="29" spans="4:35" x14ac:dyDescent="0.25">
      <c r="D29">
        <v>28</v>
      </c>
      <c r="E29" t="s">
        <v>615</v>
      </c>
      <c r="F29" t="s">
        <v>627</v>
      </c>
      <c r="G29">
        <v>1</v>
      </c>
      <c r="M29">
        <v>28</v>
      </c>
      <c r="N29" t="s">
        <v>610</v>
      </c>
      <c r="O29" t="s">
        <v>630</v>
      </c>
      <c r="P29">
        <v>1</v>
      </c>
      <c r="V29">
        <v>28</v>
      </c>
      <c r="AE29">
        <v>28</v>
      </c>
      <c r="AF29" t="s">
        <v>615</v>
      </c>
      <c r="AG29" t="s">
        <v>686</v>
      </c>
      <c r="AH29">
        <v>1</v>
      </c>
    </row>
    <row r="30" spans="4:35" x14ac:dyDescent="0.25">
      <c r="D30">
        <v>29</v>
      </c>
      <c r="E30" t="s">
        <v>608</v>
      </c>
      <c r="F30" t="s">
        <v>652</v>
      </c>
      <c r="G30">
        <v>1</v>
      </c>
      <c r="M30">
        <v>29</v>
      </c>
      <c r="N30" t="s">
        <v>610</v>
      </c>
      <c r="O30" t="s">
        <v>637</v>
      </c>
      <c r="P30">
        <v>1</v>
      </c>
      <c r="V30">
        <v>29</v>
      </c>
      <c r="AE30">
        <v>29</v>
      </c>
      <c r="AF30" t="s">
        <v>615</v>
      </c>
      <c r="AG30" t="s">
        <v>687</v>
      </c>
      <c r="AH30">
        <v>1</v>
      </c>
    </row>
    <row r="31" spans="4:35" x14ac:dyDescent="0.25">
      <c r="D31">
        <v>30</v>
      </c>
      <c r="E31" t="s">
        <v>610</v>
      </c>
      <c r="F31" t="s">
        <v>653</v>
      </c>
      <c r="G31">
        <v>1</v>
      </c>
      <c r="M31">
        <v>30</v>
      </c>
      <c r="N31" t="s">
        <v>610</v>
      </c>
      <c r="O31" t="s">
        <v>660</v>
      </c>
      <c r="P31">
        <v>1</v>
      </c>
      <c r="V31">
        <v>30</v>
      </c>
      <c r="AE31">
        <v>30</v>
      </c>
      <c r="AF31" t="s">
        <v>610</v>
      </c>
      <c r="AG31" t="s">
        <v>688</v>
      </c>
      <c r="AH31">
        <v>1</v>
      </c>
    </row>
    <row r="32" spans="4:35" x14ac:dyDescent="0.25">
      <c r="D32">
        <v>31</v>
      </c>
      <c r="E32" t="s">
        <v>615</v>
      </c>
      <c r="F32" t="s">
        <v>654</v>
      </c>
      <c r="G32">
        <v>1</v>
      </c>
      <c r="M32">
        <v>31</v>
      </c>
      <c r="N32" t="s">
        <v>608</v>
      </c>
      <c r="O32" t="s">
        <v>647</v>
      </c>
      <c r="P32">
        <v>0</v>
      </c>
      <c r="Q32" s="27" t="s">
        <v>709</v>
      </c>
      <c r="V32">
        <v>31</v>
      </c>
      <c r="AE32">
        <v>31</v>
      </c>
      <c r="AF32" t="s">
        <v>610</v>
      </c>
      <c r="AG32" t="s">
        <v>689</v>
      </c>
      <c r="AH32">
        <v>1</v>
      </c>
    </row>
    <row r="33" spans="4:35" x14ac:dyDescent="0.25">
      <c r="D33">
        <v>32</v>
      </c>
      <c r="E33" t="s">
        <v>615</v>
      </c>
      <c r="F33" t="s">
        <v>424</v>
      </c>
      <c r="G33">
        <v>1</v>
      </c>
      <c r="M33">
        <v>32</v>
      </c>
      <c r="N33" t="s">
        <v>610</v>
      </c>
      <c r="O33" t="s">
        <v>642</v>
      </c>
      <c r="P33">
        <v>1</v>
      </c>
      <c r="V33">
        <v>32</v>
      </c>
      <c r="AE33">
        <v>32</v>
      </c>
      <c r="AF33" t="s">
        <v>615</v>
      </c>
      <c r="AG33" t="s">
        <v>690</v>
      </c>
      <c r="AH33">
        <v>1</v>
      </c>
    </row>
    <row r="34" spans="4:35" x14ac:dyDescent="0.25">
      <c r="D34">
        <v>33</v>
      </c>
      <c r="E34" t="s">
        <v>615</v>
      </c>
      <c r="F34" t="s">
        <v>655</v>
      </c>
      <c r="G34">
        <v>1</v>
      </c>
      <c r="M34">
        <v>33</v>
      </c>
      <c r="N34" t="s">
        <v>610</v>
      </c>
      <c r="O34" t="s">
        <v>621</v>
      </c>
      <c r="P34">
        <v>1</v>
      </c>
      <c r="V34">
        <v>33</v>
      </c>
      <c r="AE34">
        <v>33</v>
      </c>
      <c r="AF34" t="s">
        <v>610</v>
      </c>
      <c r="AG34" t="s">
        <v>620</v>
      </c>
      <c r="AH34">
        <v>1</v>
      </c>
    </row>
    <row r="35" spans="4:35" x14ac:dyDescent="0.25">
      <c r="D35">
        <v>34</v>
      </c>
      <c r="E35" t="s">
        <v>610</v>
      </c>
      <c r="F35" t="s">
        <v>656</v>
      </c>
      <c r="G35">
        <v>1</v>
      </c>
      <c r="M35">
        <v>34</v>
      </c>
      <c r="N35" t="s">
        <v>608</v>
      </c>
      <c r="O35" t="s">
        <v>662</v>
      </c>
      <c r="P35">
        <v>1</v>
      </c>
      <c r="V35">
        <v>34</v>
      </c>
      <c r="AE35">
        <v>34</v>
      </c>
      <c r="AF35" t="s">
        <v>608</v>
      </c>
      <c r="AG35" t="s">
        <v>691</v>
      </c>
      <c r="AH35">
        <v>1</v>
      </c>
    </row>
    <row r="36" spans="4:35" x14ac:dyDescent="0.25">
      <c r="D36">
        <v>35</v>
      </c>
      <c r="E36" t="s">
        <v>608</v>
      </c>
      <c r="F36" t="s">
        <v>613</v>
      </c>
      <c r="G36">
        <v>1</v>
      </c>
      <c r="M36">
        <v>35</v>
      </c>
      <c r="N36" t="s">
        <v>615</v>
      </c>
      <c r="O36" t="s">
        <v>633</v>
      </c>
      <c r="P36">
        <v>1</v>
      </c>
      <c r="V36">
        <v>35</v>
      </c>
      <c r="AE36">
        <v>35</v>
      </c>
      <c r="AF36" t="s">
        <v>615</v>
      </c>
      <c r="AG36" t="s">
        <v>692</v>
      </c>
      <c r="AH36">
        <v>1</v>
      </c>
    </row>
    <row r="37" spans="4:35" x14ac:dyDescent="0.25">
      <c r="D37">
        <v>36</v>
      </c>
      <c r="E37" t="s">
        <v>615</v>
      </c>
      <c r="F37" t="s">
        <v>622</v>
      </c>
      <c r="G37">
        <v>1</v>
      </c>
      <c r="M37">
        <v>36</v>
      </c>
      <c r="N37" t="s">
        <v>615</v>
      </c>
      <c r="O37" t="s">
        <v>646</v>
      </c>
      <c r="P37">
        <v>1</v>
      </c>
      <c r="V37">
        <v>36</v>
      </c>
      <c r="AE37">
        <v>36</v>
      </c>
      <c r="AF37" t="s">
        <v>610</v>
      </c>
      <c r="AG37" t="s">
        <v>623</v>
      </c>
      <c r="AH37">
        <v>1</v>
      </c>
    </row>
    <row r="38" spans="4:35" x14ac:dyDescent="0.25">
      <c r="D38">
        <v>37</v>
      </c>
      <c r="E38" t="s">
        <v>610</v>
      </c>
      <c r="F38" t="s">
        <v>626</v>
      </c>
      <c r="G38">
        <v>1</v>
      </c>
      <c r="M38">
        <v>37</v>
      </c>
      <c r="N38" t="s">
        <v>608</v>
      </c>
      <c r="O38" t="s">
        <v>652</v>
      </c>
      <c r="P38">
        <v>1</v>
      </c>
      <c r="V38">
        <v>37</v>
      </c>
      <c r="AE38">
        <v>37</v>
      </c>
      <c r="AF38" t="s">
        <v>610</v>
      </c>
      <c r="AG38" t="s">
        <v>693</v>
      </c>
      <c r="AH38">
        <v>1</v>
      </c>
    </row>
    <row r="39" spans="4:35" x14ac:dyDescent="0.25">
      <c r="D39">
        <v>38</v>
      </c>
      <c r="E39" t="s">
        <v>608</v>
      </c>
      <c r="F39" t="s">
        <v>657</v>
      </c>
      <c r="G39">
        <v>1</v>
      </c>
      <c r="M39">
        <v>38</v>
      </c>
      <c r="N39" t="s">
        <v>610</v>
      </c>
      <c r="O39" t="s">
        <v>639</v>
      </c>
      <c r="P39">
        <v>1</v>
      </c>
      <c r="V39">
        <v>38</v>
      </c>
      <c r="AE39">
        <v>38</v>
      </c>
      <c r="AF39" t="s">
        <v>610</v>
      </c>
      <c r="AG39" t="s">
        <v>694</v>
      </c>
      <c r="AH39">
        <v>1</v>
      </c>
    </row>
    <row r="40" spans="4:35" x14ac:dyDescent="0.25">
      <c r="D40">
        <v>39</v>
      </c>
      <c r="E40" t="s">
        <v>608</v>
      </c>
      <c r="F40" t="s">
        <v>658</v>
      </c>
      <c r="G40">
        <v>1</v>
      </c>
      <c r="M40">
        <v>39</v>
      </c>
      <c r="N40" t="s">
        <v>608</v>
      </c>
      <c r="O40" t="s">
        <v>629</v>
      </c>
      <c r="P40">
        <v>1</v>
      </c>
      <c r="V40">
        <v>39</v>
      </c>
      <c r="AE40">
        <v>39</v>
      </c>
      <c r="AF40" t="s">
        <v>608</v>
      </c>
      <c r="AG40" t="s">
        <v>695</v>
      </c>
      <c r="AH40">
        <v>1</v>
      </c>
    </row>
    <row r="41" spans="4:35" x14ac:dyDescent="0.25">
      <c r="D41">
        <v>40</v>
      </c>
      <c r="E41" t="s">
        <v>608</v>
      </c>
      <c r="F41" t="s">
        <v>659</v>
      </c>
      <c r="G41">
        <v>0</v>
      </c>
      <c r="H41" t="s">
        <v>707</v>
      </c>
      <c r="M41">
        <v>40</v>
      </c>
      <c r="N41" t="s">
        <v>615</v>
      </c>
      <c r="O41" t="s">
        <v>654</v>
      </c>
      <c r="P41">
        <v>1</v>
      </c>
      <c r="V41">
        <v>40</v>
      </c>
      <c r="AE41">
        <v>40</v>
      </c>
      <c r="AF41" t="s">
        <v>610</v>
      </c>
      <c r="AG41" t="s">
        <v>696</v>
      </c>
      <c r="AH41">
        <v>1</v>
      </c>
    </row>
    <row r="42" spans="4:35" x14ac:dyDescent="0.25">
      <c r="D42">
        <v>41</v>
      </c>
      <c r="E42" t="s">
        <v>610</v>
      </c>
      <c r="F42" t="s">
        <v>660</v>
      </c>
      <c r="G42">
        <v>1</v>
      </c>
      <c r="M42">
        <v>41</v>
      </c>
      <c r="N42" t="s">
        <v>608</v>
      </c>
      <c r="O42" t="s">
        <v>613</v>
      </c>
      <c r="P42">
        <v>1</v>
      </c>
      <c r="V42">
        <v>41</v>
      </c>
      <c r="AE42">
        <v>41</v>
      </c>
      <c r="AF42" t="s">
        <v>615</v>
      </c>
      <c r="AG42" t="s">
        <v>697</v>
      </c>
      <c r="AH42">
        <v>1</v>
      </c>
    </row>
    <row r="43" spans="4:35" x14ac:dyDescent="0.25">
      <c r="D43">
        <v>42</v>
      </c>
      <c r="E43" t="s">
        <v>608</v>
      </c>
      <c r="F43" t="s">
        <v>661</v>
      </c>
      <c r="G43">
        <v>1</v>
      </c>
      <c r="M43">
        <v>42</v>
      </c>
      <c r="N43" t="s">
        <v>615</v>
      </c>
      <c r="O43" t="s">
        <v>424</v>
      </c>
      <c r="P43">
        <v>1</v>
      </c>
      <c r="V43">
        <v>42</v>
      </c>
      <c r="AE43">
        <v>42</v>
      </c>
      <c r="AF43" t="s">
        <v>608</v>
      </c>
      <c r="AG43" t="s">
        <v>698</v>
      </c>
      <c r="AH43">
        <v>1</v>
      </c>
    </row>
    <row r="44" spans="4:35" x14ac:dyDescent="0.25">
      <c r="D44">
        <v>43</v>
      </c>
      <c r="E44" t="s">
        <v>608</v>
      </c>
      <c r="F44" t="s">
        <v>662</v>
      </c>
      <c r="G44">
        <v>1</v>
      </c>
      <c r="M44">
        <v>43</v>
      </c>
      <c r="N44" t="s">
        <v>608</v>
      </c>
      <c r="O44" t="s">
        <v>648</v>
      </c>
      <c r="P44">
        <v>0</v>
      </c>
      <c r="Q44" t="s">
        <v>706</v>
      </c>
      <c r="V44">
        <v>43</v>
      </c>
      <c r="AE44">
        <v>43</v>
      </c>
      <c r="AF44" t="s">
        <v>608</v>
      </c>
      <c r="AG44" t="s">
        <v>699</v>
      </c>
      <c r="AH44">
        <v>1</v>
      </c>
    </row>
    <row r="45" spans="4:35" x14ac:dyDescent="0.25">
      <c r="D45">
        <v>44</v>
      </c>
      <c r="E45" t="s">
        <v>608</v>
      </c>
      <c r="F45" t="s">
        <v>663</v>
      </c>
      <c r="G45">
        <v>1</v>
      </c>
      <c r="M45">
        <v>44</v>
      </c>
      <c r="N45" t="s">
        <v>615</v>
      </c>
      <c r="O45" t="s">
        <v>655</v>
      </c>
      <c r="P45">
        <v>1</v>
      </c>
      <c r="V45">
        <v>44</v>
      </c>
      <c r="AE45">
        <v>44</v>
      </c>
      <c r="AF45" t="s">
        <v>610</v>
      </c>
      <c r="AG45" t="s">
        <v>700</v>
      </c>
      <c r="AH45">
        <v>0</v>
      </c>
      <c r="AI45" t="s">
        <v>705</v>
      </c>
    </row>
    <row r="46" spans="4:35" x14ac:dyDescent="0.25">
      <c r="D46">
        <v>45</v>
      </c>
      <c r="E46" t="s">
        <v>610</v>
      </c>
      <c r="F46" t="s">
        <v>664</v>
      </c>
      <c r="G46">
        <v>1</v>
      </c>
      <c r="M46">
        <v>45</v>
      </c>
      <c r="N46" t="s">
        <v>610</v>
      </c>
      <c r="O46" t="s">
        <v>650</v>
      </c>
      <c r="P46">
        <v>1</v>
      </c>
      <c r="V46">
        <v>45</v>
      </c>
      <c r="AE46">
        <v>45</v>
      </c>
      <c r="AF46" t="s">
        <v>610</v>
      </c>
      <c r="AG46" t="s">
        <v>701</v>
      </c>
      <c r="AH46">
        <v>1</v>
      </c>
    </row>
    <row r="48" spans="4:35" x14ac:dyDescent="0.25">
      <c r="G48" s="10">
        <f>SUM(G2:G47)</f>
        <v>43</v>
      </c>
      <c r="P48" s="7">
        <f>SUM(P2:P47)</f>
        <v>42</v>
      </c>
      <c r="AH48" s="26">
        <f>SUM(AH2:AH47)</f>
        <v>41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topLeftCell="U1" workbookViewId="0">
      <selection activeCell="B18" sqref="B18:F19"/>
    </sheetView>
  </sheetViews>
  <sheetFormatPr baseColWidth="10" defaultRowHeight="15" x14ac:dyDescent="0.25"/>
  <cols>
    <col min="1" max="1" width="28.85546875" customWidth="1"/>
    <col min="12" max="12" width="20.140625" customWidth="1"/>
    <col min="16" max="16" width="18.85546875" customWidth="1"/>
    <col min="17" max="17" width="17.140625" customWidth="1"/>
    <col min="22" max="22" width="20.85546875" customWidth="1"/>
    <col min="27" max="27" width="21.5703125" customWidth="1"/>
    <col min="36" max="36" width="14.42578125" customWidth="1"/>
    <col min="37" max="37" width="17" customWidth="1"/>
  </cols>
  <sheetData>
    <row r="1" spans="1:40" ht="15.75" x14ac:dyDescent="0.25">
      <c r="A1" s="1" t="s">
        <v>8</v>
      </c>
      <c r="B1" s="2" t="s">
        <v>0</v>
      </c>
      <c r="C1" s="2" t="s">
        <v>1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/>
      <c r="L1" s="1" t="s">
        <v>8</v>
      </c>
      <c r="M1" s="2" t="s">
        <v>0</v>
      </c>
      <c r="N1" s="2" t="s">
        <v>1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V1" s="1" t="s">
        <v>8</v>
      </c>
      <c r="W1" s="2" t="s">
        <v>0</v>
      </c>
      <c r="X1" s="2" t="s">
        <v>1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F1" s="1" t="s">
        <v>8</v>
      </c>
      <c r="AG1" s="2" t="s">
        <v>0</v>
      </c>
      <c r="AH1" s="2" t="s">
        <v>1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</row>
    <row r="2" spans="1:40" ht="15.75" x14ac:dyDescent="0.25">
      <c r="A2" s="3" t="s">
        <v>4</v>
      </c>
      <c r="B2">
        <v>1</v>
      </c>
      <c r="C2">
        <v>1</v>
      </c>
      <c r="D2">
        <v>1</v>
      </c>
      <c r="E2" t="s">
        <v>32</v>
      </c>
      <c r="F2" t="s">
        <v>33</v>
      </c>
      <c r="G2">
        <v>0</v>
      </c>
      <c r="H2" s="10">
        <v>0</v>
      </c>
      <c r="I2" s="10">
        <v>9177</v>
      </c>
      <c r="L2" s="2" t="s">
        <v>56</v>
      </c>
      <c r="M2">
        <v>1</v>
      </c>
      <c r="N2">
        <v>2</v>
      </c>
      <c r="O2">
        <v>1</v>
      </c>
      <c r="P2" t="s">
        <v>38</v>
      </c>
      <c r="Q2" t="s">
        <v>44</v>
      </c>
      <c r="S2">
        <v>0</v>
      </c>
      <c r="T2">
        <v>11772</v>
      </c>
      <c r="V2" s="2" t="s">
        <v>57</v>
      </c>
      <c r="W2">
        <v>2</v>
      </c>
      <c r="X2">
        <v>3</v>
      </c>
      <c r="Y2">
        <v>1</v>
      </c>
      <c r="Z2" t="s">
        <v>35</v>
      </c>
      <c r="AA2" t="s">
        <v>60</v>
      </c>
      <c r="AC2">
        <v>0</v>
      </c>
      <c r="AD2">
        <v>8589</v>
      </c>
      <c r="AF2" s="2" t="s">
        <v>593</v>
      </c>
      <c r="AG2">
        <v>2</v>
      </c>
      <c r="AH2">
        <v>4</v>
      </c>
      <c r="AI2">
        <v>1</v>
      </c>
      <c r="AJ2" t="s">
        <v>38</v>
      </c>
      <c r="AK2" t="s">
        <v>64</v>
      </c>
      <c r="AM2">
        <v>1</v>
      </c>
      <c r="AN2">
        <v>5983</v>
      </c>
    </row>
    <row r="3" spans="1:40" ht="15.75" x14ac:dyDescent="0.25">
      <c r="A3" s="1" t="s">
        <v>34</v>
      </c>
      <c r="D3">
        <v>2</v>
      </c>
      <c r="E3" t="s">
        <v>35</v>
      </c>
      <c r="F3" t="s">
        <v>36</v>
      </c>
      <c r="G3">
        <v>0</v>
      </c>
      <c r="H3">
        <v>1</v>
      </c>
      <c r="I3">
        <v>9559</v>
      </c>
      <c r="L3" s="2" t="s">
        <v>34</v>
      </c>
      <c r="O3">
        <v>2</v>
      </c>
      <c r="P3" t="s">
        <v>41</v>
      </c>
      <c r="Q3" t="s">
        <v>50</v>
      </c>
      <c r="S3">
        <v>0</v>
      </c>
      <c r="T3">
        <v>0</v>
      </c>
      <c r="V3" s="2" t="s">
        <v>34</v>
      </c>
      <c r="Y3">
        <v>2</v>
      </c>
      <c r="Z3" t="s">
        <v>38</v>
      </c>
      <c r="AA3" t="s">
        <v>61</v>
      </c>
      <c r="AC3">
        <v>0</v>
      </c>
      <c r="AD3">
        <v>0</v>
      </c>
      <c r="AF3" s="2" t="s">
        <v>34</v>
      </c>
      <c r="AI3">
        <v>2</v>
      </c>
      <c r="AJ3" t="s">
        <v>35</v>
      </c>
      <c r="AK3" t="s">
        <v>73</v>
      </c>
      <c r="AM3">
        <v>0</v>
      </c>
      <c r="AN3">
        <v>7687</v>
      </c>
    </row>
    <row r="4" spans="1:40" ht="15.75" x14ac:dyDescent="0.25">
      <c r="A4" s="1" t="s">
        <v>37</v>
      </c>
      <c r="D4">
        <v>3</v>
      </c>
      <c r="E4" t="s">
        <v>38</v>
      </c>
      <c r="F4" t="s">
        <v>39</v>
      </c>
      <c r="G4">
        <v>0</v>
      </c>
      <c r="H4">
        <v>1</v>
      </c>
      <c r="I4">
        <v>12864</v>
      </c>
      <c r="L4" s="9">
        <v>43444</v>
      </c>
      <c r="O4">
        <v>3</v>
      </c>
      <c r="P4" t="s">
        <v>35</v>
      </c>
      <c r="Q4" t="s">
        <v>49</v>
      </c>
      <c r="S4">
        <v>0</v>
      </c>
      <c r="T4">
        <v>13141</v>
      </c>
      <c r="V4" s="9">
        <v>43454</v>
      </c>
      <c r="Y4">
        <v>3</v>
      </c>
      <c r="Z4" t="s">
        <v>41</v>
      </c>
      <c r="AA4" t="s">
        <v>62</v>
      </c>
      <c r="AC4">
        <v>0</v>
      </c>
      <c r="AD4">
        <v>0</v>
      </c>
      <c r="AF4" s="9">
        <v>43563</v>
      </c>
      <c r="AI4">
        <v>3</v>
      </c>
      <c r="AJ4" t="s">
        <v>38</v>
      </c>
      <c r="AK4" t="s">
        <v>71</v>
      </c>
      <c r="AM4">
        <v>0</v>
      </c>
      <c r="AN4">
        <v>6330</v>
      </c>
    </row>
    <row r="5" spans="1:40" ht="15.75" x14ac:dyDescent="0.25">
      <c r="A5" s="1" t="s">
        <v>40</v>
      </c>
      <c r="D5">
        <v>4</v>
      </c>
      <c r="E5" t="s">
        <v>41</v>
      </c>
      <c r="F5" t="s">
        <v>42</v>
      </c>
      <c r="G5">
        <v>0</v>
      </c>
      <c r="H5" s="10">
        <v>0</v>
      </c>
      <c r="I5" s="10">
        <v>0</v>
      </c>
      <c r="L5" s="1" t="s">
        <v>58</v>
      </c>
      <c r="O5">
        <v>4</v>
      </c>
      <c r="P5" t="s">
        <v>38</v>
      </c>
      <c r="Q5" t="s">
        <v>39</v>
      </c>
      <c r="S5">
        <v>0</v>
      </c>
      <c r="T5">
        <v>0</v>
      </c>
      <c r="V5" s="1" t="s">
        <v>74</v>
      </c>
      <c r="Y5">
        <v>4</v>
      </c>
      <c r="Z5" t="s">
        <v>51</v>
      </c>
      <c r="AA5" t="s">
        <v>63</v>
      </c>
      <c r="AC5">
        <v>0</v>
      </c>
      <c r="AD5">
        <v>0</v>
      </c>
      <c r="AF5" s="1" t="s">
        <v>74</v>
      </c>
      <c r="AI5">
        <v>4</v>
      </c>
      <c r="AJ5" t="s">
        <v>35</v>
      </c>
      <c r="AK5" t="s">
        <v>70</v>
      </c>
      <c r="AM5">
        <v>1</v>
      </c>
      <c r="AN5">
        <v>8447</v>
      </c>
    </row>
    <row r="6" spans="1:40" ht="15.75" x14ac:dyDescent="0.25">
      <c r="A6" s="1" t="s">
        <v>43</v>
      </c>
      <c r="D6">
        <v>5</v>
      </c>
      <c r="E6" t="s">
        <v>38</v>
      </c>
      <c r="F6" t="s">
        <v>44</v>
      </c>
      <c r="G6">
        <v>0</v>
      </c>
      <c r="H6" s="10">
        <v>0</v>
      </c>
      <c r="I6" s="10">
        <v>0</v>
      </c>
      <c r="L6" s="1" t="s">
        <v>43</v>
      </c>
      <c r="O6">
        <v>5</v>
      </c>
      <c r="P6" t="s">
        <v>32</v>
      </c>
      <c r="Q6" t="s">
        <v>33</v>
      </c>
      <c r="S6">
        <v>0</v>
      </c>
      <c r="T6">
        <v>9465</v>
      </c>
      <c r="V6" s="1" t="s">
        <v>43</v>
      </c>
      <c r="Y6">
        <v>5</v>
      </c>
      <c r="Z6" t="s">
        <v>38</v>
      </c>
      <c r="AA6" t="s">
        <v>64</v>
      </c>
      <c r="AC6">
        <v>0</v>
      </c>
      <c r="AD6">
        <v>0</v>
      </c>
      <c r="AF6" s="1" t="s">
        <v>43</v>
      </c>
      <c r="AI6">
        <v>5</v>
      </c>
      <c r="AJ6" t="s">
        <v>51</v>
      </c>
      <c r="AK6" t="s">
        <v>63</v>
      </c>
      <c r="AM6">
        <v>1</v>
      </c>
      <c r="AN6">
        <v>20170</v>
      </c>
    </row>
    <row r="7" spans="1:40" x14ac:dyDescent="0.25">
      <c r="D7">
        <v>6</v>
      </c>
      <c r="E7" t="s">
        <v>38</v>
      </c>
      <c r="F7" t="s">
        <v>45</v>
      </c>
      <c r="G7">
        <v>0</v>
      </c>
      <c r="H7" s="10">
        <v>0</v>
      </c>
      <c r="I7" s="10">
        <v>15826</v>
      </c>
      <c r="O7">
        <v>6</v>
      </c>
      <c r="P7" t="s">
        <v>35</v>
      </c>
      <c r="Q7" t="s">
        <v>53</v>
      </c>
      <c r="S7">
        <v>1</v>
      </c>
      <c r="T7">
        <v>21822</v>
      </c>
      <c r="Y7">
        <v>6</v>
      </c>
      <c r="Z7" t="s">
        <v>41</v>
      </c>
      <c r="AA7" t="s">
        <v>65</v>
      </c>
      <c r="AC7">
        <v>1</v>
      </c>
      <c r="AD7">
        <v>5455</v>
      </c>
      <c r="AI7">
        <v>6</v>
      </c>
      <c r="AJ7" t="s">
        <v>41</v>
      </c>
      <c r="AK7" t="s">
        <v>66</v>
      </c>
      <c r="AM7">
        <v>1</v>
      </c>
      <c r="AN7">
        <v>16903</v>
      </c>
    </row>
    <row r="8" spans="1:40" x14ac:dyDescent="0.25">
      <c r="D8">
        <v>7</v>
      </c>
      <c r="E8" t="s">
        <v>38</v>
      </c>
      <c r="F8" t="s">
        <v>46</v>
      </c>
      <c r="G8">
        <v>0</v>
      </c>
      <c r="H8" s="10">
        <v>0</v>
      </c>
      <c r="I8" s="10">
        <v>21148</v>
      </c>
      <c r="O8">
        <v>7</v>
      </c>
      <c r="P8" t="s">
        <v>38</v>
      </c>
      <c r="Q8" t="s">
        <v>45</v>
      </c>
      <c r="S8">
        <v>0</v>
      </c>
      <c r="T8">
        <v>0</v>
      </c>
      <c r="Y8">
        <v>7</v>
      </c>
      <c r="Z8" t="s">
        <v>41</v>
      </c>
      <c r="AA8" t="s">
        <v>66</v>
      </c>
      <c r="AC8">
        <v>0</v>
      </c>
      <c r="AD8">
        <v>10673</v>
      </c>
      <c r="AI8">
        <v>7</v>
      </c>
      <c r="AJ8" t="s">
        <v>35</v>
      </c>
      <c r="AK8" t="s">
        <v>60</v>
      </c>
      <c r="AM8">
        <v>0</v>
      </c>
      <c r="AN8">
        <v>5238</v>
      </c>
    </row>
    <row r="9" spans="1:40" x14ac:dyDescent="0.25">
      <c r="D9">
        <v>8</v>
      </c>
      <c r="E9" t="s">
        <v>47</v>
      </c>
      <c r="F9" t="s">
        <v>48</v>
      </c>
      <c r="G9">
        <v>0</v>
      </c>
      <c r="H9" s="10">
        <v>0</v>
      </c>
      <c r="I9" s="10">
        <v>12010</v>
      </c>
      <c r="O9">
        <v>8</v>
      </c>
      <c r="P9" t="s">
        <v>35</v>
      </c>
      <c r="Q9" t="s">
        <v>36</v>
      </c>
      <c r="S9">
        <v>1</v>
      </c>
      <c r="T9">
        <v>12298</v>
      </c>
      <c r="Y9">
        <v>8</v>
      </c>
      <c r="Z9" t="s">
        <v>38</v>
      </c>
      <c r="AA9" t="s">
        <v>67</v>
      </c>
      <c r="AC9">
        <v>1</v>
      </c>
      <c r="AD9">
        <v>18848</v>
      </c>
      <c r="AI9">
        <v>8</v>
      </c>
      <c r="AJ9" t="s">
        <v>38</v>
      </c>
      <c r="AK9" t="s">
        <v>61</v>
      </c>
      <c r="AM9">
        <v>1</v>
      </c>
      <c r="AN9">
        <v>7032</v>
      </c>
    </row>
    <row r="10" spans="1:40" x14ac:dyDescent="0.25">
      <c r="D10">
        <v>9</v>
      </c>
      <c r="E10" t="s">
        <v>35</v>
      </c>
      <c r="F10" t="s">
        <v>49</v>
      </c>
      <c r="G10">
        <v>0</v>
      </c>
      <c r="H10" s="10">
        <v>0</v>
      </c>
      <c r="I10" s="10">
        <v>17729</v>
      </c>
      <c r="O10">
        <v>9</v>
      </c>
      <c r="P10" t="s">
        <v>47</v>
      </c>
      <c r="Q10" t="s">
        <v>48</v>
      </c>
      <c r="S10">
        <v>1</v>
      </c>
      <c r="T10">
        <v>10698</v>
      </c>
      <c r="Y10">
        <v>9</v>
      </c>
      <c r="Z10" t="s">
        <v>47</v>
      </c>
      <c r="AA10" t="s">
        <v>68</v>
      </c>
      <c r="AC10">
        <v>0</v>
      </c>
      <c r="AD10">
        <v>13356</v>
      </c>
      <c r="AI10">
        <v>9</v>
      </c>
      <c r="AJ10" t="s">
        <v>59</v>
      </c>
      <c r="AK10" t="s">
        <v>72</v>
      </c>
      <c r="AM10">
        <v>1</v>
      </c>
      <c r="AN10">
        <v>10235</v>
      </c>
    </row>
    <row r="11" spans="1:40" x14ac:dyDescent="0.25">
      <c r="D11">
        <v>10</v>
      </c>
      <c r="E11" t="s">
        <v>41</v>
      </c>
      <c r="F11" t="s">
        <v>50</v>
      </c>
      <c r="G11">
        <v>0</v>
      </c>
      <c r="H11">
        <v>1</v>
      </c>
      <c r="I11">
        <v>12308</v>
      </c>
      <c r="O11">
        <v>10</v>
      </c>
      <c r="P11" t="s">
        <v>35</v>
      </c>
      <c r="Q11" t="s">
        <v>54</v>
      </c>
      <c r="S11">
        <v>1</v>
      </c>
      <c r="T11">
        <v>5846</v>
      </c>
      <c r="Y11">
        <v>10</v>
      </c>
      <c r="Z11" t="s">
        <v>32</v>
      </c>
      <c r="AA11" t="s">
        <v>69</v>
      </c>
      <c r="AC11">
        <v>0</v>
      </c>
      <c r="AD11">
        <v>0</v>
      </c>
      <c r="AI11">
        <v>10</v>
      </c>
      <c r="AJ11" t="s">
        <v>47</v>
      </c>
      <c r="AK11" t="s">
        <v>68</v>
      </c>
      <c r="AM11">
        <v>0</v>
      </c>
      <c r="AN11">
        <v>9481</v>
      </c>
    </row>
    <row r="12" spans="1:40" x14ac:dyDescent="0.25">
      <c r="D12">
        <v>11</v>
      </c>
      <c r="E12" t="s">
        <v>51</v>
      </c>
      <c r="F12" t="s">
        <v>52</v>
      </c>
      <c r="G12">
        <v>0</v>
      </c>
      <c r="H12">
        <v>1</v>
      </c>
      <c r="I12">
        <v>18669</v>
      </c>
      <c r="O12">
        <v>11</v>
      </c>
      <c r="P12" t="s">
        <v>41</v>
      </c>
      <c r="Q12" t="s">
        <v>42</v>
      </c>
      <c r="S12">
        <v>0</v>
      </c>
      <c r="T12">
        <v>5616</v>
      </c>
      <c r="Y12">
        <v>11</v>
      </c>
      <c r="Z12" t="s">
        <v>35</v>
      </c>
      <c r="AA12" t="s">
        <v>70</v>
      </c>
      <c r="AC12">
        <v>0</v>
      </c>
      <c r="AD12">
        <v>0</v>
      </c>
      <c r="AI12">
        <v>11</v>
      </c>
      <c r="AJ12" t="s">
        <v>41</v>
      </c>
      <c r="AK12" t="s">
        <v>62</v>
      </c>
      <c r="AM12">
        <v>0</v>
      </c>
      <c r="AN12">
        <v>14426</v>
      </c>
    </row>
    <row r="13" spans="1:40" x14ac:dyDescent="0.25">
      <c r="D13">
        <v>12</v>
      </c>
      <c r="E13" t="s">
        <v>35</v>
      </c>
      <c r="F13" t="s">
        <v>53</v>
      </c>
      <c r="G13">
        <v>0</v>
      </c>
      <c r="H13" s="10">
        <v>0</v>
      </c>
      <c r="I13" s="10">
        <v>6858</v>
      </c>
      <c r="O13">
        <v>12</v>
      </c>
      <c r="P13" t="s">
        <v>51</v>
      </c>
      <c r="Q13" t="s">
        <v>55</v>
      </c>
      <c r="S13">
        <v>1</v>
      </c>
      <c r="T13">
        <v>3955</v>
      </c>
      <c r="Y13">
        <v>12</v>
      </c>
      <c r="Z13" t="s">
        <v>38</v>
      </c>
      <c r="AA13" t="s">
        <v>71</v>
      </c>
      <c r="AC13">
        <v>0</v>
      </c>
      <c r="AD13">
        <v>0</v>
      </c>
      <c r="AI13">
        <v>12</v>
      </c>
      <c r="AJ13" t="s">
        <v>32</v>
      </c>
      <c r="AK13" t="s">
        <v>69</v>
      </c>
      <c r="AM13">
        <v>0</v>
      </c>
      <c r="AN13">
        <v>5238</v>
      </c>
    </row>
    <row r="14" spans="1:40" x14ac:dyDescent="0.25">
      <c r="D14">
        <v>13</v>
      </c>
      <c r="E14" t="s">
        <v>35</v>
      </c>
      <c r="F14" t="s">
        <v>54</v>
      </c>
      <c r="G14">
        <v>0</v>
      </c>
      <c r="H14" s="10">
        <v>0</v>
      </c>
      <c r="I14" s="10">
        <v>0</v>
      </c>
      <c r="O14">
        <v>13</v>
      </c>
      <c r="P14" t="s">
        <v>51</v>
      </c>
      <c r="Q14" t="s">
        <v>52</v>
      </c>
      <c r="S14">
        <v>1</v>
      </c>
      <c r="T14">
        <v>7077</v>
      </c>
      <c r="Y14">
        <v>13</v>
      </c>
      <c r="Z14" t="s">
        <v>59</v>
      </c>
      <c r="AA14" t="s">
        <v>72</v>
      </c>
      <c r="AC14">
        <v>0</v>
      </c>
      <c r="AD14">
        <v>0</v>
      </c>
      <c r="AI14">
        <v>13</v>
      </c>
      <c r="AJ14" t="s">
        <v>41</v>
      </c>
      <c r="AK14" t="s">
        <v>65</v>
      </c>
      <c r="AM14">
        <v>1</v>
      </c>
      <c r="AN14">
        <v>4248</v>
      </c>
    </row>
    <row r="15" spans="1:40" x14ac:dyDescent="0.25">
      <c r="D15">
        <v>14</v>
      </c>
      <c r="E15" t="s">
        <v>51</v>
      </c>
      <c r="F15" t="s">
        <v>55</v>
      </c>
      <c r="G15">
        <v>0</v>
      </c>
      <c r="H15">
        <v>1</v>
      </c>
      <c r="I15">
        <v>6737</v>
      </c>
      <c r="O15">
        <v>14</v>
      </c>
      <c r="P15" t="s">
        <v>38</v>
      </c>
      <c r="Q15" t="s">
        <v>46</v>
      </c>
      <c r="S15">
        <v>0</v>
      </c>
      <c r="T15">
        <v>4698</v>
      </c>
      <c r="Y15">
        <v>14</v>
      </c>
      <c r="Z15" t="s">
        <v>35</v>
      </c>
      <c r="AA15" t="s">
        <v>73</v>
      </c>
      <c r="AC15">
        <v>0</v>
      </c>
      <c r="AD15">
        <v>0</v>
      </c>
      <c r="AI15">
        <v>14</v>
      </c>
      <c r="AJ15" t="s">
        <v>38</v>
      </c>
      <c r="AK15" t="s">
        <v>67</v>
      </c>
      <c r="AM15">
        <v>0</v>
      </c>
      <c r="AN15">
        <v>12674</v>
      </c>
    </row>
    <row r="16" spans="1:40" ht="18.75" x14ac:dyDescent="0.3">
      <c r="G16" s="8">
        <f>SUM(G2:G15)</f>
        <v>0</v>
      </c>
      <c r="H16" s="8">
        <f>SUM(H2:H15)</f>
        <v>5</v>
      </c>
      <c r="S16" s="5">
        <f>SUM(S2:S15)</f>
        <v>6</v>
      </c>
      <c r="AC16" s="5">
        <f>SUM(AC2:AC15)</f>
        <v>2</v>
      </c>
      <c r="AM16" s="24">
        <f>SUM(AM2:AM15)</f>
        <v>7</v>
      </c>
    </row>
    <row r="18" spans="2:6" x14ac:dyDescent="0.25">
      <c r="C18" t="s">
        <v>142</v>
      </c>
      <c r="D18" t="s">
        <v>112</v>
      </c>
      <c r="E18" t="s">
        <v>114</v>
      </c>
      <c r="F18" t="s">
        <v>591</v>
      </c>
    </row>
    <row r="19" spans="2:6" x14ac:dyDescent="0.25">
      <c r="B19" t="s">
        <v>330</v>
      </c>
      <c r="C19">
        <v>5</v>
      </c>
      <c r="D19">
        <v>6</v>
      </c>
      <c r="E19">
        <v>2</v>
      </c>
      <c r="F19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PAT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2023-02-08T11:52:51Z</dcterms:modified>
</cp:coreProperties>
</file>