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0"/>
  </bookViews>
  <sheets>
    <sheet name="PAT" sheetId="11" r:id="rId1"/>
    <sheet name="AS verbale" sheetId="1" r:id="rId2"/>
    <sheet name="AS visuelle" sheetId="2" r:id="rId3"/>
    <sheet name="EXE verb." sheetId="3" r:id="rId4"/>
    <sheet name="EXE visu." sheetId="4" r:id="rId5"/>
    <sheet name="FLUENCE cat." sheetId="5" r:id="rId6"/>
    <sheet name="FLUENCE verb." sheetId="6" r:id="rId7"/>
    <sheet name="DC cat." sheetId="7" r:id="rId8"/>
    <sheet name="DENO" sheetId="8" r:id="rId9"/>
    <sheet name="LECTURE" sheetId="9" r:id="rId10"/>
    <sheet name="BIP" sheetId="10" r:id="rId11"/>
  </sheets>
  <calcPr calcId="152511"/>
</workbook>
</file>

<file path=xl/calcChain.xml><?xml version="1.0" encoding="utf-8"?>
<calcChain xmlns="http://schemas.openxmlformats.org/spreadsheetml/2006/main">
  <c r="BC29" i="2" l="1"/>
  <c r="BD28" i="2"/>
  <c r="BB28" i="2"/>
  <c r="BF29" i="1"/>
  <c r="BE28" i="1"/>
  <c r="BG28" i="1"/>
  <c r="AT43" i="8" l="1"/>
  <c r="AH47" i="9" l="1"/>
  <c r="Y47" i="9"/>
  <c r="G47" i="9"/>
  <c r="AH16" i="10"/>
  <c r="AP42" i="7"/>
  <c r="AP44" i="7" s="1"/>
  <c r="AN42" i="7"/>
  <c r="AL28" i="4"/>
  <c r="AL30" i="4" s="1"/>
  <c r="AJ28" i="4"/>
  <c r="AK28" i="3"/>
  <c r="AL28" i="3" s="1"/>
  <c r="AJ28" i="3"/>
  <c r="AR28" i="2"/>
  <c r="AS28" i="2" s="1"/>
  <c r="AP28" i="2"/>
  <c r="AU28" i="1"/>
  <c r="AT30" i="1" s="1"/>
  <c r="AS28" i="1"/>
  <c r="AE42" i="7" l="1"/>
  <c r="AE44" i="7" s="1"/>
  <c r="T42" i="7"/>
  <c r="T44" i="7" s="1"/>
  <c r="I42" i="7"/>
  <c r="I44" i="7" s="1"/>
  <c r="AB28" i="4"/>
  <c r="AB30" i="4" s="1"/>
  <c r="H28" i="4"/>
  <c r="H30" i="4" s="1"/>
  <c r="R30" i="4"/>
  <c r="AA28" i="3"/>
  <c r="Q28" i="3"/>
  <c r="Q30" i="3" s="1"/>
  <c r="H30" i="3"/>
  <c r="H28" i="3"/>
  <c r="AG29" i="2"/>
  <c r="AG30" i="2" s="1"/>
  <c r="AI42" i="8"/>
  <c r="U42" i="8"/>
  <c r="I42" i="8"/>
  <c r="Y16" i="10"/>
  <c r="P16" i="10"/>
  <c r="G16" i="10"/>
  <c r="AC42" i="7"/>
  <c r="R42" i="7"/>
  <c r="G42" i="7"/>
  <c r="Z28" i="4"/>
  <c r="R28" i="4"/>
  <c r="P28" i="4"/>
  <c r="F28" i="4"/>
  <c r="Z28" i="3"/>
  <c r="AA30" i="3" s="1"/>
  <c r="P28" i="3"/>
  <c r="F28" i="3"/>
  <c r="AE28" i="2"/>
  <c r="AI28" i="1"/>
  <c r="AH29" i="1" s="1"/>
  <c r="AG28" i="1"/>
  <c r="U28" i="2" l="1"/>
  <c r="W28" i="2"/>
  <c r="W30" i="2" s="1"/>
  <c r="I28" i="2"/>
  <c r="I30" i="2" s="1"/>
  <c r="G28" i="2"/>
  <c r="V28" i="1"/>
  <c r="U29" i="1" s="1"/>
  <c r="T28" i="1"/>
  <c r="I28" i="1"/>
  <c r="H29" i="1" s="1"/>
  <c r="G28" i="1"/>
</calcChain>
</file>

<file path=xl/sharedStrings.xml><?xml version="1.0" encoding="utf-8"?>
<sst xmlns="http://schemas.openxmlformats.org/spreadsheetml/2006/main" count="2540" uniqueCount="736">
  <si>
    <t>Version</t>
  </si>
  <si>
    <t>Session</t>
  </si>
  <si>
    <t>Trial</t>
  </si>
  <si>
    <t>Profession</t>
  </si>
  <si>
    <t>Personnalités reconnues</t>
  </si>
  <si>
    <t>BIP.ACC</t>
  </si>
  <si>
    <t>Prétraitement</t>
  </si>
  <si>
    <t>AS verbale</t>
  </si>
  <si>
    <t>Target</t>
  </si>
  <si>
    <t>ImageDisplay2.ACC</t>
  </si>
  <si>
    <t>ImageDisplay2.RT</t>
  </si>
  <si>
    <t>Condition Target</t>
  </si>
  <si>
    <t>Réponse</t>
  </si>
  <si>
    <t>AS visuelle</t>
  </si>
  <si>
    <t>EXE verb</t>
  </si>
  <si>
    <t>EXE visu</t>
  </si>
  <si>
    <t>FLUENCE catégorielle</t>
  </si>
  <si>
    <t>Items</t>
  </si>
  <si>
    <t>Nombre</t>
  </si>
  <si>
    <t>FLUENCE littérale</t>
  </si>
  <si>
    <t>n°</t>
  </si>
  <si>
    <t>Dénomination categorielle</t>
  </si>
  <si>
    <t>status</t>
  </si>
  <si>
    <t>stimulus</t>
  </si>
  <si>
    <t>TextDisplay2.ACC</t>
  </si>
  <si>
    <t>TextDisplay2.RT</t>
  </si>
  <si>
    <t xml:space="preserve">Dénomination </t>
  </si>
  <si>
    <t>Status</t>
  </si>
  <si>
    <t>Stimulus</t>
  </si>
  <si>
    <t>Réponse après coup</t>
  </si>
  <si>
    <t>SCORE : bonne réponse</t>
  </si>
  <si>
    <t>Lecture</t>
  </si>
  <si>
    <t>BIP</t>
  </si>
  <si>
    <t>PAT001-00</t>
  </si>
  <si>
    <t xml:space="preserve">Score </t>
  </si>
  <si>
    <t>Score /40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</si>
  <si>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/40</t>
    </r>
  </si>
  <si>
    <t xml:space="preserve">absence de réponse : </t>
  </si>
  <si>
    <t xml:space="preserve">erreurs : </t>
  </si>
  <si>
    <t>Score prof  /14</t>
  </si>
  <si>
    <t>Score rec /14</t>
  </si>
  <si>
    <t>PAT001-0024LLM</t>
  </si>
  <si>
    <t>condtarget</t>
  </si>
  <si>
    <t>vivant</t>
  </si>
  <si>
    <t>non vivant</t>
  </si>
  <si>
    <t>target</t>
  </si>
  <si>
    <t>viv.mot24.bmp</t>
  </si>
  <si>
    <t>viv.mot26.bmp</t>
  </si>
  <si>
    <t>nonviv.mot17.bmp</t>
  </si>
  <si>
    <t>viv.mot6.bmp</t>
  </si>
  <si>
    <t>nonviv.mot11.bmp</t>
  </si>
  <si>
    <t>nonviv.mot19.bmp</t>
  </si>
  <si>
    <t>viv.mot11.bmp</t>
  </si>
  <si>
    <t>viv.mot9.bmp</t>
  </si>
  <si>
    <t>viv.mot5.bmp</t>
  </si>
  <si>
    <t>viv.mot18.bmp</t>
  </si>
  <si>
    <t>viv.mot14.bmp</t>
  </si>
  <si>
    <t>nonviv.mot9.bmp</t>
  </si>
  <si>
    <t>viv.mot15.bmp</t>
  </si>
  <si>
    <t>nonviv.mot12.bmp</t>
  </si>
  <si>
    <t>nonviv.mot10.bmp</t>
  </si>
  <si>
    <t>viv.mot17.bmp</t>
  </si>
  <si>
    <t>nonviv.mot13.bmp</t>
  </si>
  <si>
    <t>nonviv.mot7.bmp</t>
  </si>
  <si>
    <t>nonviv.mot15.bmp</t>
  </si>
  <si>
    <t>nonviv.mot14.bmp</t>
  </si>
  <si>
    <t>nonviv.mot18.bmp</t>
  </si>
  <si>
    <t>nonviv.mot8.bmp</t>
  </si>
  <si>
    <t>nonviv.mot16.bmp</t>
  </si>
  <si>
    <t>viv.mot25.bmp</t>
  </si>
  <si>
    <t>viv.mot7.bmp</t>
  </si>
  <si>
    <t>viv.mot8.bmp</t>
  </si>
  <si>
    <t>09.04.2019</t>
  </si>
  <si>
    <t>TR correct</t>
  </si>
  <si>
    <t>Post 1</t>
  </si>
  <si>
    <t>29.04.2019</t>
  </si>
  <si>
    <t>viv7.bmp</t>
  </si>
  <si>
    <t>viv8.bmp</t>
  </si>
  <si>
    <t>nonviv8.bmp</t>
  </si>
  <si>
    <t>viv11.bmp</t>
  </si>
  <si>
    <t>viv5.bmp</t>
  </si>
  <si>
    <t>viv6.bmp</t>
  </si>
  <si>
    <t>nonviv9.bmp</t>
  </si>
  <si>
    <t>nonviv11.bmp</t>
  </si>
  <si>
    <t>nonviv7.bmp</t>
  </si>
  <si>
    <t>nonviv12.bmp</t>
  </si>
  <si>
    <t>viv9.bmp</t>
  </si>
  <si>
    <t>nonviv14.bmp</t>
  </si>
  <si>
    <t>nonviv17.bmp</t>
  </si>
  <si>
    <t>viv24.bmp</t>
  </si>
  <si>
    <t>nonviv10.bmp</t>
  </si>
  <si>
    <t>nonviv19.bmp</t>
  </si>
  <si>
    <t>nonviv15.bmp</t>
  </si>
  <si>
    <t>viv15.bmp</t>
  </si>
  <si>
    <t>nonviv13.bmp</t>
  </si>
  <si>
    <t>viv25.bmp</t>
  </si>
  <si>
    <t>viv14.bmp</t>
  </si>
  <si>
    <t>viv18.bmp</t>
  </si>
  <si>
    <t>nonviv18.bmp</t>
  </si>
  <si>
    <t>viv26.bmp</t>
  </si>
  <si>
    <t>nonviv16.bmp</t>
  </si>
  <si>
    <t>viv17.bmp</t>
  </si>
  <si>
    <t>RT correct</t>
  </si>
  <si>
    <t>Post-1</t>
  </si>
  <si>
    <t>Post 2</t>
  </si>
  <si>
    <t>nonviv.mot6.bmp</t>
  </si>
  <si>
    <t>viv.mot12.bmp</t>
  </si>
  <si>
    <t>nonviv.mot21.bmp</t>
  </si>
  <si>
    <t>nonviv.mot26.bmp</t>
  </si>
  <si>
    <t>nonviv.mot24.bmp</t>
  </si>
  <si>
    <t>nonviv.mot23.bmp</t>
  </si>
  <si>
    <t>viv.mot22.bmp</t>
  </si>
  <si>
    <t>viv.mot16.bmp</t>
  </si>
  <si>
    <t>viv.mot21.bmp</t>
  </si>
  <si>
    <t>nonviv.mot1.bmp</t>
  </si>
  <si>
    <t>nonviv.mot25.bmp</t>
  </si>
  <si>
    <t>nonviv.mot5.bmp</t>
  </si>
  <si>
    <t>viv.mot13.bmp</t>
  </si>
  <si>
    <t>viv.mot4.bmp</t>
  </si>
  <si>
    <t>nonviv.mot2.bmp</t>
  </si>
  <si>
    <t>nonviv.mot3.bmp</t>
  </si>
  <si>
    <t>nonviv.mot22.bmp</t>
  </si>
  <si>
    <t>viv.mot2.bmp</t>
  </si>
  <si>
    <t>viv.mot19.bmp</t>
  </si>
  <si>
    <t>viv.mot10.bmp</t>
  </si>
  <si>
    <t>viv.mot23.bmp</t>
  </si>
  <si>
    <t>viv.mot20.bmp</t>
  </si>
  <si>
    <t>nonviv.mot20.bmp</t>
  </si>
  <si>
    <t>viv.mot1.bmp</t>
  </si>
  <si>
    <t>viv.mot3.bmp</t>
  </si>
  <si>
    <t>nonviv.mot4.bmp</t>
  </si>
  <si>
    <t>09.05.2019</t>
  </si>
  <si>
    <t>viv3.bmp</t>
  </si>
  <si>
    <t>nonviv6.bmp</t>
  </si>
  <si>
    <t>nonviv21.bmp</t>
  </si>
  <si>
    <t>viv13.bmp</t>
  </si>
  <si>
    <t>nonviv25.bmp</t>
  </si>
  <si>
    <t>nonviv5.bmp</t>
  </si>
  <si>
    <t>nonviv24.bmp</t>
  </si>
  <si>
    <t>nonviv22.bmp</t>
  </si>
  <si>
    <t>viv21.bmp</t>
  </si>
  <si>
    <t>viv1.bmp</t>
  </si>
  <si>
    <t>viv2.bmp</t>
  </si>
  <si>
    <t>viv23.bmp</t>
  </si>
  <si>
    <t>viv10.bmp</t>
  </si>
  <si>
    <t>nonviv23.bmp</t>
  </si>
  <si>
    <t>nonviv1.bmp</t>
  </si>
  <si>
    <t>nonviv4.bmp</t>
  </si>
  <si>
    <t>nonviv2.bmp</t>
  </si>
  <si>
    <t>viv12.bmp</t>
  </si>
  <si>
    <t>viv22.bmp</t>
  </si>
  <si>
    <t>viv20.bmp</t>
  </si>
  <si>
    <t>viv19.bmp</t>
  </si>
  <si>
    <t>viv16.bmp</t>
  </si>
  <si>
    <t>nonviv20.bmp</t>
  </si>
  <si>
    <t>nonviv26.bmp</t>
  </si>
  <si>
    <t>viv4.bmp</t>
  </si>
  <si>
    <t>nonviv3.bmp</t>
  </si>
  <si>
    <t>Post 3</t>
  </si>
  <si>
    <t>Mot17v1.tif</t>
  </si>
  <si>
    <t>Mot3v1.tif</t>
  </si>
  <si>
    <t>Mot10v1.tif</t>
  </si>
  <si>
    <t>Mot23v1.tif</t>
  </si>
  <si>
    <t>Mot15v1.tif</t>
  </si>
  <si>
    <t>Mot25v1.tif</t>
  </si>
  <si>
    <t>Mot16v1.tif</t>
  </si>
  <si>
    <t>Mot21v1.tif</t>
  </si>
  <si>
    <t>Mot6v1.tif</t>
  </si>
  <si>
    <t>Mot11v1.tif</t>
  </si>
  <si>
    <t>Mot9v1.tif</t>
  </si>
  <si>
    <t>Mot8v1.tif</t>
  </si>
  <si>
    <t>Mot24v1.tif</t>
  </si>
  <si>
    <t>Mot18v1.tif</t>
  </si>
  <si>
    <t>Mot20v1.tif</t>
  </si>
  <si>
    <t>Mot19v1.tif</t>
  </si>
  <si>
    <t>Mot2v1.tif</t>
  </si>
  <si>
    <t>Mot26v1.tif</t>
  </si>
  <si>
    <t>Mot14v1.tif</t>
  </si>
  <si>
    <t>Mot22v1.tif</t>
  </si>
  <si>
    <t>Mot7v1.tif</t>
  </si>
  <si>
    <t>Mot12v1.tif</t>
  </si>
  <si>
    <t>Mot1v1.tif</t>
  </si>
  <si>
    <t>Mot4v1.tif</t>
  </si>
  <si>
    <t>Mot5v1.tif</t>
  </si>
  <si>
    <t>Mot13v1.tif</t>
  </si>
  <si>
    <t>RT CORR</t>
  </si>
  <si>
    <t>Mot12v2.tif</t>
  </si>
  <si>
    <t>Mot25v2.tif</t>
  </si>
  <si>
    <t>Mot3v2.tif</t>
  </si>
  <si>
    <t>Mot26v2.tif</t>
  </si>
  <si>
    <t>Mot24v2.tif</t>
  </si>
  <si>
    <t>Mot6v2.tif</t>
  </si>
  <si>
    <t>Mot9v2.tif</t>
  </si>
  <si>
    <t>Mot8v2.tif</t>
  </si>
  <si>
    <t>Mot15v2.tif</t>
  </si>
  <si>
    <t>Mot23v2.tif</t>
  </si>
  <si>
    <t>Mot17v2.tif</t>
  </si>
  <si>
    <t>Mot21v2.tif</t>
  </si>
  <si>
    <t>Mot19v2.tif</t>
  </si>
  <si>
    <t>Mot5v2.tif</t>
  </si>
  <si>
    <t>Mot4v2.tif</t>
  </si>
  <si>
    <t>Mot16v2.tif</t>
  </si>
  <si>
    <t>Mot10v2.tif</t>
  </si>
  <si>
    <t>Mot1v2.tif</t>
  </si>
  <si>
    <t>Mot11v2.tif</t>
  </si>
  <si>
    <t>Mot14v2.tif</t>
  </si>
  <si>
    <t>Mot18v2.tif</t>
  </si>
  <si>
    <t>Mot20v2.tif</t>
  </si>
  <si>
    <t>Mot13v2.tif</t>
  </si>
  <si>
    <t>Mot7v2.tif</t>
  </si>
  <si>
    <t>Mot22v2.tif</t>
  </si>
  <si>
    <t>Mot2v2.tif</t>
  </si>
  <si>
    <t>Fig14v1.tif</t>
  </si>
  <si>
    <t>Fig24v1.tif</t>
  </si>
  <si>
    <t>Fig22v1.tif</t>
  </si>
  <si>
    <t>Fig10v1.tif</t>
  </si>
  <si>
    <t>Fig13v1.tif</t>
  </si>
  <si>
    <t>Fig17v1.tif</t>
  </si>
  <si>
    <t>Fig11v1.tif</t>
  </si>
  <si>
    <t>Fig1v1.tif</t>
  </si>
  <si>
    <t>Fig15v1.tif</t>
  </si>
  <si>
    <t>Fig26v1.tif</t>
  </si>
  <si>
    <t>Fig19v1.tif</t>
  </si>
  <si>
    <t>Fig20v1.tif</t>
  </si>
  <si>
    <t>Fig12v1.tif</t>
  </si>
  <si>
    <t>Fig7v1.tif</t>
  </si>
  <si>
    <t>Fig21v1.tif</t>
  </si>
  <si>
    <t>Fig5v1.tif</t>
  </si>
  <si>
    <t>Fig16v1.tif</t>
  </si>
  <si>
    <t>Fig9v1.tif</t>
  </si>
  <si>
    <t>Fig3v1.tif</t>
  </si>
  <si>
    <t>Fig23v1.tif</t>
  </si>
  <si>
    <t>Fig2v1.tif</t>
  </si>
  <si>
    <t>Fig4v1.tif</t>
  </si>
  <si>
    <t>Fig8v1.tif</t>
  </si>
  <si>
    <t>Fig18v1.tif</t>
  </si>
  <si>
    <t>Fig25v1.tif</t>
  </si>
  <si>
    <t>Fig6v1.tif</t>
  </si>
  <si>
    <t>Fig11v2.tif</t>
  </si>
  <si>
    <t>Fig8v2.tif</t>
  </si>
  <si>
    <t>Fig12v2.tif</t>
  </si>
  <si>
    <t>Fig20v2.tif</t>
  </si>
  <si>
    <t>Fig7v2.tif</t>
  </si>
  <si>
    <t>Fig25v2.tif</t>
  </si>
  <si>
    <t>Fig14v2.tif</t>
  </si>
  <si>
    <t>Fig24v2.tif</t>
  </si>
  <si>
    <t>Fig22v2.tif</t>
  </si>
  <si>
    <t>Fig6v2.tif</t>
  </si>
  <si>
    <t>Fig2v2.tif</t>
  </si>
  <si>
    <t>Fig5v2.tif</t>
  </si>
  <si>
    <t>Fig13v2.tif</t>
  </si>
  <si>
    <t>Fig4v2.tif</t>
  </si>
  <si>
    <t>Fig9v2.tif</t>
  </si>
  <si>
    <t>Fig19v2.tif</t>
  </si>
  <si>
    <t>Fig15v2.tif</t>
  </si>
  <si>
    <t>Fig1v2.tif</t>
  </si>
  <si>
    <t>Fig3v2.tif</t>
  </si>
  <si>
    <t>Fig10v2.tif</t>
  </si>
  <si>
    <t>Fig17v2.tif</t>
  </si>
  <si>
    <t>Fig16v2.tif</t>
  </si>
  <si>
    <t>Fig23v2.tif</t>
  </si>
  <si>
    <t>Fig21v2.tif</t>
  </si>
  <si>
    <t>Fig26v2.tif</t>
  </si>
  <si>
    <t>Fig18v2.tif</t>
  </si>
  <si>
    <t>PAT001-0024</t>
  </si>
  <si>
    <t>rose</t>
  </si>
  <si>
    <t>carottes</t>
  </si>
  <si>
    <t>poireaux</t>
  </si>
  <si>
    <t>pommes de terre</t>
  </si>
  <si>
    <t>prune</t>
  </si>
  <si>
    <t>poire</t>
  </si>
  <si>
    <t>persil</t>
  </si>
  <si>
    <t>papa</t>
  </si>
  <si>
    <t>parents</t>
  </si>
  <si>
    <t>pie</t>
  </si>
  <si>
    <t>poireau</t>
  </si>
  <si>
    <t xml:space="preserve">père </t>
  </si>
  <si>
    <t>pigeon</t>
  </si>
  <si>
    <t>professeur</t>
  </si>
  <si>
    <t>porteau</t>
  </si>
  <si>
    <t>cachou</t>
  </si>
  <si>
    <t>carotte</t>
  </si>
  <si>
    <t>canard</t>
  </si>
  <si>
    <t>chevreuil</t>
  </si>
  <si>
    <t>chouette</t>
  </si>
  <si>
    <t>commune</t>
  </si>
  <si>
    <t>cristlal</t>
  </si>
  <si>
    <t>serrure</t>
  </si>
  <si>
    <t>chat</t>
  </si>
  <si>
    <t>castor</t>
  </si>
  <si>
    <t>manmade</t>
  </si>
  <si>
    <t>éventail</t>
  </si>
  <si>
    <t>living</t>
  </si>
  <si>
    <t>baleine</t>
  </si>
  <si>
    <t>hamac</t>
  </si>
  <si>
    <t>ballon</t>
  </si>
  <si>
    <t>éléphant</t>
  </si>
  <si>
    <t>bassine</t>
  </si>
  <si>
    <t>parachute</t>
  </si>
  <si>
    <t>landau</t>
  </si>
  <si>
    <t>fourchette</t>
  </si>
  <si>
    <t>dauphin</t>
  </si>
  <si>
    <t>poisson</t>
  </si>
  <si>
    <t>buffle</t>
  </si>
  <si>
    <t xml:space="preserve">huître </t>
  </si>
  <si>
    <t>agneau</t>
  </si>
  <si>
    <t>cygne</t>
  </si>
  <si>
    <t>flèche</t>
  </si>
  <si>
    <t>balançoire</t>
  </si>
  <si>
    <t>cerf</t>
  </si>
  <si>
    <t>blatte</t>
  </si>
  <si>
    <t>élan</t>
  </si>
  <si>
    <t xml:space="preserve">crevette </t>
  </si>
  <si>
    <t>cymbales</t>
  </si>
  <si>
    <t>paon</t>
  </si>
  <si>
    <t>compas</t>
  </si>
  <si>
    <t>fourmilier</t>
  </si>
  <si>
    <t>accordéon</t>
  </si>
  <si>
    <t xml:space="preserve">colombe </t>
  </si>
  <si>
    <t>entonnoir</t>
  </si>
  <si>
    <t>bocal</t>
  </si>
  <si>
    <t>grenouille</t>
  </si>
  <si>
    <t>hippocampe</t>
  </si>
  <si>
    <t>bouilloire</t>
  </si>
  <si>
    <t>barbecue</t>
  </si>
  <si>
    <t>cloche</t>
  </si>
  <si>
    <t>enclume</t>
  </si>
  <si>
    <t>hippopotame</t>
  </si>
  <si>
    <t xml:space="preserve">lionceau </t>
  </si>
  <si>
    <t xml:space="preserve">hérisson </t>
  </si>
  <si>
    <t>boussole</t>
  </si>
  <si>
    <t>luge</t>
  </si>
  <si>
    <t>RT Corr</t>
  </si>
  <si>
    <t>toupie</t>
  </si>
  <si>
    <t>coq</t>
  </si>
  <si>
    <t>stéthoscope</t>
  </si>
  <si>
    <t>mouche</t>
  </si>
  <si>
    <t>sifflet</t>
  </si>
  <si>
    <t xml:space="preserve">moustique </t>
  </si>
  <si>
    <t>sauterelle</t>
  </si>
  <si>
    <t>léopard</t>
  </si>
  <si>
    <t>saxophone</t>
  </si>
  <si>
    <t>rhinocéros</t>
  </si>
  <si>
    <t>spatule</t>
  </si>
  <si>
    <t xml:space="preserve">poussin </t>
  </si>
  <si>
    <t>poêle</t>
  </si>
  <si>
    <t>kangourou</t>
  </si>
  <si>
    <t>fouet</t>
  </si>
  <si>
    <t xml:space="preserve">limace </t>
  </si>
  <si>
    <t>microscope</t>
  </si>
  <si>
    <t>lime</t>
  </si>
  <si>
    <t>hélice</t>
  </si>
  <si>
    <t>koala</t>
  </si>
  <si>
    <t>tondeuse</t>
  </si>
  <si>
    <t xml:space="preserve">pigeon </t>
  </si>
  <si>
    <t>méduse</t>
  </si>
  <si>
    <t>puits</t>
  </si>
  <si>
    <t>igloo</t>
  </si>
  <si>
    <t>toucan</t>
  </si>
  <si>
    <t>pichet</t>
  </si>
  <si>
    <t>tortue</t>
  </si>
  <si>
    <t>chèvre</t>
  </si>
  <si>
    <t>chaîne</t>
  </si>
  <si>
    <t>télescope</t>
  </si>
  <si>
    <t>cor</t>
  </si>
  <si>
    <t>hyène</t>
  </si>
  <si>
    <t xml:space="preserve">taupe </t>
  </si>
  <si>
    <t>église</t>
  </si>
  <si>
    <t>autruche</t>
  </si>
  <si>
    <t>seringue</t>
  </si>
  <si>
    <t>tambourin</t>
  </si>
  <si>
    <t>panda</t>
  </si>
  <si>
    <t xml:space="preserve">oie </t>
  </si>
  <si>
    <t>Actrice</t>
  </si>
  <si>
    <t>Chanteur</t>
  </si>
  <si>
    <t>Présentateur TV</t>
  </si>
  <si>
    <t>Acteur</t>
  </si>
  <si>
    <t>Presentateur TV</t>
  </si>
  <si>
    <t>Politique</t>
  </si>
  <si>
    <t>Romy Schneider</t>
  </si>
  <si>
    <t>Charles Aznavour</t>
  </si>
  <si>
    <t>Pascal Sevran</t>
  </si>
  <si>
    <t>Miou Miou</t>
  </si>
  <si>
    <t>Yves Montand</t>
  </si>
  <si>
    <t>Pierre Richard</t>
  </si>
  <si>
    <t>Bourvil</t>
  </si>
  <si>
    <t>Renaud</t>
  </si>
  <si>
    <t>Jean Pierre Foulcault</t>
  </si>
  <si>
    <t>Sylvie Vartan</t>
  </si>
  <si>
    <t>Gérard Depardieu</t>
  </si>
  <si>
    <t>Juliette Greco</t>
  </si>
  <si>
    <t>Edouard Balladur</t>
  </si>
  <si>
    <t>Jacques Chirac</t>
  </si>
  <si>
    <t>Présentatrice TV</t>
  </si>
  <si>
    <t>Johnny Halliday</t>
  </si>
  <si>
    <t>PPDA</t>
  </si>
  <si>
    <t>Michel Drucker</t>
  </si>
  <si>
    <t>Jeanne Moreau</t>
  </si>
  <si>
    <t>Daniel Auteuil</t>
  </si>
  <si>
    <t>Serge Gainsbourg</t>
  </si>
  <si>
    <t>Thierry Lhermitte</t>
  </si>
  <si>
    <t>Arlette Laguiller</t>
  </si>
  <si>
    <t>Georges Brassens</t>
  </si>
  <si>
    <t>Sean Connery</t>
  </si>
  <si>
    <t xml:space="preserve">Catherine Deneuve </t>
  </si>
  <si>
    <t>Fernandel</t>
  </si>
  <si>
    <t>Brigitte Bardot</t>
  </si>
  <si>
    <t>Danièle Gilbert</t>
  </si>
  <si>
    <t>non living</t>
  </si>
  <si>
    <t>ANCHOR.bmp</t>
  </si>
  <si>
    <t>WHALE.bmp</t>
  </si>
  <si>
    <t>APPLE.bmp</t>
  </si>
  <si>
    <t>SWING.bmp</t>
  </si>
  <si>
    <t>TABLE.bmp</t>
  </si>
  <si>
    <t>PEAR.bmp</t>
  </si>
  <si>
    <t>BINOCULA.bmp</t>
  </si>
  <si>
    <t>AXE.bmp</t>
  </si>
  <si>
    <t>WHISTLE.bmp</t>
  </si>
  <si>
    <t>CROWN.bmp</t>
  </si>
  <si>
    <t>VIOLIN.bmp</t>
  </si>
  <si>
    <t>SCORPION.bmp</t>
  </si>
  <si>
    <t>FAUCET.bmp</t>
  </si>
  <si>
    <t>GIRAFFE.bmp</t>
  </si>
  <si>
    <t>PYRAMID.bmp</t>
  </si>
  <si>
    <t>CIGAR.bmp</t>
  </si>
  <si>
    <t>HARP.bmp</t>
  </si>
  <si>
    <t>BEAR.bmp</t>
  </si>
  <si>
    <t>HORSE.bmp</t>
  </si>
  <si>
    <t>RABBIT.bmp</t>
  </si>
  <si>
    <t>GLASS.bmp</t>
  </si>
  <si>
    <t>CARROT.bmp</t>
  </si>
  <si>
    <t>MOTORCYC.bmp</t>
  </si>
  <si>
    <t>PANTS.bmp</t>
  </si>
  <si>
    <t>CANDLE.bmp</t>
  </si>
  <si>
    <t>KANGAROO.bmp</t>
  </si>
  <si>
    <t>RHINOCER.bmp</t>
  </si>
  <si>
    <t>DEER.bmp</t>
  </si>
  <si>
    <t>HANGER.bmp</t>
  </si>
  <si>
    <t>MUSHROOM.bmp</t>
  </si>
  <si>
    <t>PIPE.bmp</t>
  </si>
  <si>
    <t>SHARK.bmp</t>
  </si>
  <si>
    <t>PEANUT.bmp</t>
  </si>
  <si>
    <t>BROOM.bmp</t>
  </si>
  <si>
    <t>BRUSH.bmp</t>
  </si>
  <si>
    <t>OSTRICH.bmp</t>
  </si>
  <si>
    <t>CRAB.bmp</t>
  </si>
  <si>
    <t>SWAN.bmp</t>
  </si>
  <si>
    <t>TIGER.bmp</t>
  </si>
  <si>
    <t>HIPPOPOT.bmp</t>
  </si>
  <si>
    <r>
      <t>Score  :</t>
    </r>
    <r>
      <rPr>
        <b/>
        <sz val="12"/>
        <color rgb="FFFF0000"/>
        <rFont val="Calibri"/>
        <family val="2"/>
        <scheme val="minor"/>
      </rPr>
      <t xml:space="preserve"> 9</t>
    </r>
    <r>
      <rPr>
        <b/>
        <sz val="12"/>
        <color theme="1"/>
        <rFont val="Calibri"/>
        <family val="2"/>
        <scheme val="minor"/>
      </rPr>
      <t xml:space="preserve"> /40</t>
    </r>
  </si>
  <si>
    <t>ELEPHANT.bmp</t>
  </si>
  <si>
    <t>SNAKE.bmp</t>
  </si>
  <si>
    <t>ARTICHOK.bmp</t>
  </si>
  <si>
    <t>BOOK.bmp</t>
  </si>
  <si>
    <t>TELEPHON.bmp</t>
  </si>
  <si>
    <t>GUITAR.bmp</t>
  </si>
  <si>
    <t>FORK.bmp</t>
  </si>
  <si>
    <t>MICROSCO.bmp</t>
  </si>
  <si>
    <t>LIGHTBUL.bmp</t>
  </si>
  <si>
    <t>CACTUS.bmp</t>
  </si>
  <si>
    <t>SYRINGE.bmp</t>
  </si>
  <si>
    <t>ARROW.bmp</t>
  </si>
  <si>
    <t>FISH.bmp</t>
  </si>
  <si>
    <t>GLASSES.bmp</t>
  </si>
  <si>
    <t>DOLPHIN.bmp</t>
  </si>
  <si>
    <t>PIANO.bmp</t>
  </si>
  <si>
    <t>CAT.bmp</t>
  </si>
  <si>
    <t>GRAPES.bmp</t>
  </si>
  <si>
    <t>IGLOO.bmp</t>
  </si>
  <si>
    <t>SQUIRREL.bmp</t>
  </si>
  <si>
    <t>LOCK.bmp</t>
  </si>
  <si>
    <t>HAMMER.bmp</t>
  </si>
  <si>
    <t>KOALA.bmp</t>
  </si>
  <si>
    <t>WINDMILL.bmp</t>
  </si>
  <si>
    <t>SPIDER.bmp</t>
  </si>
  <si>
    <t>FLOWER.bmp</t>
  </si>
  <si>
    <t>TURTLE.bmp</t>
  </si>
  <si>
    <t>BELL.bmp</t>
  </si>
  <si>
    <t>SNAIL.bmp</t>
  </si>
  <si>
    <t>HELICOPT.bmp</t>
  </si>
  <si>
    <t>THERMOME.bmp</t>
  </si>
  <si>
    <t>PINEAPPL.bmp</t>
  </si>
  <si>
    <t>SAW.bmp</t>
  </si>
  <si>
    <t>LION.bmp</t>
  </si>
  <si>
    <t>ZEBRA.bmp</t>
  </si>
  <si>
    <t>PANDA.bmp</t>
  </si>
  <si>
    <t>GARBAGEC.bmp</t>
  </si>
  <si>
    <t>BUTTERFL.bmp</t>
  </si>
  <si>
    <t>PENGUIN.bmp</t>
  </si>
  <si>
    <t>SCALE.bmp</t>
  </si>
  <si>
    <t>INC</t>
  </si>
  <si>
    <t>TR AS visu</t>
  </si>
  <si>
    <t>TR AS verb</t>
  </si>
  <si>
    <t>ACC AS verb /26</t>
  </si>
  <si>
    <t>ACC AS visu /26</t>
  </si>
  <si>
    <t>ACC Exe verb /26</t>
  </si>
  <si>
    <t>ACC Exe visu/26</t>
  </si>
  <si>
    <t xml:space="preserve">TR Exe visu </t>
  </si>
  <si>
    <t>TR Exe verb</t>
  </si>
  <si>
    <t>FLU Cat.</t>
  </si>
  <si>
    <t>Flu. Litt</t>
  </si>
  <si>
    <t>ACC DC Cat /40</t>
  </si>
  <si>
    <t>Déno / 40</t>
  </si>
  <si>
    <t>BIP ACC / 14</t>
  </si>
  <si>
    <t>TR DC Cat</t>
  </si>
  <si>
    <t xml:space="preserve">Post 3 </t>
  </si>
  <si>
    <t>04.09.2019</t>
  </si>
  <si>
    <t xml:space="preserve">Post </t>
  </si>
  <si>
    <t>03.09.2019</t>
  </si>
  <si>
    <t xml:space="preserve"> 4 dessins et deux items parès coups</t>
  </si>
  <si>
    <t xml:space="preserve">pommes de terre </t>
  </si>
  <si>
    <t xml:space="preserve">items </t>
  </si>
  <si>
    <t>chouter</t>
  </si>
  <si>
    <t>caramel</t>
  </si>
  <si>
    <t>choisir</t>
  </si>
  <si>
    <t>serrer</t>
  </si>
  <si>
    <t>catastrophe</t>
  </si>
  <si>
    <t>climat</t>
  </si>
  <si>
    <t>cartouche</t>
  </si>
  <si>
    <t>clouer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</si>
  <si>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7 /40</t>
    </r>
  </si>
  <si>
    <t>API</t>
  </si>
  <si>
    <t>non mot</t>
  </si>
  <si>
    <t>regulier</t>
  </si>
  <si>
    <t>irregulier</t>
  </si>
  <si>
    <t>noumiste</t>
  </si>
  <si>
    <t>wagon</t>
  </si>
  <si>
    <t>consul</t>
  </si>
  <si>
    <t>monsieur</t>
  </si>
  <si>
    <t>ubron</t>
  </si>
  <si>
    <t>spune</t>
  </si>
  <si>
    <t>jaguar</t>
  </si>
  <si>
    <t>répoune</t>
  </si>
  <si>
    <t>astrigon</t>
  </si>
  <si>
    <t>mirsane</t>
  </si>
  <si>
    <t>tronc</t>
  </si>
  <si>
    <t>saoul</t>
  </si>
  <si>
    <t>balcon</t>
  </si>
  <si>
    <t>bloc</t>
  </si>
  <si>
    <t>pentagone</t>
  </si>
  <si>
    <t>outil</t>
  </si>
  <si>
    <t>arkiton</t>
  </si>
  <si>
    <t>respect</t>
  </si>
  <si>
    <t>couguar</t>
  </si>
  <si>
    <t>bitume</t>
  </si>
  <si>
    <t>languette</t>
  </si>
  <si>
    <t>pendentif</t>
  </si>
  <si>
    <t>houle</t>
  </si>
  <si>
    <t>caspau</t>
  </si>
  <si>
    <t>pied</t>
  </si>
  <si>
    <t>ochisse</t>
  </si>
  <si>
    <t>kiosque</t>
  </si>
  <si>
    <t>chêne</t>
  </si>
  <si>
    <t>emmenthal</t>
  </si>
  <si>
    <t>chapelure</t>
  </si>
  <si>
    <t>charisme</t>
  </si>
  <si>
    <t>choeur</t>
  </si>
  <si>
    <t>contact</t>
  </si>
  <si>
    <t>crofilu</t>
  </si>
  <si>
    <t>dompteur</t>
  </si>
  <si>
    <t>coualte</t>
  </si>
  <si>
    <t>pouls</t>
  </si>
  <si>
    <t>figoir</t>
  </si>
  <si>
    <t>achupe</t>
  </si>
  <si>
    <t>vatreuil</t>
  </si>
  <si>
    <t>iguane</t>
  </si>
  <si>
    <t>izome</t>
  </si>
  <si>
    <t>quartz</t>
  </si>
  <si>
    <t>ᴐklum</t>
  </si>
  <si>
    <t>sawul</t>
  </si>
  <si>
    <t>ematal</t>
  </si>
  <si>
    <t>ʃaᴙism</t>
  </si>
  <si>
    <t>pul</t>
  </si>
  <si>
    <t>40/45</t>
  </si>
  <si>
    <t>vatrwaj</t>
  </si>
  <si>
    <r>
      <t>ka</t>
    </r>
    <r>
      <rPr>
        <sz val="11"/>
        <color theme="1"/>
        <rFont val="Calibri"/>
        <family val="2"/>
      </rPr>
      <t>ᴙts</t>
    </r>
  </si>
  <si>
    <t>util</t>
  </si>
  <si>
    <t>numust</t>
  </si>
  <si>
    <t>ʃwɶᴙ</t>
  </si>
  <si>
    <t>ciel</t>
  </si>
  <si>
    <t>koumilié</t>
  </si>
  <si>
    <t>sagon</t>
  </si>
  <si>
    <t>instinct</t>
  </si>
  <si>
    <t>dolcon</t>
  </si>
  <si>
    <t>porche</t>
  </si>
  <si>
    <t>flanc</t>
  </si>
  <si>
    <t>aric</t>
  </si>
  <si>
    <t>estomac</t>
  </si>
  <si>
    <t>chlore</t>
  </si>
  <si>
    <t>amachile</t>
  </si>
  <si>
    <t>oisillon</t>
  </si>
  <si>
    <t>clef</t>
  </si>
  <si>
    <t>volupté</t>
  </si>
  <si>
    <t>laitue</t>
  </si>
  <si>
    <t>pougo</t>
  </si>
  <si>
    <t>manioc</t>
  </si>
  <si>
    <t>géranium</t>
  </si>
  <si>
    <t>service</t>
  </si>
  <si>
    <t>colume</t>
  </si>
  <si>
    <t>square</t>
  </si>
  <si>
    <t>orchidée</t>
  </si>
  <si>
    <t>sculpture</t>
  </si>
  <si>
    <t>mythe</t>
  </si>
  <si>
    <t>oignon</t>
  </si>
  <si>
    <t>vapou</t>
  </si>
  <si>
    <t>tonguelle</t>
  </si>
  <si>
    <t>galop</t>
  </si>
  <si>
    <t>bec</t>
  </si>
  <si>
    <t>pouliche</t>
  </si>
  <si>
    <t>réflexion</t>
  </si>
  <si>
    <t>pintatine</t>
  </si>
  <si>
    <t>vakou</t>
  </si>
  <si>
    <t>reliquat</t>
  </si>
  <si>
    <t>paltice</t>
  </si>
  <si>
    <t>tabac</t>
  </si>
  <si>
    <t>locrume</t>
  </si>
  <si>
    <t>sédiment</t>
  </si>
  <si>
    <t>lecture</t>
  </si>
  <si>
    <t>covric</t>
  </si>
  <si>
    <t>légume</t>
  </si>
  <si>
    <t>faisan</t>
  </si>
  <si>
    <t>lichen</t>
  </si>
  <si>
    <t>marecte</t>
  </si>
  <si>
    <t>équation</t>
  </si>
  <si>
    <r>
      <t>k</t>
    </r>
    <r>
      <rPr>
        <sz val="11"/>
        <color theme="1"/>
        <rFont val="Calibri"/>
        <family val="2"/>
      </rPr>
      <t>ᴐmilje</t>
    </r>
  </si>
  <si>
    <t>ἕstaἕkt</t>
  </si>
  <si>
    <r>
      <t>kl</t>
    </r>
    <r>
      <rPr>
        <sz val="11"/>
        <color theme="1"/>
        <rFont val="Calibri"/>
        <family val="2"/>
      </rPr>
      <t>εf</t>
    </r>
  </si>
  <si>
    <r>
      <t>t</t>
    </r>
    <r>
      <rPr>
        <sz val="11"/>
        <color theme="1"/>
        <rFont val="Calibri"/>
        <family val="2"/>
      </rPr>
      <t>ᴐgo</t>
    </r>
  </si>
  <si>
    <r>
      <t>wa</t>
    </r>
    <r>
      <rPr>
        <sz val="11"/>
        <color theme="1"/>
        <rFont val="Calibri"/>
        <family val="2"/>
      </rPr>
      <t>ᶯỘ</t>
    </r>
  </si>
  <si>
    <r>
      <t>t</t>
    </r>
    <r>
      <rPr>
        <sz val="11"/>
        <color theme="1"/>
        <rFont val="Calibri"/>
        <family val="2"/>
      </rPr>
      <t>ᴐgεl</t>
    </r>
  </si>
  <si>
    <r>
      <t>f</t>
    </r>
    <r>
      <rPr>
        <sz val="11"/>
        <color theme="1"/>
        <rFont val="Calibri"/>
        <family val="2"/>
      </rPr>
      <t>εzᾰ</t>
    </r>
  </si>
  <si>
    <r>
      <t>li</t>
    </r>
    <r>
      <rPr>
        <sz val="11"/>
        <color theme="1"/>
        <rFont val="Calibri"/>
        <family val="2"/>
      </rPr>
      <t>ʃεn</t>
    </r>
  </si>
  <si>
    <r>
      <t>ma</t>
    </r>
    <r>
      <rPr>
        <sz val="11"/>
        <color theme="1"/>
        <rFont val="Calibri"/>
        <family val="2"/>
      </rPr>
      <t>ᴙεkto</t>
    </r>
  </si>
  <si>
    <t>36/45</t>
  </si>
  <si>
    <r>
      <t>m</t>
    </r>
    <r>
      <rPr>
        <sz val="11"/>
        <color theme="1"/>
        <rFont val="Calibri"/>
        <family val="2"/>
      </rPr>
      <t>ᴐᶯᴐk</t>
    </r>
  </si>
  <si>
    <r>
      <t>sedim</t>
    </r>
    <r>
      <rPr>
        <sz val="11"/>
        <color theme="1"/>
        <rFont val="Calibri"/>
        <family val="2"/>
      </rPr>
      <t>ᾰ</t>
    </r>
  </si>
  <si>
    <t>ἕstikt</t>
  </si>
  <si>
    <r>
      <t>wasij</t>
    </r>
    <r>
      <rPr>
        <sz val="11"/>
        <color theme="1"/>
        <rFont val="Calibri"/>
        <family val="2"/>
      </rPr>
      <t>Ộ</t>
    </r>
  </si>
  <si>
    <t>après coup !!! Correct</t>
  </si>
  <si>
    <t>39/45</t>
  </si>
  <si>
    <t>c'est un ah...zute</t>
  </si>
  <si>
    <t>c'est un….</t>
  </si>
  <si>
    <t>je vois très bien ce que c'est</t>
  </si>
  <si>
    <t>ça c'est un truc qui se mange</t>
  </si>
  <si>
    <t>ça c'est un eh….zute</t>
  </si>
  <si>
    <t>ça c'est un ….un truc qui tourne là</t>
  </si>
  <si>
    <t>ça c'est un lire ….un livre</t>
  </si>
  <si>
    <t>ça c'est une petite bête qui euh….</t>
  </si>
  <si>
    <t>ça c'est un poisson</t>
  </si>
  <si>
    <t>ça c'est pour bloquer une porte ou</t>
  </si>
  <si>
    <t>ça c'est un …</t>
  </si>
  <si>
    <t>ça c'est du…ça se mange c'est un,</t>
  </si>
  <si>
    <t>ça c'est de petits comments ils s'appellent…</t>
  </si>
  <si>
    <t>ça c'est pour jouer pour faire du…</t>
  </si>
  <si>
    <t>ça c'est pour mettre des cochoneries</t>
  </si>
  <si>
    <t>ça c'est une petite herbe</t>
  </si>
  <si>
    <t>ça c'est euh…oh là là</t>
  </si>
  <si>
    <t>c'est un rat…un, un  comment on appelle ça un truc qui est sur le sol là</t>
  </si>
  <si>
    <t>une direction</t>
  </si>
  <si>
    <t>ça c'est un cheval</t>
  </si>
  <si>
    <t>ça c'est pfff c'est pout mesurer</t>
  </si>
  <si>
    <t>ça c'est une petite bête qui qui traine partout</t>
  </si>
  <si>
    <t>ça c'est ce que je vous ai montré tout à l'heure c'est euh…</t>
  </si>
  <si>
    <t>ça chais pas</t>
  </si>
  <si>
    <t xml:space="preserve">ça c'est pour téléphoner </t>
  </si>
  <si>
    <t>ça c'est pour couper</t>
  </si>
  <si>
    <t>ça c'est pour jourer de la musique c'est, c'est euh comment on appelle ça ….</t>
  </si>
  <si>
    <t>ça c'est pour manger c'est</t>
  </si>
  <si>
    <t>ça c'est un avion</t>
  </si>
  <si>
    <t>ça je ne sais pas je ne sais pas ce que c'est je ne sais pas à quoi ça sert</t>
  </si>
  <si>
    <t xml:space="preserve">ça c'est pour pour la la </t>
  </si>
  <si>
    <t>ça c'est…</t>
  </si>
  <si>
    <t>ça c'est pour avoir l'heure</t>
  </si>
  <si>
    <t>ça c'est un lion…je ne sais pas je dis ça comme ça</t>
  </si>
  <si>
    <t>ça c'est un…</t>
  </si>
  <si>
    <t>ça c'est un oh…je ne sais pas comme ça s'appelle</t>
  </si>
  <si>
    <t xml:space="preserve">Identification : </t>
  </si>
  <si>
    <t>Examen Clinique :</t>
  </si>
  <si>
    <t>Langage :</t>
  </si>
  <si>
    <t xml:space="preserve">ECRF </t>
  </si>
  <si>
    <t>examen neurologique élémentaire</t>
  </si>
  <si>
    <t>Echelle de sévérité de l'aphasie (BDAE)</t>
  </si>
  <si>
    <t>base de données EXCEL</t>
  </si>
  <si>
    <t>praxies idéo-motrices</t>
  </si>
  <si>
    <t>anonimisation imagerie</t>
  </si>
  <si>
    <t>fonctions executives</t>
  </si>
  <si>
    <t>DO 80 Score</t>
  </si>
  <si>
    <t>mémoire épisodique</t>
  </si>
  <si>
    <t>paraphasie sémantiques</t>
  </si>
  <si>
    <t>sexe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</si>
  <si>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</si>
  <si>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</si>
  <si>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</si>
  <si>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</si>
  <si>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</si>
  <si>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</si>
  <si>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</si>
  <si>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</si>
  <si>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</si>
  <si>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</si>
  <si>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</si>
  <si>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</si>
  <si>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</si>
  <si>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</si>
  <si>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</si>
  <si>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</si>
  <si>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</si>
  <si>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Empans chiffres directs</t>
  </si>
  <si>
    <t>Pyramide and Palm test (PPTI) verbal</t>
  </si>
  <si>
    <t>niveau d'études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</si>
  <si>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</si>
  <si>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</si>
  <si>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</si>
  <si>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</si>
  <si>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</si>
  <si>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</si>
  <si>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</si>
  <si>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</si>
  <si>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TMT B</t>
  </si>
  <si>
    <t>Test des portes A</t>
  </si>
  <si>
    <t>antécédents familiaux</t>
  </si>
  <si>
    <t>Test des portes B</t>
  </si>
  <si>
    <t>Praxies Mahieux</t>
  </si>
  <si>
    <t>Post 4 suivi</t>
  </si>
  <si>
    <t>10.11.2021</t>
  </si>
  <si>
    <t xml:space="preserve">Post 4 suivi </t>
  </si>
  <si>
    <t>001-0024-LLM</t>
  </si>
  <si>
    <t>001-0022-LM</t>
  </si>
  <si>
    <t>001-0023-LM</t>
  </si>
  <si>
    <t>femme</t>
  </si>
  <si>
    <t>droitière</t>
  </si>
  <si>
    <t>BAC+3</t>
  </si>
  <si>
    <t>ND</t>
  </si>
  <si>
    <t>non</t>
  </si>
  <si>
    <t>normal</t>
  </si>
  <si>
    <t>troubles mineurs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</si>
</sst>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9" tint="0.79998168889431442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0" fillId="3" borderId="0" xfId="0" applyFill="1"/>
    <xf numFmtId="0" fontId="9" fillId="0" borderId="0" xfId="0" applyFont="1"/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3" fillId="4" borderId="0" xfId="0" applyFont="1" applyFill="1"/>
    <xf numFmtId="0" fontId="11" fillId="5" borderId="0" xfId="0" applyFont="1" applyFill="1"/>
    <xf numFmtId="0" fontId="12" fillId="5" borderId="0" xfId="0" applyFont="1" applyFill="1"/>
    <xf numFmtId="0" fontId="12" fillId="0" borderId="0" xfId="0" applyFont="1" applyFill="1"/>
    <xf numFmtId="14" fontId="12" fillId="0" borderId="0" xfId="0" applyNumberFormat="1" applyFont="1"/>
    <xf numFmtId="0" fontId="12" fillId="6" borderId="0" xfId="0" applyFont="1" applyFill="1"/>
    <xf numFmtId="0" fontId="11" fillId="0" borderId="0" xfId="0" applyFont="1" applyFill="1"/>
    <xf numFmtId="0" fontId="12" fillId="4" borderId="0" xfId="0" applyFont="1" applyFill="1"/>
    <xf numFmtId="17" fontId="12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verbale'!$I$37</c:f>
              <c:strCache>
                <c:ptCount val="1"/>
                <c:pt idx="0">
                  <c:v>ACC AS verb /26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verbale'!$J$36:$L$36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verbale'!$J$37:$L$37</c:f>
              <c:numCache>
                <c:formatCode>General</c:formatCode>
                <c:ptCount val="3"/>
                <c:pt idx="0">
                  <c:v>11</c:v>
                </c:pt>
                <c:pt idx="1">
                  <c:v>15</c:v>
                </c:pt>
                <c:pt idx="2">
                  <c:v>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9A-486B-922F-0FFB6B6A9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436912"/>
        <c:axId val="234434952"/>
      </c:lineChart>
      <c:catAx>
        <c:axId val="23443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4434952"/>
        <c:crosses val="autoZero"/>
        <c:auto val="1"/>
        <c:lblAlgn val="ctr"/>
        <c:lblOffset val="100"/>
        <c:noMultiLvlLbl val="0"/>
      </c:catAx>
      <c:valAx>
        <c:axId val="23443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443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verbale'!$O$37</c:f>
              <c:strCache>
                <c:ptCount val="1"/>
                <c:pt idx="0">
                  <c:v>TR AS verb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verbale'!$P$36:$R$36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verbale'!$P$37:$R$37</c:f>
              <c:numCache>
                <c:formatCode>General</c:formatCode>
                <c:ptCount val="3"/>
                <c:pt idx="0">
                  <c:v>6181</c:v>
                </c:pt>
                <c:pt idx="1">
                  <c:v>5247.2</c:v>
                </c:pt>
                <c:pt idx="2">
                  <c:v>5452.17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99-4601-9D72-00E9D9D65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437304"/>
        <c:axId val="234436520"/>
      </c:lineChart>
      <c:catAx>
        <c:axId val="23443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4436520"/>
        <c:crosses val="autoZero"/>
        <c:auto val="1"/>
        <c:lblAlgn val="ctr"/>
        <c:lblOffset val="100"/>
        <c:noMultiLvlLbl val="0"/>
      </c:catAx>
      <c:valAx>
        <c:axId val="23443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443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verbale'!$I$37</c:f>
              <c:strCache>
                <c:ptCount val="1"/>
                <c:pt idx="0">
                  <c:v>ACC AS verb /26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'AS verbale'!$J$36:$M$36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verbale'!$J$37:$M$37</c:f>
              <c:numCache>
                <c:formatCode>General</c:formatCode>
                <c:ptCount val="4"/>
                <c:pt idx="0">
                  <c:v>11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4702272"/>
        <c:axId val="304701880"/>
      </c:lineChart>
      <c:catAx>
        <c:axId val="304702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4701880"/>
        <c:crosses val="autoZero"/>
        <c:auto val="1"/>
        <c:lblAlgn val="ctr"/>
        <c:lblOffset val="100"/>
        <c:noMultiLvlLbl val="0"/>
      </c:catAx>
      <c:valAx>
        <c:axId val="3047018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470227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'AS verbale'!$O$37</c:f>
              <c:strCache>
                <c:ptCount val="1"/>
                <c:pt idx="0">
                  <c:v>TR AS verb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verbale'!$P$36:$S$36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verbale'!$P$37:$S$37</c:f>
              <c:numCache>
                <c:formatCode>General</c:formatCode>
                <c:ptCount val="4"/>
                <c:pt idx="0">
                  <c:v>6181</c:v>
                </c:pt>
                <c:pt idx="1">
                  <c:v>5247.2</c:v>
                </c:pt>
                <c:pt idx="2">
                  <c:v>5452.17</c:v>
                </c:pt>
                <c:pt idx="3">
                  <c:v>6173.57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4700312"/>
        <c:axId val="304699920"/>
      </c:lineChart>
      <c:catAx>
        <c:axId val="304700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crossAx val="304699920"/>
        <c:crosses val="autoZero"/>
        <c:auto val="1"/>
        <c:lblAlgn val="ctr"/>
        <c:lblOffset val="100"/>
        <c:noMultiLvlLbl val="0"/>
      </c:catAx>
      <c:valAx>
        <c:axId val="304699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3047003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visuelle'!$D$48</c:f>
              <c:strCache>
                <c:ptCount val="1"/>
                <c:pt idx="0">
                  <c:v>ACC AS visu /26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visuelle'!$E$47:$G$47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visuelle'!$E$48:$G$48</c:f>
              <c:numCache>
                <c:formatCode>General</c:formatCode>
                <c:ptCount val="3"/>
                <c:pt idx="0">
                  <c:v>17</c:v>
                </c:pt>
                <c:pt idx="1">
                  <c:v>18</c:v>
                </c:pt>
                <c:pt idx="2">
                  <c:v>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220-4CFE-A266-3DACF8F45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178416"/>
        <c:axId val="305178024"/>
      </c:lineChart>
      <c:catAx>
        <c:axId val="3051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5178024"/>
        <c:crosses val="autoZero"/>
        <c:auto val="1"/>
        <c:lblAlgn val="ctr"/>
        <c:lblOffset val="100"/>
        <c:noMultiLvlLbl val="0"/>
      </c:catAx>
      <c:valAx>
        <c:axId val="30517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517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visuelle'!$Q$36</c:f>
              <c:strCache>
                <c:ptCount val="1"/>
                <c:pt idx="0">
                  <c:v>TR AS visu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visuelle'!$R$35:$T$35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visuelle'!$R$36:$T$36</c:f>
              <c:numCache>
                <c:formatCode>General</c:formatCode>
                <c:ptCount val="3"/>
                <c:pt idx="0">
                  <c:v>3456.5882352941176</c:v>
                </c:pt>
                <c:pt idx="1">
                  <c:v>2789.6111111111113</c:v>
                </c:pt>
                <c:pt idx="2">
                  <c:v>2716.4210526315787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87-43A8-8043-CD66B118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177240"/>
        <c:axId val="305176848"/>
      </c:lineChart>
      <c:catAx>
        <c:axId val="305177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5176848"/>
        <c:crosses val="autoZero"/>
        <c:auto val="1"/>
        <c:lblAlgn val="ctr"/>
        <c:lblOffset val="100"/>
        <c:noMultiLvlLbl val="0"/>
      </c:catAx>
      <c:valAx>
        <c:axId val="3051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5177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'AS visuelle'!$D$48</c:f>
              <c:strCache>
                <c:ptCount val="1"/>
                <c:pt idx="0">
                  <c:v>ACC AS visu /26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'AS visuelle'!$E$47:$H$47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 </c:v>
                </c:pt>
              </c:strCache>
            </c:strRef>
          </c:cat>
          <c:val>
            <c:numRef>
              <c:f>'AS visuelle'!$E$48:$H$48</c:f>
              <c:numCache>
                <c:formatCode>General</c:formatCode>
                <c:ptCount val="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18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4701488"/>
        <c:axId val="305176064"/>
      </c:lineChart>
      <c:catAx>
        <c:axId val="304701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crossAx val="305176064"/>
        <c:crosses val="autoZero"/>
        <c:auto val="1"/>
        <c:lblAlgn val="ctr"/>
        <c:lblOffset val="100"/>
        <c:noMultiLvlLbl val="0"/>
      </c:catAx>
      <c:valAx>
        <c:axId val="3051760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4701488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'AS visuelle'!$Q$36</c:f>
              <c:strCache>
                <c:ptCount val="1"/>
                <c:pt idx="0">
                  <c:v>TR AS visu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'AS visuelle'!$R$35:$U$35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visuelle'!$R$36:$U$36</c:f>
              <c:numCache>
                <c:formatCode>General</c:formatCode>
                <c:ptCount val="4"/>
                <c:pt idx="0">
                  <c:v>3456.5882352941176</c:v>
                </c:pt>
                <c:pt idx="1">
                  <c:v>2789.6111111111113</c:v>
                </c:pt>
                <c:pt idx="2">
                  <c:v>2716.4210526315787</c:v>
                </c:pt>
                <c:pt idx="3">
                  <c:v>3530.05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5176456"/>
        <c:axId val="241040848"/>
      </c:lineChart>
      <c:catAx>
        <c:axId val="305176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41040848"/>
        <c:crosses val="autoZero"/>
        <c:auto val="1"/>
        <c:lblAlgn val="ctr"/>
        <c:lblOffset val="100"/>
        <c:noMultiLvlLbl val="0"/>
      </c:catAx>
      <c:valAx>
        <c:axId val="2410408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5176456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verb.'!$A$48</c:f>
              <c:strCache>
                <c:ptCount val="1"/>
                <c:pt idx="0">
                  <c:v>ACC Exe verb /26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 verb.'!$B$47:$D$47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'EXE verb.'!$B$48:$D$48</c:f>
              <c:numCache>
                <c:formatCode>General</c:formatCode>
                <c:ptCount val="3"/>
                <c:pt idx="0">
                  <c:v>21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37-4316-9B93-206F499A5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041240"/>
        <c:axId val="241042024"/>
      </c:lineChart>
      <c:catAx>
        <c:axId val="24104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1042024"/>
        <c:crosses val="autoZero"/>
        <c:auto val="1"/>
        <c:lblAlgn val="ctr"/>
        <c:lblOffset val="100"/>
        <c:noMultiLvlLbl val="0"/>
      </c:catAx>
      <c:valAx>
        <c:axId val="24104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104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verb.'!$T$35</c:f>
              <c:strCache>
                <c:ptCount val="1"/>
                <c:pt idx="0">
                  <c:v>TR Exe verb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 verb.'!$U$34:$W$34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'EXE verb.'!$U$35:$W$35</c:f>
              <c:numCache>
                <c:formatCode>General</c:formatCode>
                <c:ptCount val="3"/>
                <c:pt idx="0">
                  <c:v>3100.3333333333335</c:v>
                </c:pt>
                <c:pt idx="1">
                  <c:v>2803.5769230769229</c:v>
                </c:pt>
                <c:pt idx="2">
                  <c:v>2992.2692307692309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66-41C3-8F41-377B3E954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039280"/>
        <c:axId val="241040064"/>
      </c:lineChart>
      <c:catAx>
        <c:axId val="24103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1040064"/>
        <c:crosses val="autoZero"/>
        <c:auto val="1"/>
        <c:lblAlgn val="ctr"/>
        <c:lblOffset val="100"/>
        <c:noMultiLvlLbl val="0"/>
      </c:catAx>
      <c:valAx>
        <c:axId val="2410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103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'EXE verb.'!$T$35</c:f>
              <c:strCache>
                <c:ptCount val="1"/>
                <c:pt idx="0">
                  <c:v>TR Exe verb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'EXE verb.'!$U$34:$X$34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verb.'!$U$35:$X$35</c:f>
              <c:numCache>
                <c:formatCode>General</c:formatCode>
                <c:ptCount val="4"/>
                <c:pt idx="0">
                  <c:v>3100.3333333333335</c:v>
                </c:pt>
                <c:pt idx="1">
                  <c:v>2803.5769230769229</c:v>
                </c:pt>
                <c:pt idx="2">
                  <c:v>2992.2692307692309</c:v>
                </c:pt>
                <c:pt idx="3">
                  <c:v>3007.65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6699664"/>
        <c:axId val="306701624"/>
      </c:lineChart>
      <c:catAx>
        <c:axId val="306699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crossAx val="306701624"/>
        <c:crosses val="autoZero"/>
        <c:auto val="1"/>
        <c:lblAlgn val="ctr"/>
        <c:lblOffset val="100"/>
        <c:noMultiLvlLbl val="0"/>
      </c:catAx>
      <c:valAx>
        <c:axId val="3067016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6699664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'EXE verb.'!$A$48</c:f>
              <c:strCache>
                <c:ptCount val="1"/>
                <c:pt idx="0">
                  <c:v>ACC Exe verb /26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'EXE verb.'!$B$47:$E$47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verb.'!$B$48:$E$48</c:f>
              <c:numCache>
                <c:formatCode>General</c:formatCode>
                <c:ptCount val="4"/>
                <c:pt idx="0">
                  <c:v>21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6700448"/>
        <c:axId val="306700840"/>
      </c:lineChart>
      <c:catAx>
        <c:axId val="306700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crossAx val="306700840"/>
        <c:crosses val="autoZero"/>
        <c:auto val="1"/>
        <c:lblAlgn val="ctr"/>
        <c:lblOffset val="100"/>
        <c:noMultiLvlLbl val="0"/>
      </c:catAx>
      <c:valAx>
        <c:axId val="3067008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6700448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visu.'!$A$49</c:f>
              <c:strCache>
                <c:ptCount val="1"/>
                <c:pt idx="0">
                  <c:v>ACC Exe visu/26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 visu.'!$B$48:$D$48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'EXE visu.'!$B$49:$D$49</c:f>
              <c:numCache>
                <c:formatCode>General</c:formatCode>
                <c:ptCount val="3"/>
                <c:pt idx="0">
                  <c:v>23</c:v>
                </c:pt>
                <c:pt idx="1">
                  <c:v>21</c:v>
                </c:pt>
                <c:pt idx="2">
                  <c:v>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84-4393-AB13-87230147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702800"/>
        <c:axId val="306703192"/>
      </c:lineChart>
      <c:catAx>
        <c:axId val="3067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703192"/>
        <c:crosses val="autoZero"/>
        <c:auto val="1"/>
        <c:lblAlgn val="ctr"/>
        <c:lblOffset val="100"/>
        <c:noMultiLvlLbl val="0"/>
      </c:catAx>
      <c:valAx>
        <c:axId val="30670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670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visu.'!$T$35</c:f>
              <c:strCache>
                <c:ptCount val="1"/>
                <c:pt idx="0">
                  <c:v>TR Exe visu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 visu.'!$U$34:$W$34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'EXE visu.'!$U$35:$W$35</c:f>
              <c:numCache>
                <c:formatCode>General</c:formatCode>
                <c:ptCount val="3"/>
                <c:pt idx="0">
                  <c:v>2594.521739130435</c:v>
                </c:pt>
                <c:pt idx="1">
                  <c:v>2607.0952380952381</c:v>
                </c:pt>
                <c:pt idx="2">
                  <c:v>3329.24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527-44B2-B1F7-35B35A301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841544"/>
        <c:axId val="238841936"/>
      </c:lineChart>
      <c:catAx>
        <c:axId val="23884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841936"/>
        <c:crosses val="autoZero"/>
        <c:auto val="1"/>
        <c:lblAlgn val="ctr"/>
        <c:lblOffset val="100"/>
        <c:noMultiLvlLbl val="0"/>
      </c:catAx>
      <c:valAx>
        <c:axId val="2388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841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'EXE visu.'!$A$49</c:f>
              <c:strCache>
                <c:ptCount val="1"/>
                <c:pt idx="0">
                  <c:v>ACC Exe visu/26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'EXE visu.'!$B$48:$E$48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visu.'!$B$49:$E$49</c:f>
              <c:numCache>
                <c:formatCode>General</c:formatCode>
                <c:ptCount val="4"/>
                <c:pt idx="0">
                  <c:v>23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8841152"/>
        <c:axId val="238843504"/>
      </c:lineChart>
      <c:catAx>
        <c:axId val="23884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8843504"/>
        <c:crosses val="autoZero"/>
        <c:auto val="1"/>
        <c:lblAlgn val="ctr"/>
        <c:lblOffset val="100"/>
        <c:noMultiLvlLbl val="0"/>
      </c:catAx>
      <c:valAx>
        <c:axId val="2388435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8841152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'EXE visu.'!$T$35</c:f>
              <c:strCache>
                <c:ptCount val="1"/>
                <c:pt idx="0">
                  <c:v>TR Exe visu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'EXE visu.'!$U$34:$X$34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visu.'!$U$35:$X$35</c:f>
              <c:numCache>
                <c:formatCode>General</c:formatCode>
                <c:ptCount val="4"/>
                <c:pt idx="0">
                  <c:v>2594.521739130435</c:v>
                </c:pt>
                <c:pt idx="1">
                  <c:v>2607.0952380952381</c:v>
                </c:pt>
                <c:pt idx="2">
                  <c:v>3329.24</c:v>
                </c:pt>
                <c:pt idx="3">
                  <c:v>3428.21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8840368"/>
        <c:axId val="236712984"/>
      </c:lineChart>
      <c:catAx>
        <c:axId val="238840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crossAx val="236712984"/>
        <c:crosses val="autoZero"/>
        <c:auto val="1"/>
        <c:lblAlgn val="ctr"/>
        <c:lblOffset val="100"/>
        <c:noMultiLvlLbl val="0"/>
      </c:catAx>
      <c:valAx>
        <c:axId val="236712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8840368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'FLUENCE cat.'!$H$11</c:f>
              <c:strCache>
                <c:ptCount val="1"/>
                <c:pt idx="0">
                  <c:v>FLU Cat.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'FLUENCE cat.'!$I$10:$K$10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'FLUENCE cat.'!$I$11:$K$11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A45-4E19-AE8F-3BBAD893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715336"/>
        <c:axId val="236714552"/>
      </c:lineChart>
      <c:catAx>
        <c:axId val="23671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714552"/>
        <c:crosses val="autoZero"/>
        <c:auto val="1"/>
        <c:lblAlgn val="ctr"/>
        <c:lblOffset val="100"/>
        <c:noMultiLvlLbl val="0"/>
      </c:catAx>
      <c:valAx>
        <c:axId val="23671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715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'FLUENCE cat.'!$H$11</c:f>
              <c:strCache>
                <c:ptCount val="1"/>
                <c:pt idx="0">
                  <c:v>FLU Cat.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'FLUENCE cat.'!$I$10:$L$10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'FLUENCE cat.'!$I$11:$L$11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4945664"/>
        <c:axId val="304946056"/>
      </c:lineChart>
      <c:catAx>
        <c:axId val="304945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4946056"/>
        <c:crosses val="autoZero"/>
        <c:auto val="1"/>
        <c:lblAlgn val="ctr"/>
        <c:lblOffset val="100"/>
        <c:noMultiLvlLbl val="0"/>
      </c:catAx>
      <c:valAx>
        <c:axId val="304946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4945664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'FLUENCE verb.'!$L$18</c:f>
              <c:strCache>
                <c:ptCount val="1"/>
                <c:pt idx="0">
                  <c:v>Flu. Litt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'FLUENCE verb.'!$M$17:$O$17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'FLUENCE verb.'!$M$18:$O$18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95E-40BB-805A-BA770957A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946840"/>
        <c:axId val="304947232"/>
      </c:lineChart>
      <c:catAx>
        <c:axId val="30494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4947232"/>
        <c:crosses val="autoZero"/>
        <c:auto val="1"/>
        <c:lblAlgn val="ctr"/>
        <c:lblOffset val="100"/>
        <c:noMultiLvlLbl val="0"/>
      </c:catAx>
      <c:valAx>
        <c:axId val="30494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494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'FLUENCE verb.'!$L$18</c:f>
              <c:strCache>
                <c:ptCount val="1"/>
                <c:pt idx="0">
                  <c:v>Flu. Litt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'FLUENCE verb.'!$M$17:$P$17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'FLUENCE verb.'!$M$18:$P$18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10</c:v>
                </c:pt>
                <c:pt idx="3">
                  <c:v>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4948016"/>
        <c:axId val="304948408"/>
      </c:lineChart>
      <c:catAx>
        <c:axId val="304948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4948408"/>
        <c:crosses val="autoZero"/>
        <c:auto val="1"/>
        <c:lblAlgn val="ctr"/>
        <c:lblOffset val="100"/>
        <c:noMultiLvlLbl val="0"/>
      </c:catAx>
      <c:valAx>
        <c:axId val="3049484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4948016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 cat.'!$A$64</c:f>
              <c:strCache>
                <c:ptCount val="1"/>
                <c:pt idx="0">
                  <c:v>ACC DC Cat /40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 cat.'!$B$63:$D$63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'DC cat.'!$B$64:$D$64</c:f>
              <c:numCache>
                <c:formatCode>General</c:formatCode>
                <c:ptCount val="3"/>
                <c:pt idx="0">
                  <c:v>39</c:v>
                </c:pt>
                <c:pt idx="1">
                  <c:v>31</c:v>
                </c:pt>
                <c:pt idx="2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212-41DD-B08A-C43D995AE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049208"/>
        <c:axId val="238049600"/>
      </c:lineChart>
      <c:catAx>
        <c:axId val="23804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049600"/>
        <c:crosses val="autoZero"/>
        <c:auto val="1"/>
        <c:lblAlgn val="ctr"/>
        <c:lblOffset val="100"/>
        <c:noMultiLvlLbl val="0"/>
      </c:catAx>
      <c:valAx>
        <c:axId val="2380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049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'DC cat.'!$A$64</c:f>
              <c:strCache>
                <c:ptCount val="1"/>
                <c:pt idx="0">
                  <c:v>ACC DC Cat /40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'DC cat.'!$B$63:$E$63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'DC cat.'!$B$64:$E$64</c:f>
              <c:numCache>
                <c:formatCode>General</c:formatCode>
                <c:ptCount val="4"/>
                <c:pt idx="0">
                  <c:v>39</c:v>
                </c:pt>
                <c:pt idx="1">
                  <c:v>31</c:v>
                </c:pt>
                <c:pt idx="2">
                  <c:v>38</c:v>
                </c:pt>
                <c:pt idx="3">
                  <c:v>37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8050384"/>
        <c:axId val="238050776"/>
      </c:lineChart>
      <c:catAx>
        <c:axId val="238050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crossAx val="238050776"/>
        <c:crosses val="autoZero"/>
        <c:auto val="1"/>
        <c:lblAlgn val="ctr"/>
        <c:lblOffset val="100"/>
        <c:noMultiLvlLbl val="0"/>
      </c:catAx>
      <c:valAx>
        <c:axId val="238050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8050384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'DC cat.'!$S$51</c:f>
              <c:strCache>
                <c:ptCount val="1"/>
                <c:pt idx="0">
                  <c:v>TR DC Cat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'DC cat.'!$T$50:$W$50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'DC cat.'!$T$51:$W$51</c:f>
              <c:numCache>
                <c:formatCode>General</c:formatCode>
                <c:ptCount val="4"/>
                <c:pt idx="0">
                  <c:v>2129.5641025641025</c:v>
                </c:pt>
                <c:pt idx="1">
                  <c:v>2119.3225806451615</c:v>
                </c:pt>
                <c:pt idx="2">
                  <c:v>2089.1578947368421</c:v>
                </c:pt>
                <c:pt idx="3">
                  <c:v>2114.27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8051560"/>
        <c:axId val="238051952"/>
      </c:lineChart>
      <c:catAx>
        <c:axId val="238051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8051952"/>
        <c:crosses val="autoZero"/>
        <c:auto val="1"/>
        <c:lblAlgn val="ctr"/>
        <c:lblOffset val="100"/>
        <c:noMultiLvlLbl val="0"/>
      </c:catAx>
      <c:valAx>
        <c:axId val="238051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8051560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DENO!$B$46</c:f>
              <c:strCache>
                <c:ptCount val="1"/>
                <c:pt idx="0">
                  <c:v>Déno / 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DENO!$C$45:$E$45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DENO!$C$46:$E$46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72-4689-B904-C84705579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362168"/>
        <c:axId val="303362560"/>
      </c:lineChart>
      <c:catAx>
        <c:axId val="30336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3362560"/>
        <c:crosses val="autoZero"/>
        <c:auto val="1"/>
        <c:lblAlgn val="ctr"/>
        <c:lblOffset val="100"/>
        <c:noMultiLvlLbl val="0"/>
      </c:catAx>
      <c:valAx>
        <c:axId val="30336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3362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DENO!$B$46</c:f>
              <c:strCache>
                <c:ptCount val="1"/>
                <c:pt idx="0">
                  <c:v>Déno / 40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DENO!$C$45:$F$45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DENO!$C$46:$F$46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3363344"/>
        <c:axId val="303363736"/>
      </c:lineChart>
      <c:catAx>
        <c:axId val="303363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3363736"/>
        <c:crosses val="autoZero"/>
        <c:auto val="1"/>
        <c:lblAlgn val="ctr"/>
        <c:lblOffset val="100"/>
        <c:noMultiLvlLbl val="0"/>
      </c:catAx>
      <c:valAx>
        <c:axId val="3033637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3363344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BIP!$H$25</c:f>
              <c:strCache>
                <c:ptCount val="1"/>
                <c:pt idx="0">
                  <c:v>BIP ACC / 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BIP!$I$24:$K$24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BIP!$I$25:$K$25</c:f>
              <c:numCache>
                <c:formatCode>General</c:formatCode>
                <c:ptCount val="3"/>
                <c:pt idx="0">
                  <c:v>7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1C6-44D4-BF34-8AFFEEA78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364520"/>
        <c:axId val="303364912"/>
      </c:lineChart>
      <c:catAx>
        <c:axId val="30336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3364912"/>
        <c:crosses val="autoZero"/>
        <c:auto val="1"/>
        <c:lblAlgn val="ctr"/>
        <c:lblOffset val="100"/>
        <c:noMultiLvlLbl val="0"/>
      </c:catAx>
      <c:valAx>
        <c:axId val="3033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3364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BIP!$H$25</c:f>
              <c:strCache>
                <c:ptCount val="1"/>
                <c:pt idx="0">
                  <c:v>BIP ACC / 14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BIP!$I$24:$L$24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BIP!$I$25:$L$25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3365696"/>
        <c:axId val="236969160"/>
      </c:lineChart>
      <c:catAx>
        <c:axId val="303365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6969160"/>
        <c:crosses val="autoZero"/>
        <c:auto val="1"/>
        <c:lblAlgn val="ctr"/>
        <c:lblOffset val="100"/>
        <c:noMultiLvlLbl val="0"/>
      </c:catAx>
      <c:valAx>
        <c:axId val="2369691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3365696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27</xdr:row>
      <xdr:rowOff>171450</xdr:rowOff>
    </xdr:from>
    <xdr:to>
      <xdr:col>6</xdr:col>
      <xdr:colOff>990600</xdr:colOff>
      <xdr:row>42</xdr:row>
      <xdr:rowOff>47625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857250</xdr:colOff>
      <xdr:row>15</xdr:row>
      <xdr:rowOff>76200</xdr:rowOff>
    </xdr:from>
    <xdr:to>
      <xdr:col>13</xdr:col>
      <xdr:colOff>733425</xdr:colOff>
      <xdr:row>29</xdr:row>
      <xdr:rowOff>142875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600075</xdr:colOff>
      <xdr:row>28</xdr:row>
      <xdr:rowOff>180975</xdr:rowOff>
    </xdr:from>
    <xdr:to>
      <xdr:col>10</xdr:col>
      <xdr:colOff>485775</xdr:colOff>
      <xdr:row>43</xdr:row>
      <xdr:rowOff>57150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1390650</xdr:colOff>
      <xdr:row>34</xdr:row>
      <xdr:rowOff>57150</xdr:rowOff>
    </xdr:from>
    <xdr:to>
      <xdr:col>19</xdr:col>
      <xdr:colOff>409575</xdr:colOff>
      <xdr:row>48</xdr:row>
      <xdr:rowOff>133350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29</xdr:row>
      <xdr:rowOff>180975</xdr:rowOff>
    </xdr:from>
    <xdr:to>
      <xdr:col>7</xdr:col>
      <xdr:colOff>161925</xdr:colOff>
      <xdr:row>44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685800</xdr:colOff>
      <xdr:row>37</xdr:row>
      <xdr:rowOff>28575</xdr:rowOff>
    </xdr:from>
    <xdr:to>
      <xdr:col>20</xdr:col>
      <xdr:colOff>152400</xdr:colOff>
      <xdr:row>51</xdr:row>
      <xdr:rowOff>104775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447675</xdr:colOff>
      <xdr:row>31</xdr:row>
      <xdr:rowOff>0</xdr:rowOff>
    </xdr:from>
    <xdr:to>
      <xdr:col>12</xdr:col>
      <xdr:colOff>266700</xdr:colOff>
      <xdr:row>45</xdr:row>
      <xdr:rowOff>76200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638175</xdr:colOff>
      <xdr:row>36</xdr:row>
      <xdr:rowOff>171450</xdr:rowOff>
    </xdr:from>
    <xdr:to>
      <xdr:col>24</xdr:col>
      <xdr:colOff>276225</xdr:colOff>
      <xdr:row>51</xdr:row>
      <xdr:rowOff>57150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30</xdr:row>
      <xdr:rowOff>104775</xdr:rowOff>
    </xdr:from>
    <xdr:to>
      <xdr:col>5</xdr:col>
      <xdr:colOff>533400</xdr:colOff>
      <xdr:row>44</xdr:row>
      <xdr:rowOff>180975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31</xdr:row>
      <xdr:rowOff>66675</xdr:rowOff>
    </xdr:from>
    <xdr:to>
      <xdr:col>16</xdr:col>
      <xdr:colOff>133350</xdr:colOff>
      <xdr:row>45</xdr:row>
      <xdr:rowOff>142875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447675</xdr:colOff>
      <xdr:row>36</xdr:row>
      <xdr:rowOff>180975</xdr:rowOff>
    </xdr:from>
    <xdr:to>
      <xdr:col>21</xdr:col>
      <xdr:colOff>657225</xdr:colOff>
      <xdr:row>51</xdr:row>
      <xdr:rowOff>66675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676275</xdr:colOff>
      <xdr:row>30</xdr:row>
      <xdr:rowOff>114300</xdr:rowOff>
    </xdr:from>
    <xdr:to>
      <xdr:col>9</xdr:col>
      <xdr:colOff>9525</xdr:colOff>
      <xdr:row>45</xdr:row>
      <xdr:rowOff>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30</xdr:row>
      <xdr:rowOff>152400</xdr:rowOff>
    </xdr:from>
    <xdr:to>
      <xdr:col>5</xdr:col>
      <xdr:colOff>819150</xdr:colOff>
      <xdr:row>45</xdr:row>
      <xdr:rowOff>38100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428625</xdr:colOff>
      <xdr:row>35</xdr:row>
      <xdr:rowOff>104775</xdr:rowOff>
    </xdr:from>
    <xdr:to>
      <xdr:col>20</xdr:col>
      <xdr:colOff>428625</xdr:colOff>
      <xdr:row>49</xdr:row>
      <xdr:rowOff>180975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1085850</xdr:colOff>
      <xdr:row>31</xdr:row>
      <xdr:rowOff>85725</xdr:rowOff>
    </xdr:from>
    <xdr:to>
      <xdr:col>11</xdr:col>
      <xdr:colOff>285750</xdr:colOff>
      <xdr:row>45</xdr:row>
      <xdr:rowOff>161925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733425</xdr:colOff>
      <xdr:row>36</xdr:row>
      <xdr:rowOff>0</xdr:rowOff>
    </xdr:from>
    <xdr:to>
      <xdr:col>26</xdr:col>
      <xdr:colOff>733425</xdr:colOff>
      <xdr:row>50</xdr:row>
      <xdr:rowOff>76200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714375</xdr:colOff>
      <xdr:row>15</xdr:row>
      <xdr:rowOff>66675</xdr:rowOff>
    </xdr:from>
    <xdr:to>
      <xdr:col>12</xdr:col>
      <xdr:colOff>714375</xdr:colOff>
      <xdr:row>29</xdr:row>
      <xdr:rowOff>142875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15</xdr:row>
      <xdr:rowOff>85725</xdr:rowOff>
    </xdr:from>
    <xdr:to>
      <xdr:col>7</xdr:col>
      <xdr:colOff>381000</xdr:colOff>
      <xdr:row>29</xdr:row>
      <xdr:rowOff>161925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12</xdr:row>
      <xdr:rowOff>133350</xdr:rowOff>
    </xdr:from>
    <xdr:to>
      <xdr:col>10</xdr:col>
      <xdr:colOff>685800</xdr:colOff>
      <xdr:row>27</xdr:row>
      <xdr:rowOff>19050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19</xdr:row>
      <xdr:rowOff>171450</xdr:rowOff>
    </xdr:from>
    <xdr:to>
      <xdr:col>16</xdr:col>
      <xdr:colOff>1114425</xdr:colOff>
      <xdr:row>34</xdr:row>
      <xdr:rowOff>57150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45</xdr:row>
      <xdr:rowOff>161925</xdr:rowOff>
    </xdr:from>
    <xdr:to>
      <xdr:col>5</xdr:col>
      <xdr:colOff>323850</xdr:colOff>
      <xdr:row>60</xdr:row>
      <xdr:rowOff>47625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46</xdr:row>
      <xdr:rowOff>95250</xdr:rowOff>
    </xdr:from>
    <xdr:to>
      <xdr:col>11</xdr:col>
      <xdr:colOff>104775</xdr:colOff>
      <xdr:row>60</xdr:row>
      <xdr:rowOff>171450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142875</xdr:colOff>
      <xdr:row>52</xdr:row>
      <xdr:rowOff>47625</xdr:rowOff>
    </xdr:from>
    <xdr:to>
      <xdr:col>24</xdr:col>
      <xdr:colOff>171450</xdr:colOff>
      <xdr:row>66</xdr:row>
      <xdr:rowOff>123825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47</xdr:row>
      <xdr:rowOff>47625</xdr:rowOff>
    </xdr:from>
    <xdr:to>
      <xdr:col>5</xdr:col>
      <xdr:colOff>990600</xdr:colOff>
      <xdr:row>61</xdr:row>
      <xdr:rowOff>123825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47</xdr:row>
      <xdr:rowOff>28575</xdr:rowOff>
    </xdr:from>
    <xdr:to>
      <xdr:col>9</xdr:col>
      <xdr:colOff>752475</xdr:colOff>
      <xdr:row>61</xdr:row>
      <xdr:rowOff>104775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26</xdr:row>
      <xdr:rowOff>180975</xdr:rowOff>
    </xdr:from>
    <xdr:to>
      <xdr:col>7</xdr:col>
      <xdr:colOff>409575</xdr:colOff>
      <xdr:row>41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19050</xdr:rowOff>
    </xdr:from>
    <xdr:to>
      <xdr:col>13</xdr:col>
      <xdr:colOff>485775</xdr:colOff>
      <xdr:row>41</xdr:row>
      <xdr:rowOff>95250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4" sqref="F14"/>
    </sheetView>
  </sheetViews>
  <sheetFormatPr baseColWidth="10" defaultRowHeight="15" x14ac:dyDescent="0.25"/>
  <cols>
    <col min="1" max="1" width="43.85546875" customWidth="1"/>
    <col min="2" max="2" width="32.5703125" customWidth="1"/>
    <col min="3" max="3" width="41.5703125" customWidth="1"/>
    <col min="4" max="4" width="29" customWidth="1"/>
    <col min="5" max="5" width="40.28515625" customWidth="1"/>
  </cols>
  <sheetData>
    <row r="1" spans="1:6" ht="18.75" x14ac:dyDescent="0.25">
      <c r="A1" s="14" t="s">
        <v>676</v>
      </c>
      <c r="C1" s="14" t="s">
        <v>677</v>
      </c>
      <c r="E1" s="14" t="s">
        <v>678</v>
      </c>
    </row>
    <row r="2" spans="1:6" ht="15.75" x14ac:dyDescent="0.25">
      <c r="A2" s="15" t="s">
        <v>679</v>
      </c>
      <c r="B2" s="16" t="s">
        <v>727</v>
      </c>
      <c r="C2" s="16" t="s">
        <v>680</v>
      </c>
      <c r="D2" s="16" t="s">
        <v>734</v>
      </c>
      <c r="E2" s="16" t="s">
        <v>681</v>
      </c>
      <c r="F2">
        <v>3</v>
      </c>
    </row>
    <row r="3" spans="1:6" ht="15.75" x14ac:dyDescent="0.25">
      <c r="A3" s="15" t="s">
        <v>682</v>
      </c>
      <c r="B3" s="16" t="s">
        <v>726</v>
      </c>
      <c r="C3" s="16" t="s">
        <v>683</v>
      </c>
      <c r="D3" s="16" t="s">
        <v>734</v>
      </c>
      <c r="E3" s="17"/>
    </row>
    <row r="4" spans="1:6" ht="15.75" x14ac:dyDescent="0.25">
      <c r="A4" s="15" t="s">
        <v>684</v>
      </c>
      <c r="B4" s="16" t="s">
        <v>728</v>
      </c>
      <c r="C4" s="16" t="s">
        <v>685</v>
      </c>
      <c r="D4" s="16" t="s">
        <v>735</v>
      </c>
      <c r="E4" s="16" t="s">
        <v>686</v>
      </c>
      <c r="F4">
        <v>32</v>
      </c>
    </row>
    <row r="5" spans="1:6" ht="15.75" x14ac:dyDescent="0.25">
      <c r="A5" s="18"/>
      <c r="B5" s="19"/>
      <c r="C5" s="20" t="s">
        <v>687</v>
      </c>
      <c r="D5" s="16" t="s">
        <v>734</v>
      </c>
      <c r="E5" s="20" t="s">
        <v>688</v>
      </c>
      <c r="F5">
        <v>16</v>
      </c>
    </row>
    <row r="6" spans="1:6" ht="15.75" x14ac:dyDescent="0.25">
      <c r="A6" s="15" t="s">
        <v>689</v>
      </c>
      <c r="B6" s="16" t="s">
        <v>729</v>
      </c>
      <c r="C6" s="20" t="s">
        <v>690</v>
      </c>
      <c r="D6" s="16" t="s">
        <v>734</v>
      </c>
      <c r="E6" s="20" t="s">
        <v>691</v>
      </c>
      <c r="F6">
        <v>0</v>
      </c>
    </row>
    <row r="7" spans="1:6" ht="15.75" x14ac:dyDescent="0.25">
      <c r="A7" s="15" t="s">
        <v>692</v>
      </c>
      <c r="B7" s="21">
        <v>15445</v>
      </c>
      <c r="C7" s="22"/>
      <c r="D7" s="22"/>
      <c r="E7" s="20" t="s">
        <v>693</v>
      </c>
      <c r="F7">
        <v>32</v>
      </c>
    </row>
    <row r="8" spans="1:6" ht="15.75" x14ac:dyDescent="0.25">
      <c r="A8" s="15" t="s">
        <v>694</v>
      </c>
      <c r="B8" s="16">
        <v>76</v>
      </c>
      <c r="C8" s="23" t="s">
        <v>695</v>
      </c>
      <c r="D8" s="16"/>
      <c r="E8" s="24"/>
    </row>
    <row r="9" spans="1:6" ht="15.75" x14ac:dyDescent="0.25">
      <c r="A9" s="18"/>
      <c r="B9" s="19"/>
      <c r="C9" s="20" t="s">
        <v>696</v>
      </c>
      <c r="D9" s="16">
        <v>23</v>
      </c>
      <c r="E9" s="20" t="s">
        <v>697</v>
      </c>
      <c r="F9">
        <v>9</v>
      </c>
    </row>
    <row r="10" spans="1:6" ht="15.75" x14ac:dyDescent="0.25">
      <c r="A10" s="15" t="s">
        <v>698</v>
      </c>
      <c r="B10" s="21">
        <v>43431</v>
      </c>
      <c r="C10" s="20" t="s">
        <v>699</v>
      </c>
      <c r="D10" s="16">
        <v>2</v>
      </c>
      <c r="E10" s="20" t="s">
        <v>700</v>
      </c>
      <c r="F10">
        <v>13</v>
      </c>
    </row>
    <row r="11" spans="1:6" ht="15.75" x14ac:dyDescent="0.25">
      <c r="A11" s="15" t="s">
        <v>701</v>
      </c>
      <c r="B11" s="21">
        <v>43564</v>
      </c>
      <c r="C11" s="20" t="s">
        <v>702</v>
      </c>
      <c r="D11" s="16">
        <v>14</v>
      </c>
      <c r="E11" s="20" t="s">
        <v>703</v>
      </c>
      <c r="F11">
        <v>63</v>
      </c>
    </row>
    <row r="12" spans="1:6" ht="15.75" x14ac:dyDescent="0.25">
      <c r="A12" s="18"/>
      <c r="B12" s="19"/>
      <c r="C12" s="20" t="s">
        <v>704</v>
      </c>
      <c r="D12" s="16">
        <v>114</v>
      </c>
      <c r="E12" s="20" t="s">
        <v>705</v>
      </c>
      <c r="F12">
        <v>16</v>
      </c>
    </row>
    <row r="13" spans="1:6" ht="15.75" x14ac:dyDescent="0.25">
      <c r="A13" s="15" t="s">
        <v>706</v>
      </c>
      <c r="B13" s="16" t="s">
        <v>730</v>
      </c>
      <c r="C13" s="20" t="s">
        <v>707</v>
      </c>
      <c r="D13" s="16">
        <v>5</v>
      </c>
      <c r="E13" s="20" t="s">
        <v>708</v>
      </c>
      <c r="F13">
        <v>35</v>
      </c>
    </row>
    <row r="14" spans="1:6" ht="15.75" x14ac:dyDescent="0.25">
      <c r="A14" s="15" t="s">
        <v>709</v>
      </c>
      <c r="B14" s="16" t="s">
        <v>731</v>
      </c>
      <c r="C14" s="20" t="s">
        <v>710</v>
      </c>
      <c r="D14" s="16">
        <v>4</v>
      </c>
      <c r="E14" s="20" t="s">
        <v>711</v>
      </c>
      <c r="F14">
        <v>40</v>
      </c>
    </row>
    <row r="15" spans="1:6" ht="15.75" x14ac:dyDescent="0.25">
      <c r="A15" s="19"/>
      <c r="B15" s="19"/>
      <c r="C15" s="20" t="s">
        <v>712</v>
      </c>
      <c r="D15" s="16">
        <v>5</v>
      </c>
      <c r="E15" s="16"/>
    </row>
    <row r="16" spans="1:6" ht="15.75" x14ac:dyDescent="0.25">
      <c r="A16" s="15" t="s">
        <v>713</v>
      </c>
      <c r="B16" s="25" t="s">
        <v>732</v>
      </c>
      <c r="C16" s="20" t="s">
        <v>714</v>
      </c>
      <c r="D16" s="16">
        <v>4</v>
      </c>
      <c r="E16" s="16"/>
    </row>
    <row r="17" spans="1:5" ht="15.75" x14ac:dyDescent="0.25">
      <c r="A17" s="15" t="s">
        <v>715</v>
      </c>
      <c r="B17" s="25" t="s">
        <v>732</v>
      </c>
      <c r="C17" s="20" t="s">
        <v>716</v>
      </c>
      <c r="D17" s="16">
        <v>87</v>
      </c>
      <c r="E17" s="16"/>
    </row>
    <row r="18" spans="1:5" ht="15.75" x14ac:dyDescent="0.25">
      <c r="A18" s="15" t="s">
        <v>717</v>
      </c>
      <c r="B18" s="16" t="s">
        <v>733</v>
      </c>
      <c r="C18" s="20" t="s">
        <v>718</v>
      </c>
      <c r="D18" s="16">
        <v>171</v>
      </c>
      <c r="E18" s="16"/>
    </row>
    <row r="19" spans="1:5" ht="15.75" x14ac:dyDescent="0.25">
      <c r="A19" s="19"/>
      <c r="B19" s="19"/>
      <c r="C19" s="20" t="s">
        <v>719</v>
      </c>
      <c r="D19" s="16">
        <v>11</v>
      </c>
      <c r="E19" s="16"/>
    </row>
    <row r="20" spans="1:5" ht="15.75" x14ac:dyDescent="0.25">
      <c r="A20" s="15" t="s">
        <v>720</v>
      </c>
      <c r="B20" s="16" t="s">
        <v>733</v>
      </c>
      <c r="C20" s="20" t="s">
        <v>721</v>
      </c>
      <c r="D20" s="16">
        <v>7</v>
      </c>
      <c r="E20" s="16"/>
    </row>
    <row r="21" spans="1:5" ht="15.75" x14ac:dyDescent="0.25">
      <c r="A21" s="16"/>
      <c r="B21" s="16"/>
      <c r="C21" s="20" t="s">
        <v>722</v>
      </c>
      <c r="D21" s="16">
        <v>19</v>
      </c>
      <c r="E21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7"/>
  <sheetViews>
    <sheetView topLeftCell="AU1" workbookViewId="0">
      <selection activeCell="AY4" sqref="AY4"/>
    </sheetView>
  </sheetViews>
  <sheetFormatPr baseColWidth="10" defaultColWidth="9.140625" defaultRowHeight="15" x14ac:dyDescent="0.25"/>
  <cols>
    <col min="1" max="1" width="18" customWidth="1"/>
    <col min="6" max="6" width="15.7109375" customWidth="1"/>
    <col min="7" max="7" width="18.140625" customWidth="1"/>
    <col min="8" max="8" width="18.28515625" customWidth="1"/>
    <col min="9" max="9" width="20.7109375" customWidth="1"/>
    <col min="10" max="10" width="13.140625" customWidth="1"/>
    <col min="14" max="14" width="21.7109375" customWidth="1"/>
    <col min="15" max="15" width="16" customWidth="1"/>
    <col min="18" max="18" width="12.5703125" customWidth="1"/>
    <col min="19" max="19" width="14.7109375" customWidth="1"/>
    <col min="20" max="21" width="15.42578125" customWidth="1"/>
    <col min="22" max="22" width="16.42578125" customWidth="1"/>
    <col min="27" max="27" width="20.5703125" customWidth="1"/>
    <col min="31" max="31" width="13.7109375" customWidth="1"/>
    <col min="32" max="32" width="29" customWidth="1"/>
    <col min="33" max="33" width="15" customWidth="1"/>
    <col min="34" max="34" width="14.28515625" customWidth="1"/>
    <col min="35" max="35" width="17.7109375" customWidth="1"/>
    <col min="39" max="39" width="18.7109375" customWidth="1"/>
    <col min="45" max="45" width="14" customWidth="1"/>
    <col min="46" max="46" width="17.28515625" customWidth="1"/>
    <col min="47" max="47" width="16.85546875" customWidth="1"/>
    <col min="51" max="51" width="31.42578125" customWidth="1"/>
    <col min="55" max="56" width="15.28515625" customWidth="1"/>
    <col min="57" max="57" width="22.7109375" customWidth="1"/>
    <col min="58" max="58" width="26.5703125" customWidth="1"/>
    <col min="59" max="59" width="18.28515625" customWidth="1"/>
  </cols>
  <sheetData>
    <row r="1" spans="1:59" ht="15.75" x14ac:dyDescent="0.25">
      <c r="A1" s="1" t="s">
        <v>41</v>
      </c>
      <c r="B1" s="2" t="s">
        <v>0</v>
      </c>
      <c r="C1" s="2" t="s">
        <v>1</v>
      </c>
      <c r="D1" s="4" t="s">
        <v>2</v>
      </c>
      <c r="E1" s="2" t="s">
        <v>8</v>
      </c>
      <c r="F1" s="2" t="s">
        <v>11</v>
      </c>
      <c r="G1" s="2" t="s">
        <v>9</v>
      </c>
      <c r="H1" s="2" t="s">
        <v>10</v>
      </c>
      <c r="I1" s="2" t="s">
        <v>73</v>
      </c>
      <c r="N1" s="1" t="s">
        <v>41</v>
      </c>
      <c r="O1" s="2" t="s">
        <v>0</v>
      </c>
      <c r="P1" s="2" t="s">
        <v>1</v>
      </c>
      <c r="Q1" s="4" t="s">
        <v>2</v>
      </c>
      <c r="R1" s="2" t="s">
        <v>8</v>
      </c>
      <c r="S1" s="2" t="s">
        <v>11</v>
      </c>
      <c r="T1" s="2" t="s">
        <v>9</v>
      </c>
      <c r="U1" s="2" t="s">
        <v>10</v>
      </c>
      <c r="V1" s="2" t="s">
        <v>73</v>
      </c>
      <c r="AA1" s="1" t="s">
        <v>41</v>
      </c>
      <c r="AB1" s="2" t="s">
        <v>0</v>
      </c>
      <c r="AC1" s="2" t="s">
        <v>1</v>
      </c>
      <c r="AD1" s="4" t="s">
        <v>2</v>
      </c>
      <c r="AE1" s="2" t="s">
        <v>8</v>
      </c>
      <c r="AF1" s="2" t="s">
        <v>11</v>
      </c>
      <c r="AG1" s="2" t="s">
        <v>9</v>
      </c>
      <c r="AH1" s="2" t="s">
        <v>10</v>
      </c>
      <c r="AI1" s="2" t="s">
        <v>73</v>
      </c>
      <c r="AM1" s="1" t="s">
        <v>41</v>
      </c>
      <c r="AN1" s="2" t="s">
        <v>0</v>
      </c>
      <c r="AO1" s="2" t="s">
        <v>1</v>
      </c>
      <c r="AP1" s="4" t="s">
        <v>2</v>
      </c>
      <c r="AQ1" s="2" t="s">
        <v>45</v>
      </c>
      <c r="AR1" s="2" t="s">
        <v>42</v>
      </c>
      <c r="AS1" s="2" t="s">
        <v>9</v>
      </c>
      <c r="AT1" s="2" t="s">
        <v>10</v>
      </c>
      <c r="AU1" s="2" t="s">
        <v>73</v>
      </c>
      <c r="AY1" s="1" t="s">
        <v>41</v>
      </c>
      <c r="AZ1" s="2" t="s">
        <v>0</v>
      </c>
      <c r="BA1" s="2" t="s">
        <v>1</v>
      </c>
      <c r="BB1" s="4" t="s">
        <v>2</v>
      </c>
      <c r="BC1" s="2" t="s">
        <v>45</v>
      </c>
      <c r="BD1" s="2" t="s">
        <v>42</v>
      </c>
      <c r="BE1" s="2" t="s">
        <v>9</v>
      </c>
      <c r="BF1" s="2" t="s">
        <v>10</v>
      </c>
      <c r="BG1" s="2" t="s">
        <v>73</v>
      </c>
    </row>
    <row r="2" spans="1:59" ht="15.75" x14ac:dyDescent="0.25">
      <c r="A2" s="3" t="s">
        <v>6</v>
      </c>
      <c r="B2">
        <v>1</v>
      </c>
      <c r="C2">
        <v>1</v>
      </c>
      <c r="D2">
        <v>1</v>
      </c>
      <c r="E2" t="s">
        <v>46</v>
      </c>
      <c r="F2" t="s">
        <v>43</v>
      </c>
      <c r="G2" s="5">
        <v>0</v>
      </c>
      <c r="H2" s="5">
        <v>2972</v>
      </c>
      <c r="I2" s="5"/>
      <c r="N2" s="3" t="s">
        <v>74</v>
      </c>
      <c r="O2">
        <v>1</v>
      </c>
      <c r="P2">
        <v>2</v>
      </c>
      <c r="Q2">
        <v>1</v>
      </c>
      <c r="R2" t="s">
        <v>54</v>
      </c>
      <c r="S2" t="s">
        <v>43</v>
      </c>
      <c r="T2" s="5">
        <v>0</v>
      </c>
      <c r="U2" s="5">
        <v>0</v>
      </c>
      <c r="V2" s="5"/>
      <c r="AA2" s="3" t="s">
        <v>104</v>
      </c>
      <c r="AB2">
        <v>2</v>
      </c>
      <c r="AC2">
        <v>2</v>
      </c>
      <c r="AD2">
        <v>1</v>
      </c>
      <c r="AE2" t="s">
        <v>105</v>
      </c>
      <c r="AF2" t="s">
        <v>44</v>
      </c>
      <c r="AG2">
        <v>1</v>
      </c>
      <c r="AH2">
        <v>3627</v>
      </c>
      <c r="AI2">
        <v>3627</v>
      </c>
      <c r="AM2" s="3" t="s">
        <v>158</v>
      </c>
      <c r="AN2">
        <v>2</v>
      </c>
      <c r="AO2">
        <v>4</v>
      </c>
      <c r="AP2">
        <v>1</v>
      </c>
      <c r="AQ2" t="s">
        <v>110</v>
      </c>
      <c r="AR2" t="s">
        <v>44</v>
      </c>
      <c r="AS2">
        <v>1</v>
      </c>
      <c r="AT2">
        <v>4735</v>
      </c>
      <c r="AU2">
        <v>4735</v>
      </c>
      <c r="AY2" s="3" t="s">
        <v>723</v>
      </c>
      <c r="AZ2">
        <v>1</v>
      </c>
      <c r="BA2">
        <v>5</v>
      </c>
      <c r="BB2">
        <v>1</v>
      </c>
      <c r="BD2" t="s">
        <v>44</v>
      </c>
      <c r="BE2" s="5">
        <v>0</v>
      </c>
      <c r="BF2" s="5">
        <v>0</v>
      </c>
      <c r="BG2" s="5">
        <v>0</v>
      </c>
    </row>
    <row r="3" spans="1:59" ht="15.75" x14ac:dyDescent="0.25">
      <c r="A3" s="1" t="s">
        <v>7</v>
      </c>
      <c r="D3">
        <v>2</v>
      </c>
      <c r="E3" t="s">
        <v>47</v>
      </c>
      <c r="F3" t="s">
        <v>43</v>
      </c>
      <c r="G3" s="5">
        <v>0</v>
      </c>
      <c r="H3" s="5">
        <v>4612</v>
      </c>
      <c r="I3" s="5"/>
      <c r="N3" s="1" t="s">
        <v>7</v>
      </c>
      <c r="Q3">
        <v>2</v>
      </c>
      <c r="R3" t="s">
        <v>56</v>
      </c>
      <c r="S3" t="s">
        <v>43</v>
      </c>
      <c r="T3" s="5">
        <v>0</v>
      </c>
      <c r="U3" s="5">
        <v>3855</v>
      </c>
      <c r="V3" s="5"/>
      <c r="AA3" s="1" t="s">
        <v>7</v>
      </c>
      <c r="AD3">
        <v>2</v>
      </c>
      <c r="AE3" t="s">
        <v>106</v>
      </c>
      <c r="AF3" t="s">
        <v>43</v>
      </c>
      <c r="AG3" s="5">
        <v>0</v>
      </c>
      <c r="AH3" s="5">
        <v>4968</v>
      </c>
      <c r="AI3" s="5"/>
      <c r="AM3" s="1" t="s">
        <v>7</v>
      </c>
      <c r="AP3">
        <v>2</v>
      </c>
      <c r="AQ3" t="s">
        <v>124</v>
      </c>
      <c r="AR3" t="s">
        <v>43</v>
      </c>
      <c r="AS3" s="5">
        <v>0</v>
      </c>
      <c r="AT3" s="5">
        <v>0</v>
      </c>
      <c r="AU3" s="5"/>
      <c r="AY3" s="1" t="s">
        <v>7</v>
      </c>
      <c r="BB3">
        <v>2</v>
      </c>
      <c r="BD3" t="s">
        <v>43</v>
      </c>
      <c r="BE3" s="5">
        <v>0</v>
      </c>
      <c r="BF3" s="5">
        <v>0</v>
      </c>
      <c r="BG3" s="5">
        <v>0</v>
      </c>
    </row>
    <row r="4" spans="1:59" ht="15.75" x14ac:dyDescent="0.25">
      <c r="A4" s="1" t="s">
        <v>72</v>
      </c>
      <c r="D4">
        <v>3</v>
      </c>
      <c r="E4" t="s">
        <v>48</v>
      </c>
      <c r="F4" t="s">
        <v>44</v>
      </c>
      <c r="G4">
        <v>1</v>
      </c>
      <c r="H4">
        <v>7022</v>
      </c>
      <c r="I4">
        <v>7022</v>
      </c>
      <c r="N4" s="1" t="s">
        <v>75</v>
      </c>
      <c r="Q4">
        <v>3</v>
      </c>
      <c r="R4" t="s">
        <v>63</v>
      </c>
      <c r="S4" t="s">
        <v>44</v>
      </c>
      <c r="T4">
        <v>1</v>
      </c>
      <c r="U4">
        <v>4677</v>
      </c>
      <c r="V4">
        <v>4677</v>
      </c>
      <c r="AA4" s="1" t="s">
        <v>75</v>
      </c>
      <c r="AD4">
        <v>3</v>
      </c>
      <c r="AE4" t="s">
        <v>107</v>
      </c>
      <c r="AF4" t="s">
        <v>44</v>
      </c>
      <c r="AG4">
        <v>1</v>
      </c>
      <c r="AH4">
        <v>4031</v>
      </c>
      <c r="AI4">
        <v>4031</v>
      </c>
      <c r="AM4" s="1" t="s">
        <v>75</v>
      </c>
      <c r="AP4">
        <v>3</v>
      </c>
      <c r="AQ4" t="s">
        <v>109</v>
      </c>
      <c r="AR4" t="s">
        <v>44</v>
      </c>
      <c r="AS4">
        <v>1</v>
      </c>
      <c r="AT4">
        <v>6306</v>
      </c>
      <c r="AU4">
        <v>6306</v>
      </c>
      <c r="AY4" s="1" t="s">
        <v>724</v>
      </c>
      <c r="BB4">
        <v>3</v>
      </c>
      <c r="BD4" t="s">
        <v>43</v>
      </c>
      <c r="BE4" s="5">
        <v>0</v>
      </c>
      <c r="BF4" s="5">
        <v>0</v>
      </c>
      <c r="BG4" s="5">
        <v>0</v>
      </c>
    </row>
    <row r="5" spans="1:59" x14ac:dyDescent="0.25">
      <c r="D5">
        <v>4</v>
      </c>
      <c r="E5" t="s">
        <v>49</v>
      </c>
      <c r="F5" t="s">
        <v>43</v>
      </c>
      <c r="G5" s="5">
        <v>0</v>
      </c>
      <c r="H5" s="5">
        <v>0</v>
      </c>
      <c r="I5" s="5"/>
      <c r="Q5">
        <v>4</v>
      </c>
      <c r="R5" t="s">
        <v>57</v>
      </c>
      <c r="S5" t="s">
        <v>44</v>
      </c>
      <c r="T5" s="5">
        <v>0</v>
      </c>
      <c r="U5" s="5">
        <v>4422</v>
      </c>
      <c r="V5" s="5"/>
      <c r="AD5">
        <v>4</v>
      </c>
      <c r="AE5" t="s">
        <v>108</v>
      </c>
      <c r="AF5" t="s">
        <v>44</v>
      </c>
      <c r="AG5" s="5">
        <v>0</v>
      </c>
      <c r="AH5" s="5">
        <v>0</v>
      </c>
      <c r="AI5" s="5"/>
      <c r="AP5">
        <v>4</v>
      </c>
      <c r="AQ5" t="s">
        <v>107</v>
      </c>
      <c r="AR5" t="s">
        <v>44</v>
      </c>
      <c r="AS5">
        <v>1</v>
      </c>
      <c r="AT5">
        <v>4271</v>
      </c>
      <c r="AU5">
        <v>4271</v>
      </c>
      <c r="BB5">
        <v>4</v>
      </c>
      <c r="BD5" t="s">
        <v>43</v>
      </c>
      <c r="BE5" s="5">
        <v>0</v>
      </c>
      <c r="BF5" s="5">
        <v>0</v>
      </c>
      <c r="BG5" s="5">
        <v>0</v>
      </c>
    </row>
    <row r="6" spans="1:59" x14ac:dyDescent="0.25">
      <c r="D6">
        <v>5</v>
      </c>
      <c r="E6" t="s">
        <v>50</v>
      </c>
      <c r="F6" t="s">
        <v>44</v>
      </c>
      <c r="G6">
        <v>1</v>
      </c>
      <c r="H6">
        <v>7222</v>
      </c>
      <c r="I6">
        <v>7222</v>
      </c>
      <c r="Q6">
        <v>5</v>
      </c>
      <c r="R6" t="s">
        <v>64</v>
      </c>
      <c r="S6" t="s">
        <v>44</v>
      </c>
      <c r="T6">
        <v>1</v>
      </c>
      <c r="U6">
        <v>4367</v>
      </c>
      <c r="V6">
        <v>4367</v>
      </c>
      <c r="AD6">
        <v>5</v>
      </c>
      <c r="AE6" t="s">
        <v>109</v>
      </c>
      <c r="AF6" t="s">
        <v>44</v>
      </c>
      <c r="AG6">
        <v>1</v>
      </c>
      <c r="AH6">
        <v>7628</v>
      </c>
      <c r="AI6">
        <v>7628</v>
      </c>
      <c r="AP6">
        <v>5</v>
      </c>
      <c r="AQ6" t="s">
        <v>130</v>
      </c>
      <c r="AR6" t="s">
        <v>44</v>
      </c>
      <c r="AS6">
        <v>1</v>
      </c>
      <c r="AT6">
        <v>4887</v>
      </c>
      <c r="AU6">
        <v>4887</v>
      </c>
      <c r="BB6">
        <v>5</v>
      </c>
      <c r="BD6" t="s">
        <v>43</v>
      </c>
      <c r="BE6" s="5">
        <v>0</v>
      </c>
      <c r="BF6" s="5">
        <v>0</v>
      </c>
      <c r="BG6" s="5">
        <v>0</v>
      </c>
    </row>
    <row r="7" spans="1:59" x14ac:dyDescent="0.25">
      <c r="D7">
        <v>6</v>
      </c>
      <c r="E7" t="s">
        <v>51</v>
      </c>
      <c r="F7" t="s">
        <v>44</v>
      </c>
      <c r="G7" s="5">
        <v>0</v>
      </c>
      <c r="H7" s="5">
        <v>6330</v>
      </c>
      <c r="I7" s="5"/>
      <c r="Q7">
        <v>6</v>
      </c>
      <c r="R7" t="s">
        <v>65</v>
      </c>
      <c r="S7" t="s">
        <v>44</v>
      </c>
      <c r="T7">
        <v>1</v>
      </c>
      <c r="U7">
        <v>5115</v>
      </c>
      <c r="V7">
        <v>5115</v>
      </c>
      <c r="AD7">
        <v>6</v>
      </c>
      <c r="AE7" t="s">
        <v>110</v>
      </c>
      <c r="AF7" t="s">
        <v>44</v>
      </c>
      <c r="AG7">
        <v>1</v>
      </c>
      <c r="AH7">
        <v>7615</v>
      </c>
      <c r="AI7">
        <v>7615</v>
      </c>
      <c r="AP7">
        <v>6</v>
      </c>
      <c r="AQ7" t="s">
        <v>128</v>
      </c>
      <c r="AR7" t="s">
        <v>43</v>
      </c>
      <c r="AS7" s="5">
        <v>0</v>
      </c>
      <c r="AT7" s="5">
        <v>5966</v>
      </c>
      <c r="AU7" s="5"/>
      <c r="BB7">
        <v>6</v>
      </c>
      <c r="BD7" t="s">
        <v>44</v>
      </c>
      <c r="BE7" s="5">
        <v>0</v>
      </c>
      <c r="BF7" s="5">
        <v>0</v>
      </c>
      <c r="BG7" s="5">
        <v>0</v>
      </c>
    </row>
    <row r="8" spans="1:59" x14ac:dyDescent="0.25">
      <c r="D8">
        <v>7</v>
      </c>
      <c r="E8" t="s">
        <v>52</v>
      </c>
      <c r="F8" t="s">
        <v>43</v>
      </c>
      <c r="G8" s="5">
        <v>0</v>
      </c>
      <c r="H8" s="5">
        <v>0</v>
      </c>
      <c r="I8" s="5"/>
      <c r="Q8">
        <v>7</v>
      </c>
      <c r="R8" t="s">
        <v>47</v>
      </c>
      <c r="S8" t="s">
        <v>43</v>
      </c>
      <c r="T8">
        <v>1</v>
      </c>
      <c r="U8">
        <v>4067</v>
      </c>
      <c r="V8">
        <v>4067</v>
      </c>
      <c r="AD8">
        <v>7</v>
      </c>
      <c r="AE8" t="s">
        <v>111</v>
      </c>
      <c r="AF8" t="s">
        <v>43</v>
      </c>
      <c r="AG8">
        <v>1</v>
      </c>
      <c r="AH8">
        <v>6281</v>
      </c>
      <c r="AI8">
        <v>6281</v>
      </c>
      <c r="AP8">
        <v>7</v>
      </c>
      <c r="AQ8" t="s">
        <v>118</v>
      </c>
      <c r="AR8" t="s">
        <v>43</v>
      </c>
      <c r="AS8" s="5">
        <v>0</v>
      </c>
      <c r="AT8" s="5">
        <v>7102</v>
      </c>
      <c r="AU8" s="5"/>
      <c r="BB8">
        <v>7</v>
      </c>
      <c r="BD8" t="s">
        <v>44</v>
      </c>
      <c r="BE8" s="5">
        <v>0</v>
      </c>
      <c r="BF8" s="5">
        <v>6820</v>
      </c>
      <c r="BG8" s="5"/>
    </row>
    <row r="9" spans="1:59" x14ac:dyDescent="0.25">
      <c r="D9">
        <v>8</v>
      </c>
      <c r="E9" t="s">
        <v>53</v>
      </c>
      <c r="F9" t="s">
        <v>43</v>
      </c>
      <c r="G9" s="5">
        <v>0</v>
      </c>
      <c r="H9" s="5">
        <v>0</v>
      </c>
      <c r="I9" s="5"/>
      <c r="Q9">
        <v>8</v>
      </c>
      <c r="R9" t="s">
        <v>49</v>
      </c>
      <c r="S9" t="s">
        <v>43</v>
      </c>
      <c r="T9" s="5">
        <v>0</v>
      </c>
      <c r="U9" s="5">
        <v>0</v>
      </c>
      <c r="V9" s="5"/>
      <c r="AD9">
        <v>8</v>
      </c>
      <c r="AE9" t="s">
        <v>112</v>
      </c>
      <c r="AF9" t="s">
        <v>43</v>
      </c>
      <c r="AG9">
        <v>1</v>
      </c>
      <c r="AH9">
        <v>5461</v>
      </c>
      <c r="AI9">
        <v>5461</v>
      </c>
      <c r="AP9">
        <v>8</v>
      </c>
      <c r="AQ9" t="s">
        <v>113</v>
      </c>
      <c r="AR9" t="s">
        <v>43</v>
      </c>
      <c r="AS9" s="5">
        <v>0</v>
      </c>
      <c r="AT9" s="5">
        <v>0</v>
      </c>
      <c r="AU9" s="5"/>
      <c r="BB9">
        <v>8</v>
      </c>
      <c r="BD9" t="s">
        <v>44</v>
      </c>
      <c r="BE9" s="5">
        <v>0</v>
      </c>
      <c r="BF9" s="5">
        <v>0</v>
      </c>
      <c r="BG9" s="5">
        <v>0</v>
      </c>
    </row>
    <row r="10" spans="1:59" x14ac:dyDescent="0.25">
      <c r="D10">
        <v>9</v>
      </c>
      <c r="E10" t="s">
        <v>54</v>
      </c>
      <c r="F10" t="s">
        <v>43</v>
      </c>
      <c r="G10" s="5">
        <v>0</v>
      </c>
      <c r="H10" s="5">
        <v>0</v>
      </c>
      <c r="I10" s="5"/>
      <c r="Q10">
        <v>9</v>
      </c>
      <c r="R10" t="s">
        <v>62</v>
      </c>
      <c r="S10" t="s">
        <v>44</v>
      </c>
      <c r="T10">
        <v>1</v>
      </c>
      <c r="U10">
        <v>4681</v>
      </c>
      <c r="V10">
        <v>4681</v>
      </c>
      <c r="AD10">
        <v>9</v>
      </c>
      <c r="AE10" t="s">
        <v>113</v>
      </c>
      <c r="AF10" t="s">
        <v>43</v>
      </c>
      <c r="AG10">
        <v>1</v>
      </c>
      <c r="AH10">
        <v>4515</v>
      </c>
      <c r="AI10">
        <v>4515</v>
      </c>
      <c r="AP10">
        <v>9</v>
      </c>
      <c r="AQ10" t="s">
        <v>129</v>
      </c>
      <c r="AR10" t="s">
        <v>43</v>
      </c>
      <c r="AS10" s="5">
        <v>0</v>
      </c>
      <c r="AT10" s="5">
        <v>7099</v>
      </c>
      <c r="AU10" s="5"/>
      <c r="BB10">
        <v>9</v>
      </c>
      <c r="BD10" t="s">
        <v>44</v>
      </c>
      <c r="BE10" s="5">
        <v>0</v>
      </c>
      <c r="BF10" s="5">
        <v>0</v>
      </c>
      <c r="BG10" s="5">
        <v>0</v>
      </c>
    </row>
    <row r="11" spans="1:59" x14ac:dyDescent="0.25">
      <c r="D11">
        <v>10</v>
      </c>
      <c r="E11" t="s">
        <v>55</v>
      </c>
      <c r="F11" t="s">
        <v>43</v>
      </c>
      <c r="G11">
        <v>1</v>
      </c>
      <c r="H11">
        <v>6739</v>
      </c>
      <c r="I11">
        <v>6739</v>
      </c>
      <c r="Q11">
        <v>10</v>
      </c>
      <c r="R11" t="s">
        <v>53</v>
      </c>
      <c r="S11" t="s">
        <v>43</v>
      </c>
      <c r="T11" s="5">
        <v>0</v>
      </c>
      <c r="U11" s="5">
        <v>7475</v>
      </c>
      <c r="V11" s="5"/>
      <c r="AD11">
        <v>10</v>
      </c>
      <c r="AE11" t="s">
        <v>114</v>
      </c>
      <c r="AF11" t="s">
        <v>44</v>
      </c>
      <c r="AG11">
        <v>1</v>
      </c>
      <c r="AH11">
        <v>4485</v>
      </c>
      <c r="AI11">
        <v>4485</v>
      </c>
      <c r="AP11">
        <v>10</v>
      </c>
      <c r="AQ11" t="s">
        <v>127</v>
      </c>
      <c r="AR11" t="s">
        <v>44</v>
      </c>
      <c r="AS11">
        <v>1</v>
      </c>
      <c r="AT11">
        <v>5211</v>
      </c>
      <c r="AU11">
        <v>5211</v>
      </c>
      <c r="BB11">
        <v>10</v>
      </c>
      <c r="BD11" t="s">
        <v>43</v>
      </c>
      <c r="BE11" s="5">
        <v>0</v>
      </c>
      <c r="BF11" s="5">
        <v>0</v>
      </c>
      <c r="BG11" s="5">
        <v>0</v>
      </c>
    </row>
    <row r="12" spans="1:59" x14ac:dyDescent="0.25">
      <c r="D12">
        <v>11</v>
      </c>
      <c r="E12" t="s">
        <v>56</v>
      </c>
      <c r="F12" t="s">
        <v>43</v>
      </c>
      <c r="G12">
        <v>1</v>
      </c>
      <c r="H12">
        <v>5052</v>
      </c>
      <c r="I12">
        <v>5052</v>
      </c>
      <c r="Q12">
        <v>11</v>
      </c>
      <c r="R12" t="s">
        <v>51</v>
      </c>
      <c r="S12" t="s">
        <v>44</v>
      </c>
      <c r="T12">
        <v>1</v>
      </c>
      <c r="U12">
        <v>5564</v>
      </c>
      <c r="V12">
        <v>5564</v>
      </c>
      <c r="AD12">
        <v>11</v>
      </c>
      <c r="AE12" t="s">
        <v>115</v>
      </c>
      <c r="AF12" t="s">
        <v>44</v>
      </c>
      <c r="AG12" s="5">
        <v>0</v>
      </c>
      <c r="AH12" s="5">
        <v>7719</v>
      </c>
      <c r="AI12" s="5"/>
      <c r="AP12">
        <v>11</v>
      </c>
      <c r="AQ12" t="s">
        <v>117</v>
      </c>
      <c r="AR12" t="s">
        <v>43</v>
      </c>
      <c r="AS12" s="5">
        <v>0</v>
      </c>
      <c r="AT12" s="5">
        <v>6674</v>
      </c>
      <c r="AU12" s="5"/>
      <c r="BB12">
        <v>11</v>
      </c>
      <c r="BD12" t="s">
        <v>43</v>
      </c>
      <c r="BE12" s="5">
        <v>0</v>
      </c>
      <c r="BF12" s="5">
        <v>0</v>
      </c>
      <c r="BG12" s="5">
        <v>0</v>
      </c>
    </row>
    <row r="13" spans="1:59" x14ac:dyDescent="0.25">
      <c r="D13">
        <v>12</v>
      </c>
      <c r="E13" t="s">
        <v>57</v>
      </c>
      <c r="F13" t="s">
        <v>44</v>
      </c>
      <c r="G13" s="5">
        <v>0</v>
      </c>
      <c r="H13" s="5">
        <v>0</v>
      </c>
      <c r="I13" s="5"/>
      <c r="Q13">
        <v>12</v>
      </c>
      <c r="R13" t="s">
        <v>59</v>
      </c>
      <c r="S13" t="s">
        <v>44</v>
      </c>
      <c r="T13" s="5">
        <v>0</v>
      </c>
      <c r="U13" s="5">
        <v>5078</v>
      </c>
      <c r="V13" s="5"/>
      <c r="AD13">
        <v>12</v>
      </c>
      <c r="AE13" t="s">
        <v>116</v>
      </c>
      <c r="AF13" t="s">
        <v>44</v>
      </c>
      <c r="AG13">
        <v>1</v>
      </c>
      <c r="AH13">
        <v>5663</v>
      </c>
      <c r="AI13">
        <v>5663</v>
      </c>
      <c r="AP13">
        <v>12</v>
      </c>
      <c r="AQ13" t="s">
        <v>121</v>
      </c>
      <c r="AR13" t="s">
        <v>44</v>
      </c>
      <c r="AS13">
        <v>1</v>
      </c>
      <c r="AT13">
        <v>5172</v>
      </c>
      <c r="AU13">
        <v>5172</v>
      </c>
      <c r="BB13">
        <v>12</v>
      </c>
      <c r="BD13" t="s">
        <v>43</v>
      </c>
      <c r="BE13">
        <v>1</v>
      </c>
      <c r="BF13">
        <v>7095</v>
      </c>
      <c r="BG13">
        <v>7095</v>
      </c>
    </row>
    <row r="14" spans="1:59" x14ac:dyDescent="0.25">
      <c r="D14">
        <v>13</v>
      </c>
      <c r="E14" t="s">
        <v>58</v>
      </c>
      <c r="F14" t="s">
        <v>43</v>
      </c>
      <c r="G14" s="5">
        <v>0</v>
      </c>
      <c r="H14" s="5">
        <v>5426</v>
      </c>
      <c r="I14" s="5"/>
      <c r="Q14">
        <v>13</v>
      </c>
      <c r="R14" t="s">
        <v>67</v>
      </c>
      <c r="S14" t="s">
        <v>44</v>
      </c>
      <c r="T14">
        <v>1</v>
      </c>
      <c r="U14">
        <v>5664</v>
      </c>
      <c r="V14">
        <v>5664</v>
      </c>
      <c r="AD14">
        <v>13</v>
      </c>
      <c r="AE14" t="s">
        <v>117</v>
      </c>
      <c r="AF14" t="s">
        <v>43</v>
      </c>
      <c r="AG14" s="5">
        <v>0</v>
      </c>
      <c r="AH14" s="5">
        <v>6962</v>
      </c>
      <c r="AI14" s="5"/>
      <c r="AP14">
        <v>13</v>
      </c>
      <c r="AQ14" t="s">
        <v>122</v>
      </c>
      <c r="AR14" t="s">
        <v>43</v>
      </c>
      <c r="AS14" s="5">
        <v>0</v>
      </c>
      <c r="AT14" s="5">
        <v>7141</v>
      </c>
      <c r="AU14" s="5"/>
      <c r="BB14">
        <v>13</v>
      </c>
      <c r="BD14" t="s">
        <v>44</v>
      </c>
      <c r="BE14" s="5">
        <v>0</v>
      </c>
      <c r="BF14" s="5">
        <v>0</v>
      </c>
      <c r="BG14" s="5">
        <v>0</v>
      </c>
    </row>
    <row r="15" spans="1:59" x14ac:dyDescent="0.25">
      <c r="D15">
        <v>14</v>
      </c>
      <c r="E15" t="s">
        <v>59</v>
      </c>
      <c r="F15" t="s">
        <v>44</v>
      </c>
      <c r="G15" s="5">
        <v>0</v>
      </c>
      <c r="H15" s="5">
        <v>0</v>
      </c>
      <c r="I15" s="5"/>
      <c r="Q15">
        <v>14</v>
      </c>
      <c r="R15" t="s">
        <v>48</v>
      </c>
      <c r="S15" t="s">
        <v>44</v>
      </c>
      <c r="T15">
        <v>1</v>
      </c>
      <c r="U15">
        <v>5503</v>
      </c>
      <c r="V15">
        <v>5503</v>
      </c>
      <c r="AD15">
        <v>14</v>
      </c>
      <c r="AE15" t="s">
        <v>118</v>
      </c>
      <c r="AF15" t="s">
        <v>43</v>
      </c>
      <c r="AG15">
        <v>1</v>
      </c>
      <c r="AH15">
        <v>5921</v>
      </c>
      <c r="AI15">
        <v>5921</v>
      </c>
      <c r="AP15">
        <v>14</v>
      </c>
      <c r="AQ15" t="s">
        <v>126</v>
      </c>
      <c r="AR15" t="s">
        <v>43</v>
      </c>
      <c r="AS15">
        <v>1</v>
      </c>
      <c r="AT15">
        <v>7162</v>
      </c>
      <c r="AU15">
        <v>7162</v>
      </c>
      <c r="BB15">
        <v>14</v>
      </c>
      <c r="BD15" t="s">
        <v>44</v>
      </c>
      <c r="BE15" s="5">
        <v>0</v>
      </c>
      <c r="BF15" s="5">
        <v>0</v>
      </c>
      <c r="BG15" s="5">
        <v>0</v>
      </c>
    </row>
    <row r="16" spans="1:59" x14ac:dyDescent="0.25">
      <c r="D16">
        <v>15</v>
      </c>
      <c r="E16" t="s">
        <v>60</v>
      </c>
      <c r="F16" t="s">
        <v>44</v>
      </c>
      <c r="G16" s="5">
        <v>0</v>
      </c>
      <c r="H16" s="5">
        <v>0</v>
      </c>
      <c r="I16" s="5"/>
      <c r="Q16">
        <v>15</v>
      </c>
      <c r="R16" t="s">
        <v>68</v>
      </c>
      <c r="S16" t="s">
        <v>44</v>
      </c>
      <c r="T16">
        <v>1</v>
      </c>
      <c r="U16">
        <v>6977</v>
      </c>
      <c r="V16">
        <v>6977</v>
      </c>
      <c r="AD16">
        <v>15</v>
      </c>
      <c r="AE16" t="s">
        <v>119</v>
      </c>
      <c r="AF16" t="s">
        <v>44</v>
      </c>
      <c r="AG16">
        <v>1</v>
      </c>
      <c r="AH16">
        <v>5388</v>
      </c>
      <c r="AI16">
        <v>5388</v>
      </c>
      <c r="AP16">
        <v>15</v>
      </c>
      <c r="AQ16" t="s">
        <v>114</v>
      </c>
      <c r="AR16" t="s">
        <v>44</v>
      </c>
      <c r="AS16">
        <v>1</v>
      </c>
      <c r="AT16">
        <v>6448</v>
      </c>
      <c r="AU16">
        <v>6448</v>
      </c>
      <c r="BB16">
        <v>15</v>
      </c>
      <c r="BD16" t="s">
        <v>44</v>
      </c>
      <c r="BE16" s="5">
        <v>0</v>
      </c>
      <c r="BF16" s="5">
        <v>0</v>
      </c>
      <c r="BG16" s="5">
        <v>0</v>
      </c>
    </row>
    <row r="17" spans="4:59" x14ac:dyDescent="0.25">
      <c r="D17">
        <v>16</v>
      </c>
      <c r="E17" t="s">
        <v>61</v>
      </c>
      <c r="F17" t="s">
        <v>43</v>
      </c>
      <c r="G17" s="5">
        <v>0</v>
      </c>
      <c r="H17" s="5">
        <v>7120</v>
      </c>
      <c r="I17" s="5"/>
      <c r="Q17">
        <v>16</v>
      </c>
      <c r="R17" t="s">
        <v>69</v>
      </c>
      <c r="S17" t="s">
        <v>43</v>
      </c>
      <c r="T17" s="5">
        <v>0</v>
      </c>
      <c r="U17" s="5">
        <v>0</v>
      </c>
      <c r="V17" s="5"/>
      <c r="AD17">
        <v>16</v>
      </c>
      <c r="AE17" t="s">
        <v>120</v>
      </c>
      <c r="AF17" t="s">
        <v>44</v>
      </c>
      <c r="AG17" s="5">
        <v>0</v>
      </c>
      <c r="AH17" s="5">
        <v>5488</v>
      </c>
      <c r="AI17" s="5"/>
      <c r="AP17">
        <v>16</v>
      </c>
      <c r="AQ17" t="s">
        <v>120</v>
      </c>
      <c r="AR17" t="s">
        <v>44</v>
      </c>
      <c r="AS17">
        <v>1</v>
      </c>
      <c r="AT17">
        <v>5504</v>
      </c>
      <c r="AU17">
        <v>5504</v>
      </c>
      <c r="BB17">
        <v>16</v>
      </c>
      <c r="BD17" t="s">
        <v>43</v>
      </c>
      <c r="BE17" s="5">
        <v>0</v>
      </c>
      <c r="BF17" s="5">
        <v>0</v>
      </c>
      <c r="BG17" s="5">
        <v>0</v>
      </c>
    </row>
    <row r="18" spans="4:59" x14ac:dyDescent="0.25">
      <c r="D18">
        <v>17</v>
      </c>
      <c r="E18" t="s">
        <v>62</v>
      </c>
      <c r="F18" t="s">
        <v>44</v>
      </c>
      <c r="G18" s="5">
        <v>0</v>
      </c>
      <c r="H18" s="5">
        <v>5132</v>
      </c>
      <c r="I18" s="5"/>
      <c r="Q18">
        <v>17</v>
      </c>
      <c r="R18" t="s">
        <v>71</v>
      </c>
      <c r="S18" t="s">
        <v>43</v>
      </c>
      <c r="T18" s="5">
        <v>0</v>
      </c>
      <c r="U18" s="5">
        <v>5648</v>
      </c>
      <c r="V18" s="5"/>
      <c r="AD18">
        <v>17</v>
      </c>
      <c r="AE18" t="s">
        <v>121</v>
      </c>
      <c r="AF18" t="s">
        <v>44</v>
      </c>
      <c r="AG18">
        <v>1</v>
      </c>
      <c r="AH18">
        <v>4919</v>
      </c>
      <c r="AI18">
        <v>4919</v>
      </c>
      <c r="AP18">
        <v>17</v>
      </c>
      <c r="AQ18" t="s">
        <v>108</v>
      </c>
      <c r="AR18" t="s">
        <v>44</v>
      </c>
      <c r="AS18" s="5">
        <v>0</v>
      </c>
      <c r="AT18" s="5">
        <v>7630</v>
      </c>
      <c r="AU18" s="5"/>
      <c r="BB18">
        <v>17</v>
      </c>
      <c r="BD18" t="s">
        <v>44</v>
      </c>
      <c r="BE18" s="5">
        <v>0</v>
      </c>
      <c r="BF18" s="5">
        <v>0</v>
      </c>
      <c r="BG18" s="5">
        <v>0</v>
      </c>
    </row>
    <row r="19" spans="4:59" x14ac:dyDescent="0.25">
      <c r="D19">
        <v>18</v>
      </c>
      <c r="E19" t="s">
        <v>63</v>
      </c>
      <c r="F19" t="s">
        <v>44</v>
      </c>
      <c r="G19">
        <v>1</v>
      </c>
      <c r="H19">
        <v>5993</v>
      </c>
      <c r="I19">
        <v>5993</v>
      </c>
      <c r="Q19">
        <v>18</v>
      </c>
      <c r="R19" t="s">
        <v>66</v>
      </c>
      <c r="S19" t="s">
        <v>44</v>
      </c>
      <c r="T19" s="5">
        <v>0</v>
      </c>
      <c r="U19" s="5">
        <v>5437</v>
      </c>
      <c r="V19" s="5"/>
      <c r="AD19">
        <v>18</v>
      </c>
      <c r="AE19" t="s">
        <v>122</v>
      </c>
      <c r="AF19" t="s">
        <v>43</v>
      </c>
      <c r="AG19" s="5">
        <v>0</v>
      </c>
      <c r="AH19" s="5">
        <v>7866</v>
      </c>
      <c r="AI19" s="5"/>
      <c r="AP19">
        <v>18</v>
      </c>
      <c r="AQ19" t="s">
        <v>111</v>
      </c>
      <c r="AR19" t="s">
        <v>43</v>
      </c>
      <c r="AS19">
        <v>1</v>
      </c>
      <c r="AT19">
        <v>7657</v>
      </c>
      <c r="AU19">
        <v>7657</v>
      </c>
      <c r="BB19">
        <v>18</v>
      </c>
      <c r="BD19" t="s">
        <v>43</v>
      </c>
      <c r="BE19">
        <v>1</v>
      </c>
      <c r="BF19">
        <v>7213</v>
      </c>
      <c r="BG19">
        <v>7213</v>
      </c>
    </row>
    <row r="20" spans="4:59" x14ac:dyDescent="0.25">
      <c r="D20">
        <v>19</v>
      </c>
      <c r="E20" t="s">
        <v>64</v>
      </c>
      <c r="F20" t="s">
        <v>44</v>
      </c>
      <c r="G20">
        <v>1</v>
      </c>
      <c r="H20">
        <v>5785</v>
      </c>
      <c r="I20">
        <v>5785</v>
      </c>
      <c r="Q20">
        <v>19</v>
      </c>
      <c r="R20" t="s">
        <v>55</v>
      </c>
      <c r="S20" t="s">
        <v>43</v>
      </c>
      <c r="T20" s="5">
        <v>0</v>
      </c>
      <c r="U20" s="5">
        <v>5965</v>
      </c>
      <c r="V20" s="5"/>
      <c r="AD20">
        <v>19</v>
      </c>
      <c r="AE20" t="s">
        <v>123</v>
      </c>
      <c r="AF20" t="s">
        <v>43</v>
      </c>
      <c r="AG20">
        <v>1</v>
      </c>
      <c r="AH20">
        <v>6186</v>
      </c>
      <c r="AI20">
        <v>6186</v>
      </c>
      <c r="AP20">
        <v>19</v>
      </c>
      <c r="AQ20" t="s">
        <v>119</v>
      </c>
      <c r="AR20" t="s">
        <v>44</v>
      </c>
      <c r="AS20">
        <v>1</v>
      </c>
      <c r="AT20">
        <v>6474</v>
      </c>
      <c r="AU20">
        <v>6474</v>
      </c>
      <c r="BB20">
        <v>19</v>
      </c>
      <c r="BD20" t="s">
        <v>44</v>
      </c>
      <c r="BE20" s="5">
        <v>0</v>
      </c>
      <c r="BF20" s="5">
        <v>0</v>
      </c>
      <c r="BG20" s="5">
        <v>0</v>
      </c>
    </row>
    <row r="21" spans="4:59" x14ac:dyDescent="0.25">
      <c r="D21">
        <v>20</v>
      </c>
      <c r="E21" t="s">
        <v>65</v>
      </c>
      <c r="F21" t="s">
        <v>44</v>
      </c>
      <c r="G21">
        <v>1</v>
      </c>
      <c r="H21">
        <v>6750</v>
      </c>
      <c r="I21">
        <v>6750</v>
      </c>
      <c r="Q21">
        <v>20</v>
      </c>
      <c r="R21" t="s">
        <v>58</v>
      </c>
      <c r="S21" t="s">
        <v>43</v>
      </c>
      <c r="T21" s="5">
        <v>0</v>
      </c>
      <c r="U21" s="5">
        <v>5178</v>
      </c>
      <c r="V21" s="5"/>
      <c r="AD21">
        <v>20</v>
      </c>
      <c r="AE21" t="s">
        <v>124</v>
      </c>
      <c r="AF21" t="s">
        <v>43</v>
      </c>
      <c r="AG21">
        <v>1</v>
      </c>
      <c r="AH21">
        <v>5273</v>
      </c>
      <c r="AI21">
        <v>5273</v>
      </c>
      <c r="AP21">
        <v>20</v>
      </c>
      <c r="AQ21" t="s">
        <v>123</v>
      </c>
      <c r="AR21" t="s">
        <v>43</v>
      </c>
      <c r="AS21">
        <v>1</v>
      </c>
      <c r="AT21">
        <v>7291</v>
      </c>
      <c r="AU21">
        <v>7291</v>
      </c>
      <c r="BB21">
        <v>20</v>
      </c>
      <c r="BD21" t="s">
        <v>43</v>
      </c>
      <c r="BE21" s="5">
        <v>0</v>
      </c>
      <c r="BF21" s="5">
        <v>0</v>
      </c>
      <c r="BG21" s="5">
        <v>0</v>
      </c>
    </row>
    <row r="22" spans="4:59" x14ac:dyDescent="0.25">
      <c r="D22">
        <v>21</v>
      </c>
      <c r="E22" t="s">
        <v>66</v>
      </c>
      <c r="F22" t="s">
        <v>44</v>
      </c>
      <c r="G22">
        <v>1</v>
      </c>
      <c r="H22">
        <v>5916</v>
      </c>
      <c r="I22">
        <v>5916</v>
      </c>
      <c r="Q22">
        <v>21</v>
      </c>
      <c r="R22" t="s">
        <v>60</v>
      </c>
      <c r="S22" t="s">
        <v>44</v>
      </c>
      <c r="T22">
        <v>1</v>
      </c>
      <c r="U22">
        <v>7523</v>
      </c>
      <c r="V22">
        <v>7523</v>
      </c>
      <c r="AD22">
        <v>21</v>
      </c>
      <c r="AE22" t="s">
        <v>125</v>
      </c>
      <c r="AF22" t="s">
        <v>43</v>
      </c>
      <c r="AG22" s="5">
        <v>0</v>
      </c>
      <c r="AH22" s="5">
        <v>6972</v>
      </c>
      <c r="AI22" s="5"/>
      <c r="AP22">
        <v>21</v>
      </c>
      <c r="AQ22" t="s">
        <v>112</v>
      </c>
      <c r="AR22" t="s">
        <v>43</v>
      </c>
      <c r="AS22">
        <v>1</v>
      </c>
      <c r="AT22">
        <v>7989</v>
      </c>
      <c r="AU22">
        <v>7989</v>
      </c>
      <c r="BB22">
        <v>21</v>
      </c>
      <c r="BD22" t="s">
        <v>44</v>
      </c>
      <c r="BE22" s="5">
        <v>0</v>
      </c>
      <c r="BF22" s="5">
        <v>0</v>
      </c>
      <c r="BG22" s="5">
        <v>0</v>
      </c>
    </row>
    <row r="23" spans="4:59" x14ac:dyDescent="0.25">
      <c r="D23">
        <v>22</v>
      </c>
      <c r="E23" t="s">
        <v>67</v>
      </c>
      <c r="F23" t="s">
        <v>44</v>
      </c>
      <c r="G23">
        <v>1</v>
      </c>
      <c r="H23">
        <v>6666</v>
      </c>
      <c r="I23">
        <v>6666</v>
      </c>
      <c r="Q23">
        <v>22</v>
      </c>
      <c r="R23" t="s">
        <v>70</v>
      </c>
      <c r="S23" t="s">
        <v>43</v>
      </c>
      <c r="T23">
        <v>1</v>
      </c>
      <c r="U23">
        <v>3423</v>
      </c>
      <c r="V23">
        <v>3423</v>
      </c>
      <c r="AD23">
        <v>22</v>
      </c>
      <c r="AE23" t="s">
        <v>126</v>
      </c>
      <c r="AF23" t="s">
        <v>43</v>
      </c>
      <c r="AG23" s="5">
        <v>0</v>
      </c>
      <c r="AH23" s="5">
        <v>6600</v>
      </c>
      <c r="AI23" s="5"/>
      <c r="AP23">
        <v>22</v>
      </c>
      <c r="AQ23" t="s">
        <v>125</v>
      </c>
      <c r="AR23" t="s">
        <v>43</v>
      </c>
      <c r="AS23">
        <v>1</v>
      </c>
      <c r="AT23">
        <v>7323</v>
      </c>
      <c r="AU23">
        <v>7323</v>
      </c>
      <c r="BB23">
        <v>22</v>
      </c>
      <c r="BD23" t="s">
        <v>43</v>
      </c>
      <c r="BE23">
        <v>1</v>
      </c>
      <c r="BF23">
        <v>569</v>
      </c>
      <c r="BG23">
        <v>569</v>
      </c>
    </row>
    <row r="24" spans="4:59" x14ac:dyDescent="0.25">
      <c r="D24">
        <v>23</v>
      </c>
      <c r="E24" t="s">
        <v>68</v>
      </c>
      <c r="F24" t="s">
        <v>44</v>
      </c>
      <c r="G24" s="5">
        <v>0</v>
      </c>
      <c r="H24" s="5">
        <v>0</v>
      </c>
      <c r="I24" s="5"/>
      <c r="Q24">
        <v>23</v>
      </c>
      <c r="R24" t="s">
        <v>46</v>
      </c>
      <c r="S24" t="s">
        <v>43</v>
      </c>
      <c r="T24">
        <v>1</v>
      </c>
      <c r="U24">
        <v>5477</v>
      </c>
      <c r="V24">
        <v>5477</v>
      </c>
      <c r="AD24">
        <v>23</v>
      </c>
      <c r="AE24" t="s">
        <v>127</v>
      </c>
      <c r="AF24" t="s">
        <v>44</v>
      </c>
      <c r="AG24">
        <v>1</v>
      </c>
      <c r="AH24">
        <v>5629</v>
      </c>
      <c r="AI24">
        <v>5629</v>
      </c>
      <c r="AP24">
        <v>23</v>
      </c>
      <c r="AQ24" t="s">
        <v>116</v>
      </c>
      <c r="AR24" t="s">
        <v>44</v>
      </c>
      <c r="AS24" s="5">
        <v>0</v>
      </c>
      <c r="AT24" s="5">
        <v>0</v>
      </c>
      <c r="AU24" s="5"/>
      <c r="BB24">
        <v>23</v>
      </c>
      <c r="BD24" t="s">
        <v>43</v>
      </c>
      <c r="BE24" s="5">
        <v>0</v>
      </c>
      <c r="BF24" s="5">
        <v>0</v>
      </c>
      <c r="BG24" s="5">
        <v>0</v>
      </c>
    </row>
    <row r="25" spans="4:59" x14ac:dyDescent="0.25">
      <c r="D25">
        <v>24</v>
      </c>
      <c r="E25" t="s">
        <v>69</v>
      </c>
      <c r="F25" t="s">
        <v>43</v>
      </c>
      <c r="G25" s="5">
        <v>0</v>
      </c>
      <c r="H25" s="5">
        <v>5712</v>
      </c>
      <c r="I25" s="5"/>
      <c r="Q25">
        <v>24</v>
      </c>
      <c r="R25" t="s">
        <v>52</v>
      </c>
      <c r="S25" t="s">
        <v>43</v>
      </c>
      <c r="T25">
        <v>1</v>
      </c>
      <c r="U25">
        <v>4455</v>
      </c>
      <c r="V25">
        <v>4455</v>
      </c>
      <c r="AD25">
        <v>24</v>
      </c>
      <c r="AE25" t="s">
        <v>128</v>
      </c>
      <c r="AF25" t="s">
        <v>43</v>
      </c>
      <c r="AG25" s="5">
        <v>0</v>
      </c>
      <c r="AH25" s="5">
        <v>0</v>
      </c>
      <c r="AI25" s="5"/>
      <c r="AP25">
        <v>24</v>
      </c>
      <c r="AQ25" t="s">
        <v>105</v>
      </c>
      <c r="AR25" t="s">
        <v>44</v>
      </c>
      <c r="AS25" s="5">
        <v>0</v>
      </c>
      <c r="AT25" s="5">
        <v>0</v>
      </c>
      <c r="AU25" s="5"/>
      <c r="BB25">
        <v>24</v>
      </c>
      <c r="BD25" t="s">
        <v>43</v>
      </c>
      <c r="BE25" s="5">
        <v>0</v>
      </c>
      <c r="BF25" s="5">
        <v>0</v>
      </c>
      <c r="BG25" s="5">
        <v>0</v>
      </c>
    </row>
    <row r="26" spans="4:59" x14ac:dyDescent="0.25">
      <c r="D26">
        <v>25</v>
      </c>
      <c r="E26" t="s">
        <v>70</v>
      </c>
      <c r="F26" t="s">
        <v>43</v>
      </c>
      <c r="G26">
        <v>1</v>
      </c>
      <c r="H26">
        <v>4207</v>
      </c>
      <c r="I26">
        <v>4207</v>
      </c>
      <c r="Q26">
        <v>25</v>
      </c>
      <c r="R26" t="s">
        <v>61</v>
      </c>
      <c r="S26" t="s">
        <v>43</v>
      </c>
      <c r="T26">
        <v>1</v>
      </c>
      <c r="U26">
        <v>6685</v>
      </c>
      <c r="V26">
        <v>6685</v>
      </c>
      <c r="AD26">
        <v>25</v>
      </c>
      <c r="AE26" t="s">
        <v>129</v>
      </c>
      <c r="AF26" t="s">
        <v>43</v>
      </c>
      <c r="AG26">
        <v>1</v>
      </c>
      <c r="AH26">
        <v>5291</v>
      </c>
      <c r="AI26">
        <v>5291</v>
      </c>
      <c r="AP26">
        <v>25</v>
      </c>
      <c r="AQ26" t="s">
        <v>106</v>
      </c>
      <c r="AR26" t="s">
        <v>43</v>
      </c>
      <c r="AS26" s="5">
        <v>0</v>
      </c>
      <c r="AT26" s="5">
        <v>5876</v>
      </c>
      <c r="AU26" s="5"/>
      <c r="BB26">
        <v>25</v>
      </c>
      <c r="BD26" t="s">
        <v>44</v>
      </c>
      <c r="BE26" s="5">
        <v>0</v>
      </c>
      <c r="BF26" s="5">
        <v>0</v>
      </c>
      <c r="BG26" s="5">
        <v>0</v>
      </c>
    </row>
    <row r="27" spans="4:59" x14ac:dyDescent="0.25">
      <c r="D27">
        <v>26</v>
      </c>
      <c r="E27" t="s">
        <v>71</v>
      </c>
      <c r="F27" t="s">
        <v>43</v>
      </c>
      <c r="G27">
        <v>1</v>
      </c>
      <c r="H27">
        <v>6639</v>
      </c>
      <c r="I27">
        <v>6639</v>
      </c>
      <c r="Q27">
        <v>26</v>
      </c>
      <c r="R27" t="s">
        <v>50</v>
      </c>
      <c r="S27" t="s">
        <v>44</v>
      </c>
      <c r="T27">
        <v>1</v>
      </c>
      <c r="U27">
        <v>4530</v>
      </c>
      <c r="V27">
        <v>4530</v>
      </c>
      <c r="AD27">
        <v>26</v>
      </c>
      <c r="AE27" t="s">
        <v>130</v>
      </c>
      <c r="AF27" t="s">
        <v>44</v>
      </c>
      <c r="AG27">
        <v>1</v>
      </c>
      <c r="AH27">
        <v>4774</v>
      </c>
      <c r="AI27">
        <v>4774</v>
      </c>
      <c r="AP27">
        <v>26</v>
      </c>
      <c r="AQ27" t="s">
        <v>115</v>
      </c>
      <c r="AR27" t="s">
        <v>44</v>
      </c>
      <c r="AS27" s="5">
        <v>0</v>
      </c>
      <c r="AT27" s="5">
        <v>0</v>
      </c>
      <c r="AU27" s="5"/>
      <c r="BB27">
        <v>26</v>
      </c>
      <c r="BD27" t="s">
        <v>44</v>
      </c>
      <c r="BE27" s="5">
        <v>0</v>
      </c>
      <c r="BF27" s="5">
        <v>0</v>
      </c>
      <c r="BG27" s="5">
        <v>0</v>
      </c>
    </row>
    <row r="28" spans="4:59" x14ac:dyDescent="0.25">
      <c r="G28" s="2">
        <f>SUM(G2:G27)</f>
        <v>11</v>
      </c>
      <c r="I28" s="6">
        <f>SUM(I2:I27)</f>
        <v>67991</v>
      </c>
      <c r="J28">
        <v>11</v>
      </c>
      <c r="T28" s="2">
        <f>SUM(T2:T27)</f>
        <v>15</v>
      </c>
      <c r="V28" s="6">
        <f>SUM(V2:V27)</f>
        <v>78708</v>
      </c>
      <c r="W28">
        <v>15</v>
      </c>
      <c r="AG28" s="5">
        <f>SUM(AG2:AG27)</f>
        <v>17</v>
      </c>
      <c r="AI28">
        <f>SUM(AI2:AI27)</f>
        <v>92687</v>
      </c>
      <c r="AS28" s="2">
        <f>SUM(AS2:AS27)</f>
        <v>14</v>
      </c>
      <c r="AU28">
        <f>SUM(AU2:AU27)</f>
        <v>86430</v>
      </c>
      <c r="AV28">
        <v>14</v>
      </c>
      <c r="BE28">
        <f>SUM(BE2:BE27)</f>
        <v>3</v>
      </c>
      <c r="BG28">
        <f>SUM(BG2:BG27)</f>
        <v>14877</v>
      </c>
    </row>
    <row r="29" spans="4:59" ht="15.75" x14ac:dyDescent="0.25">
      <c r="H29" s="8">
        <f>I28/J28</f>
        <v>6181</v>
      </c>
      <c r="U29" s="9">
        <f>V28/W28</f>
        <v>5247.2</v>
      </c>
      <c r="AH29">
        <f>AI28/AG28</f>
        <v>5452.1764705882351</v>
      </c>
      <c r="BF29" s="7">
        <f>BG28/BE28</f>
        <v>4959</v>
      </c>
    </row>
    <row r="30" spans="4:59" x14ac:dyDescent="0.25">
      <c r="AT30" s="2">
        <f>AU28/AV28</f>
        <v>6173.5714285714284</v>
      </c>
    </row>
    <row r="36" spans="9:19" x14ac:dyDescent="0.25">
      <c r="J36" t="s">
        <v>490</v>
      </c>
      <c r="K36" t="s">
        <v>74</v>
      </c>
      <c r="L36" t="s">
        <v>104</v>
      </c>
      <c r="M36" t="s">
        <v>158</v>
      </c>
      <c r="P36" t="s">
        <v>490</v>
      </c>
      <c r="Q36" t="s">
        <v>74</v>
      </c>
      <c r="R36" t="s">
        <v>104</v>
      </c>
      <c r="S36" t="s">
        <v>158</v>
      </c>
    </row>
    <row r="37" spans="9:19" x14ac:dyDescent="0.25">
      <c r="I37" t="s">
        <v>493</v>
      </c>
      <c r="J37">
        <v>11</v>
      </c>
      <c r="K37">
        <v>15</v>
      </c>
      <c r="L37">
        <v>17</v>
      </c>
      <c r="M37">
        <v>14</v>
      </c>
      <c r="O37" t="s">
        <v>492</v>
      </c>
      <c r="P37">
        <v>6181</v>
      </c>
      <c r="Q37">
        <v>5247.2</v>
      </c>
      <c r="R37">
        <v>5452.17</v>
      </c>
      <c r="S37">
        <v>6173.57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8"/>
  <sheetViews>
    <sheetView topLeftCell="T1" workbookViewId="0">
      <selection activeCell="AA2" sqref="AA2"/>
    </sheetView>
  </sheetViews>
  <sheetFormatPr baseColWidth="10" defaultRowHeight="15" x14ac:dyDescent="0.25"/>
  <cols>
    <col min="1" max="1" width="16.7109375" customWidth="1"/>
    <col min="6" max="6" width="16.140625" customWidth="1"/>
    <col min="7" max="7" width="17.5703125" customWidth="1"/>
    <col min="8" max="8" width="17.28515625" customWidth="1"/>
    <col min="9" max="9" width="19.7109375" customWidth="1"/>
    <col min="13" max="15" width="19.42578125" customWidth="1"/>
    <col min="21" max="21" width="15.28515625" customWidth="1"/>
    <col min="22" max="22" width="27.42578125" customWidth="1"/>
    <col min="23" max="23" width="19.85546875" customWidth="1"/>
    <col min="31" max="31" width="14.28515625" customWidth="1"/>
    <col min="32" max="32" width="15.7109375" customWidth="1"/>
    <col min="33" max="33" width="14.42578125" customWidth="1"/>
    <col min="43" max="43" width="16.5703125" customWidth="1"/>
    <col min="48" max="48" width="28" customWidth="1"/>
    <col min="54" max="54" width="17.28515625" customWidth="1"/>
    <col min="55" max="55" width="25.7109375" customWidth="1"/>
  </cols>
  <sheetData>
    <row r="1" spans="1:56" ht="15.75" x14ac:dyDescent="0.25">
      <c r="A1" s="1" t="s">
        <v>33</v>
      </c>
      <c r="B1" s="2" t="s">
        <v>0</v>
      </c>
      <c r="C1" s="2" t="s">
        <v>1</v>
      </c>
      <c r="D1" s="2" t="s">
        <v>2</v>
      </c>
      <c r="E1" s="2" t="s">
        <v>45</v>
      </c>
      <c r="F1" s="2" t="s">
        <v>42</v>
      </c>
      <c r="G1" s="2" t="s">
        <v>9</v>
      </c>
      <c r="H1" s="2" t="s">
        <v>10</v>
      </c>
      <c r="I1" s="2" t="s">
        <v>102</v>
      </c>
      <c r="M1" s="1" t="s">
        <v>33</v>
      </c>
      <c r="N1" s="1"/>
      <c r="O1" s="1"/>
      <c r="P1" s="2" t="s">
        <v>0</v>
      </c>
      <c r="Q1" s="2" t="s">
        <v>1</v>
      </c>
      <c r="R1" s="2" t="s">
        <v>2</v>
      </c>
      <c r="S1" s="2" t="s">
        <v>45</v>
      </c>
      <c r="T1" s="2" t="s">
        <v>42</v>
      </c>
      <c r="U1" s="2" t="s">
        <v>9</v>
      </c>
      <c r="V1" s="2" t="s">
        <v>10</v>
      </c>
      <c r="W1" s="2" t="s">
        <v>102</v>
      </c>
      <c r="Y1" s="1" t="s">
        <v>33</v>
      </c>
      <c r="Z1" s="2" t="s">
        <v>0</v>
      </c>
      <c r="AA1" s="2" t="s">
        <v>1</v>
      </c>
      <c r="AB1" s="2" t="s">
        <v>2</v>
      </c>
      <c r="AC1" s="2" t="s">
        <v>45</v>
      </c>
      <c r="AD1" s="2" t="s">
        <v>42</v>
      </c>
      <c r="AE1" s="2" t="s">
        <v>9</v>
      </c>
      <c r="AF1" s="2" t="s">
        <v>10</v>
      </c>
      <c r="AG1" s="2" t="s">
        <v>102</v>
      </c>
      <c r="AJ1" s="1" t="s">
        <v>33</v>
      </c>
      <c r="AK1" s="2" t="s">
        <v>0</v>
      </c>
      <c r="AL1" s="2" t="s">
        <v>1</v>
      </c>
      <c r="AM1" s="2" t="s">
        <v>2</v>
      </c>
      <c r="AN1" t="s">
        <v>45</v>
      </c>
      <c r="AO1" t="s">
        <v>42</v>
      </c>
      <c r="AP1" t="s">
        <v>9</v>
      </c>
      <c r="AQ1" t="s">
        <v>10</v>
      </c>
      <c r="AR1" s="2" t="s">
        <v>102</v>
      </c>
      <c r="AV1" s="1" t="s">
        <v>33</v>
      </c>
      <c r="AW1" s="2" t="s">
        <v>0</v>
      </c>
      <c r="AX1" s="2" t="s">
        <v>1</v>
      </c>
      <c r="AY1" s="2" t="s">
        <v>2</v>
      </c>
      <c r="AZ1" t="s">
        <v>45</v>
      </c>
      <c r="BA1" t="s">
        <v>42</v>
      </c>
      <c r="BB1" t="s">
        <v>9</v>
      </c>
      <c r="BC1" t="s">
        <v>10</v>
      </c>
      <c r="BD1" s="2" t="s">
        <v>102</v>
      </c>
    </row>
    <row r="2" spans="1:56" ht="15.75" x14ac:dyDescent="0.25">
      <c r="A2" s="3" t="s">
        <v>6</v>
      </c>
      <c r="B2">
        <v>1</v>
      </c>
      <c r="C2">
        <v>1</v>
      </c>
      <c r="D2">
        <v>1</v>
      </c>
      <c r="E2" t="s">
        <v>76</v>
      </c>
      <c r="F2" t="s">
        <v>43</v>
      </c>
      <c r="G2">
        <v>1</v>
      </c>
      <c r="H2">
        <v>1716</v>
      </c>
      <c r="I2">
        <v>1716</v>
      </c>
      <c r="M2" s="3" t="s">
        <v>103</v>
      </c>
      <c r="N2" s="3"/>
      <c r="O2" s="3"/>
      <c r="P2">
        <v>1</v>
      </c>
      <c r="Q2">
        <v>1</v>
      </c>
      <c r="R2">
        <v>1</v>
      </c>
      <c r="S2" t="s">
        <v>92</v>
      </c>
      <c r="T2" t="s">
        <v>44</v>
      </c>
      <c r="U2" s="5">
        <v>0</v>
      </c>
      <c r="V2" s="5">
        <v>5215</v>
      </c>
      <c r="W2" s="5"/>
      <c r="Y2" s="3" t="s">
        <v>104</v>
      </c>
      <c r="Z2">
        <v>2</v>
      </c>
      <c r="AA2">
        <v>3</v>
      </c>
      <c r="AB2">
        <v>1</v>
      </c>
      <c r="AC2" t="s">
        <v>132</v>
      </c>
      <c r="AD2" t="s">
        <v>43</v>
      </c>
      <c r="AE2">
        <v>1</v>
      </c>
      <c r="AF2">
        <v>3479</v>
      </c>
      <c r="AG2">
        <v>3479</v>
      </c>
      <c r="AJ2" s="3" t="s">
        <v>158</v>
      </c>
      <c r="AK2">
        <v>2</v>
      </c>
      <c r="AL2">
        <v>3</v>
      </c>
      <c r="AM2">
        <v>1</v>
      </c>
      <c r="AN2" t="s">
        <v>142</v>
      </c>
      <c r="AO2" t="s">
        <v>43</v>
      </c>
      <c r="AP2">
        <v>1</v>
      </c>
      <c r="AQ2">
        <v>3096</v>
      </c>
      <c r="AR2">
        <v>3096</v>
      </c>
      <c r="AV2" s="3" t="s">
        <v>725</v>
      </c>
      <c r="AW2">
        <v>1</v>
      </c>
      <c r="AX2">
        <v>5</v>
      </c>
      <c r="AY2">
        <v>1</v>
      </c>
      <c r="AZ2" t="s">
        <v>100</v>
      </c>
      <c r="BA2" t="s">
        <v>44</v>
      </c>
      <c r="BB2" s="5">
        <v>0</v>
      </c>
      <c r="BC2" s="5">
        <v>5174</v>
      </c>
      <c r="BD2" s="5"/>
    </row>
    <row r="3" spans="1:56" ht="15.75" x14ac:dyDescent="0.25">
      <c r="A3" s="1" t="s">
        <v>13</v>
      </c>
      <c r="D3">
        <v>2</v>
      </c>
      <c r="E3" t="s">
        <v>77</v>
      </c>
      <c r="F3" t="s">
        <v>43</v>
      </c>
      <c r="G3" s="5">
        <v>0</v>
      </c>
      <c r="H3" s="5">
        <v>1998</v>
      </c>
      <c r="I3" s="5"/>
      <c r="M3" s="1" t="s">
        <v>13</v>
      </c>
      <c r="N3" s="1"/>
      <c r="O3" s="1"/>
      <c r="R3">
        <v>2</v>
      </c>
      <c r="S3" t="s">
        <v>89</v>
      </c>
      <c r="T3" t="s">
        <v>43</v>
      </c>
      <c r="U3" s="5">
        <v>0</v>
      </c>
      <c r="V3" s="5">
        <v>1864</v>
      </c>
      <c r="W3" s="5"/>
      <c r="Y3" s="1" t="s">
        <v>13</v>
      </c>
      <c r="AB3">
        <v>2</v>
      </c>
      <c r="AC3" t="s">
        <v>133</v>
      </c>
      <c r="AD3" t="s">
        <v>44</v>
      </c>
      <c r="AE3" s="5">
        <v>0</v>
      </c>
      <c r="AF3" s="5">
        <v>1530</v>
      </c>
      <c r="AG3" s="5"/>
      <c r="AJ3" s="1" t="s">
        <v>13</v>
      </c>
      <c r="AM3">
        <v>2</v>
      </c>
      <c r="AN3" t="s">
        <v>143</v>
      </c>
      <c r="AO3" t="s">
        <v>43</v>
      </c>
      <c r="AP3" s="5">
        <v>0</v>
      </c>
      <c r="AQ3" s="5">
        <v>2378</v>
      </c>
      <c r="AR3" s="5"/>
      <c r="AV3" s="1" t="s">
        <v>13</v>
      </c>
      <c r="AY3">
        <v>2</v>
      </c>
      <c r="AZ3" t="s">
        <v>80</v>
      </c>
      <c r="BA3" t="s">
        <v>43</v>
      </c>
      <c r="BB3" s="5">
        <v>0</v>
      </c>
      <c r="BC3" s="5">
        <v>0</v>
      </c>
      <c r="BD3" s="5"/>
    </row>
    <row r="4" spans="1:56" ht="15.75" x14ac:dyDescent="0.25">
      <c r="A4" s="1" t="s">
        <v>72</v>
      </c>
      <c r="D4">
        <v>3</v>
      </c>
      <c r="E4" t="s">
        <v>78</v>
      </c>
      <c r="F4" t="s">
        <v>44</v>
      </c>
      <c r="G4">
        <v>1</v>
      </c>
      <c r="H4">
        <v>2579</v>
      </c>
      <c r="I4">
        <v>2579</v>
      </c>
      <c r="M4" s="1" t="s">
        <v>75</v>
      </c>
      <c r="N4" s="1"/>
      <c r="O4" s="1"/>
      <c r="R4">
        <v>3</v>
      </c>
      <c r="S4" t="s">
        <v>95</v>
      </c>
      <c r="T4" t="s">
        <v>43</v>
      </c>
      <c r="U4">
        <v>1</v>
      </c>
      <c r="V4">
        <v>4141</v>
      </c>
      <c r="W4">
        <v>4141</v>
      </c>
      <c r="Y4" s="1" t="s">
        <v>131</v>
      </c>
      <c r="AB4">
        <v>3</v>
      </c>
      <c r="AC4" t="s">
        <v>134</v>
      </c>
      <c r="AD4" t="s">
        <v>44</v>
      </c>
      <c r="AE4">
        <v>1</v>
      </c>
      <c r="AF4">
        <v>2216</v>
      </c>
      <c r="AG4">
        <v>2216</v>
      </c>
      <c r="AJ4" s="1" t="s">
        <v>131</v>
      </c>
      <c r="AM4">
        <v>3</v>
      </c>
      <c r="AN4" t="s">
        <v>140</v>
      </c>
      <c r="AO4" t="s">
        <v>43</v>
      </c>
      <c r="AP4" s="5">
        <v>0</v>
      </c>
      <c r="AQ4" s="5">
        <v>3422</v>
      </c>
      <c r="AR4" s="5"/>
      <c r="AV4" s="1" t="s">
        <v>724</v>
      </c>
      <c r="AY4">
        <v>3</v>
      </c>
      <c r="AZ4" t="s">
        <v>79</v>
      </c>
      <c r="BA4" t="s">
        <v>43</v>
      </c>
      <c r="BB4" s="5">
        <v>0</v>
      </c>
      <c r="BC4" s="5">
        <v>0</v>
      </c>
      <c r="BD4" s="5"/>
    </row>
    <row r="5" spans="1:56" x14ac:dyDescent="0.25">
      <c r="D5">
        <v>4</v>
      </c>
      <c r="E5" t="s">
        <v>79</v>
      </c>
      <c r="F5" t="s">
        <v>43</v>
      </c>
      <c r="G5">
        <v>1</v>
      </c>
      <c r="H5">
        <v>3896</v>
      </c>
      <c r="I5">
        <v>3896</v>
      </c>
      <c r="R5">
        <v>4</v>
      </c>
      <c r="S5" t="s">
        <v>79</v>
      </c>
      <c r="T5" t="s">
        <v>43</v>
      </c>
      <c r="U5">
        <v>1</v>
      </c>
      <c r="V5">
        <v>2183</v>
      </c>
      <c r="W5">
        <v>2183</v>
      </c>
      <c r="AB5">
        <v>4</v>
      </c>
      <c r="AC5" t="s">
        <v>135</v>
      </c>
      <c r="AD5" t="s">
        <v>43</v>
      </c>
      <c r="AE5">
        <v>1</v>
      </c>
      <c r="AF5">
        <v>2379</v>
      </c>
      <c r="AG5">
        <v>2379</v>
      </c>
      <c r="AM5">
        <v>4</v>
      </c>
      <c r="AN5" t="s">
        <v>138</v>
      </c>
      <c r="AO5" t="s">
        <v>44</v>
      </c>
      <c r="AP5">
        <v>1</v>
      </c>
      <c r="AQ5">
        <v>4834</v>
      </c>
      <c r="AR5">
        <v>4834</v>
      </c>
      <c r="AY5">
        <v>4</v>
      </c>
      <c r="AZ5" t="s">
        <v>83</v>
      </c>
      <c r="BA5" t="s">
        <v>44</v>
      </c>
      <c r="BB5">
        <v>1</v>
      </c>
      <c r="BC5">
        <v>6952</v>
      </c>
      <c r="BD5">
        <v>6952</v>
      </c>
    </row>
    <row r="6" spans="1:56" x14ac:dyDescent="0.25">
      <c r="D6">
        <v>5</v>
      </c>
      <c r="E6" t="s">
        <v>80</v>
      </c>
      <c r="F6" t="s">
        <v>43</v>
      </c>
      <c r="G6">
        <v>1</v>
      </c>
      <c r="H6">
        <v>5639</v>
      </c>
      <c r="I6">
        <v>5639</v>
      </c>
      <c r="R6">
        <v>5</v>
      </c>
      <c r="S6" t="s">
        <v>88</v>
      </c>
      <c r="T6" t="s">
        <v>44</v>
      </c>
      <c r="U6">
        <v>1</v>
      </c>
      <c r="V6">
        <v>1687</v>
      </c>
      <c r="W6">
        <v>1687</v>
      </c>
      <c r="AB6">
        <v>5</v>
      </c>
      <c r="AC6" t="s">
        <v>136</v>
      </c>
      <c r="AD6" t="s">
        <v>44</v>
      </c>
      <c r="AE6" s="5">
        <v>0</v>
      </c>
      <c r="AF6" s="5">
        <v>3128</v>
      </c>
      <c r="AG6" s="5"/>
      <c r="AM6">
        <v>5</v>
      </c>
      <c r="AN6" t="s">
        <v>132</v>
      </c>
      <c r="AO6" t="s">
        <v>43</v>
      </c>
      <c r="AP6">
        <v>1</v>
      </c>
      <c r="AQ6">
        <v>3363</v>
      </c>
      <c r="AR6">
        <v>3363</v>
      </c>
      <c r="AY6">
        <v>5</v>
      </c>
      <c r="AZ6" t="s">
        <v>84</v>
      </c>
      <c r="BA6" t="s">
        <v>44</v>
      </c>
      <c r="BB6">
        <v>1</v>
      </c>
      <c r="BC6">
        <v>3886</v>
      </c>
      <c r="BD6">
        <v>3886</v>
      </c>
    </row>
    <row r="7" spans="1:56" x14ac:dyDescent="0.25">
      <c r="D7">
        <v>6</v>
      </c>
      <c r="E7" t="s">
        <v>81</v>
      </c>
      <c r="F7" t="s">
        <v>43</v>
      </c>
      <c r="G7">
        <v>1</v>
      </c>
      <c r="H7">
        <v>3078</v>
      </c>
      <c r="I7">
        <v>3078</v>
      </c>
      <c r="R7">
        <v>6</v>
      </c>
      <c r="S7" t="s">
        <v>101</v>
      </c>
      <c r="T7" t="s">
        <v>43</v>
      </c>
      <c r="U7">
        <v>1</v>
      </c>
      <c r="V7">
        <v>1491</v>
      </c>
      <c r="W7">
        <v>1491</v>
      </c>
      <c r="AB7">
        <v>6</v>
      </c>
      <c r="AC7" t="s">
        <v>137</v>
      </c>
      <c r="AD7" t="s">
        <v>44</v>
      </c>
      <c r="AE7" s="5">
        <v>0</v>
      </c>
      <c r="AF7" s="5">
        <v>1170</v>
      </c>
      <c r="AG7" s="5"/>
      <c r="AM7">
        <v>6</v>
      </c>
      <c r="AN7" t="s">
        <v>139</v>
      </c>
      <c r="AO7" t="s">
        <v>44</v>
      </c>
      <c r="AP7">
        <v>1</v>
      </c>
      <c r="AQ7">
        <v>2512</v>
      </c>
      <c r="AR7">
        <v>2512</v>
      </c>
      <c r="AY7">
        <v>6</v>
      </c>
      <c r="AZ7" t="s">
        <v>89</v>
      </c>
      <c r="BA7" t="s">
        <v>43</v>
      </c>
      <c r="BB7">
        <v>1</v>
      </c>
      <c r="BC7">
        <v>3059</v>
      </c>
      <c r="BD7">
        <v>3059</v>
      </c>
    </row>
    <row r="8" spans="1:56" x14ac:dyDescent="0.25">
      <c r="D8">
        <v>7</v>
      </c>
      <c r="E8" t="s">
        <v>82</v>
      </c>
      <c r="F8" t="s">
        <v>44</v>
      </c>
      <c r="G8" s="5">
        <v>0</v>
      </c>
      <c r="H8" s="5">
        <v>3978</v>
      </c>
      <c r="I8" s="5"/>
      <c r="R8">
        <v>7</v>
      </c>
      <c r="S8" t="s">
        <v>76</v>
      </c>
      <c r="T8" t="s">
        <v>43</v>
      </c>
      <c r="U8">
        <v>1</v>
      </c>
      <c r="V8">
        <v>1905</v>
      </c>
      <c r="W8">
        <v>1905</v>
      </c>
      <c r="AB8">
        <v>7</v>
      </c>
      <c r="AC8" t="s">
        <v>138</v>
      </c>
      <c r="AD8" t="s">
        <v>44</v>
      </c>
      <c r="AE8">
        <v>1</v>
      </c>
      <c r="AF8">
        <v>3656</v>
      </c>
      <c r="AG8">
        <v>3656</v>
      </c>
      <c r="AM8">
        <v>7</v>
      </c>
      <c r="AN8" t="s">
        <v>152</v>
      </c>
      <c r="AO8" t="s">
        <v>43</v>
      </c>
      <c r="AP8" s="5">
        <v>0</v>
      </c>
      <c r="AQ8" s="5">
        <v>6062</v>
      </c>
      <c r="AR8" s="5"/>
      <c r="AY8">
        <v>7</v>
      </c>
      <c r="AZ8" t="s">
        <v>91</v>
      </c>
      <c r="BA8" t="s">
        <v>44</v>
      </c>
      <c r="BB8">
        <v>1</v>
      </c>
      <c r="BC8">
        <v>7477</v>
      </c>
      <c r="BD8">
        <v>7477</v>
      </c>
    </row>
    <row r="9" spans="1:56" x14ac:dyDescent="0.25">
      <c r="D9">
        <v>8</v>
      </c>
      <c r="E9" t="s">
        <v>83</v>
      </c>
      <c r="F9" t="s">
        <v>44</v>
      </c>
      <c r="G9">
        <v>1</v>
      </c>
      <c r="H9">
        <v>2905</v>
      </c>
      <c r="I9">
        <v>2905</v>
      </c>
      <c r="R9">
        <v>8</v>
      </c>
      <c r="S9" t="s">
        <v>77</v>
      </c>
      <c r="T9" t="s">
        <v>43</v>
      </c>
      <c r="U9" s="5">
        <v>0</v>
      </c>
      <c r="V9" s="5">
        <v>2048</v>
      </c>
      <c r="W9" s="5"/>
      <c r="AB9">
        <v>8</v>
      </c>
      <c r="AC9" t="s">
        <v>139</v>
      </c>
      <c r="AD9" t="s">
        <v>44</v>
      </c>
      <c r="AE9">
        <v>1</v>
      </c>
      <c r="AF9">
        <v>2227</v>
      </c>
      <c r="AG9">
        <v>2227</v>
      </c>
      <c r="AM9">
        <v>8</v>
      </c>
      <c r="AN9" t="s">
        <v>155</v>
      </c>
      <c r="AO9" t="s">
        <v>44</v>
      </c>
      <c r="AP9">
        <v>1</v>
      </c>
      <c r="AQ9">
        <v>6063</v>
      </c>
      <c r="AR9">
        <v>6063</v>
      </c>
      <c r="AY9">
        <v>8</v>
      </c>
      <c r="AZ9" t="s">
        <v>90</v>
      </c>
      <c r="BA9" t="s">
        <v>44</v>
      </c>
      <c r="BB9" s="5">
        <v>0</v>
      </c>
      <c r="BC9" s="5">
        <v>5874</v>
      </c>
      <c r="BD9" s="5"/>
    </row>
    <row r="10" spans="1:56" x14ac:dyDescent="0.25">
      <c r="D10">
        <v>9</v>
      </c>
      <c r="E10" t="s">
        <v>84</v>
      </c>
      <c r="F10" t="s">
        <v>44</v>
      </c>
      <c r="G10">
        <v>1</v>
      </c>
      <c r="H10">
        <v>1615</v>
      </c>
      <c r="I10">
        <v>1615</v>
      </c>
      <c r="R10">
        <v>9</v>
      </c>
      <c r="S10" t="s">
        <v>81</v>
      </c>
      <c r="T10" t="s">
        <v>43</v>
      </c>
      <c r="U10">
        <v>1</v>
      </c>
      <c r="V10">
        <v>2139</v>
      </c>
      <c r="W10">
        <v>2139</v>
      </c>
      <c r="AB10">
        <v>9</v>
      </c>
      <c r="AC10" t="s">
        <v>140</v>
      </c>
      <c r="AD10" t="s">
        <v>43</v>
      </c>
      <c r="AE10">
        <v>1</v>
      </c>
      <c r="AF10">
        <v>2343</v>
      </c>
      <c r="AG10">
        <v>2343</v>
      </c>
      <c r="AM10">
        <v>9</v>
      </c>
      <c r="AN10" t="s">
        <v>154</v>
      </c>
      <c r="AO10" t="s">
        <v>44</v>
      </c>
      <c r="AP10">
        <v>1</v>
      </c>
      <c r="AQ10">
        <v>3002</v>
      </c>
      <c r="AR10">
        <v>3002</v>
      </c>
      <c r="AY10">
        <v>9</v>
      </c>
      <c r="AZ10" t="s">
        <v>88</v>
      </c>
      <c r="BA10" t="s">
        <v>44</v>
      </c>
      <c r="BB10">
        <v>1</v>
      </c>
      <c r="BC10">
        <v>6682</v>
      </c>
      <c r="BD10">
        <v>6682</v>
      </c>
    </row>
    <row r="11" spans="1:56" x14ac:dyDescent="0.25">
      <c r="D11">
        <v>10</v>
      </c>
      <c r="E11" t="s">
        <v>85</v>
      </c>
      <c r="F11" t="s">
        <v>44</v>
      </c>
      <c r="G11">
        <v>1</v>
      </c>
      <c r="H11">
        <v>1590</v>
      </c>
      <c r="I11">
        <v>1590</v>
      </c>
      <c r="R11">
        <v>10</v>
      </c>
      <c r="S11" t="s">
        <v>91</v>
      </c>
      <c r="T11" t="s">
        <v>44</v>
      </c>
      <c r="U11">
        <v>1</v>
      </c>
      <c r="V11">
        <v>4212</v>
      </c>
      <c r="W11">
        <v>4212</v>
      </c>
      <c r="AB11">
        <v>10</v>
      </c>
      <c r="AC11" t="s">
        <v>141</v>
      </c>
      <c r="AD11" t="s">
        <v>43</v>
      </c>
      <c r="AE11" s="5">
        <v>0</v>
      </c>
      <c r="AF11" s="5">
        <v>3402</v>
      </c>
      <c r="AG11" s="5"/>
      <c r="AM11">
        <v>10</v>
      </c>
      <c r="AN11" t="s">
        <v>135</v>
      </c>
      <c r="AO11" t="s">
        <v>43</v>
      </c>
      <c r="AP11">
        <v>1</v>
      </c>
      <c r="AQ11">
        <v>4161</v>
      </c>
      <c r="AR11">
        <v>4161</v>
      </c>
      <c r="AY11">
        <v>10</v>
      </c>
      <c r="AZ11" t="s">
        <v>97</v>
      </c>
      <c r="BA11" t="s">
        <v>43</v>
      </c>
      <c r="BB11" s="5">
        <v>0</v>
      </c>
      <c r="BC11" s="5">
        <v>0</v>
      </c>
      <c r="BD11" s="5"/>
    </row>
    <row r="12" spans="1:56" x14ac:dyDescent="0.25">
      <c r="D12">
        <v>11</v>
      </c>
      <c r="E12" t="s">
        <v>86</v>
      </c>
      <c r="F12" t="s">
        <v>43</v>
      </c>
      <c r="G12">
        <v>1</v>
      </c>
      <c r="H12">
        <v>3175</v>
      </c>
      <c r="I12">
        <v>3175</v>
      </c>
      <c r="R12">
        <v>11</v>
      </c>
      <c r="S12" t="s">
        <v>86</v>
      </c>
      <c r="T12" t="s">
        <v>43</v>
      </c>
      <c r="U12">
        <v>1</v>
      </c>
      <c r="V12">
        <v>2204</v>
      </c>
      <c r="W12">
        <v>2204</v>
      </c>
      <c r="AB12">
        <v>11</v>
      </c>
      <c r="AC12" t="s">
        <v>142</v>
      </c>
      <c r="AD12" t="s">
        <v>43</v>
      </c>
      <c r="AE12">
        <v>1</v>
      </c>
      <c r="AF12">
        <v>3592</v>
      </c>
      <c r="AG12">
        <v>3592</v>
      </c>
      <c r="AM12">
        <v>11</v>
      </c>
      <c r="AN12" t="s">
        <v>134</v>
      </c>
      <c r="AO12" t="s">
        <v>44</v>
      </c>
      <c r="AP12">
        <v>1</v>
      </c>
      <c r="AQ12">
        <v>3277</v>
      </c>
      <c r="AR12">
        <v>3277</v>
      </c>
      <c r="AY12">
        <v>11</v>
      </c>
      <c r="AZ12" t="s">
        <v>78</v>
      </c>
      <c r="BA12" t="s">
        <v>44</v>
      </c>
      <c r="BB12">
        <v>1</v>
      </c>
      <c r="BC12">
        <v>5115</v>
      </c>
      <c r="BD12">
        <v>5115</v>
      </c>
    </row>
    <row r="13" spans="1:56" x14ac:dyDescent="0.25">
      <c r="D13">
        <v>12</v>
      </c>
      <c r="E13" t="s">
        <v>87</v>
      </c>
      <c r="F13" t="s">
        <v>44</v>
      </c>
      <c r="G13">
        <v>1</v>
      </c>
      <c r="H13">
        <v>5700</v>
      </c>
      <c r="I13">
        <v>5700</v>
      </c>
      <c r="R13">
        <v>12</v>
      </c>
      <c r="S13" t="s">
        <v>80</v>
      </c>
      <c r="T13" t="s">
        <v>43</v>
      </c>
      <c r="U13" s="5">
        <v>0</v>
      </c>
      <c r="V13" s="5">
        <v>4454</v>
      </c>
      <c r="W13" s="5"/>
      <c r="AB13">
        <v>12</v>
      </c>
      <c r="AC13" t="s">
        <v>143</v>
      </c>
      <c r="AD13" t="s">
        <v>43</v>
      </c>
      <c r="AE13">
        <v>1</v>
      </c>
      <c r="AF13">
        <v>3809</v>
      </c>
      <c r="AG13">
        <v>3809</v>
      </c>
      <c r="AM13">
        <v>12</v>
      </c>
      <c r="AN13" t="s">
        <v>136</v>
      </c>
      <c r="AO13" t="s">
        <v>44</v>
      </c>
      <c r="AP13" s="5">
        <v>0</v>
      </c>
      <c r="AQ13" s="5">
        <v>2493</v>
      </c>
      <c r="AR13" s="5"/>
      <c r="AY13">
        <v>12</v>
      </c>
      <c r="AZ13" t="s">
        <v>101</v>
      </c>
      <c r="BA13" t="s">
        <v>43</v>
      </c>
      <c r="BB13">
        <v>1</v>
      </c>
      <c r="BC13">
        <v>5147</v>
      </c>
      <c r="BD13">
        <v>5147</v>
      </c>
    </row>
    <row r="14" spans="1:56" x14ac:dyDescent="0.25">
      <c r="D14">
        <v>13</v>
      </c>
      <c r="E14" t="s">
        <v>88</v>
      </c>
      <c r="F14" t="s">
        <v>44</v>
      </c>
      <c r="G14">
        <v>1</v>
      </c>
      <c r="H14">
        <v>2085</v>
      </c>
      <c r="I14">
        <v>2085</v>
      </c>
      <c r="R14">
        <v>13</v>
      </c>
      <c r="S14" t="s">
        <v>90</v>
      </c>
      <c r="T14" t="s">
        <v>44</v>
      </c>
      <c r="U14">
        <v>1</v>
      </c>
      <c r="V14">
        <v>4605</v>
      </c>
      <c r="W14">
        <v>4605</v>
      </c>
      <c r="AB14">
        <v>13</v>
      </c>
      <c r="AC14" t="s">
        <v>144</v>
      </c>
      <c r="AD14" t="s">
        <v>43</v>
      </c>
      <c r="AE14">
        <v>1</v>
      </c>
      <c r="AF14">
        <v>2245</v>
      </c>
      <c r="AG14">
        <v>2245</v>
      </c>
      <c r="AM14">
        <v>13</v>
      </c>
      <c r="AN14" t="s">
        <v>146</v>
      </c>
      <c r="AO14" t="s">
        <v>44</v>
      </c>
      <c r="AP14" s="5">
        <v>0</v>
      </c>
      <c r="AQ14" s="5">
        <v>2262</v>
      </c>
      <c r="AR14" s="5"/>
      <c r="AY14">
        <v>13</v>
      </c>
      <c r="AZ14" t="s">
        <v>82</v>
      </c>
      <c r="BA14" t="s">
        <v>44</v>
      </c>
      <c r="BB14" s="5">
        <v>0</v>
      </c>
      <c r="BC14" s="5">
        <v>0</v>
      </c>
      <c r="BD14" s="5"/>
    </row>
    <row r="15" spans="1:56" x14ac:dyDescent="0.25">
      <c r="D15">
        <v>14</v>
      </c>
      <c r="E15" t="s">
        <v>89</v>
      </c>
      <c r="F15" t="s">
        <v>43</v>
      </c>
      <c r="G15" s="5">
        <v>0</v>
      </c>
      <c r="H15" s="5">
        <v>3090</v>
      </c>
      <c r="I15" s="5"/>
      <c r="R15">
        <v>14</v>
      </c>
      <c r="S15" t="s">
        <v>78</v>
      </c>
      <c r="T15" t="s">
        <v>44</v>
      </c>
      <c r="U15">
        <v>1</v>
      </c>
      <c r="V15">
        <v>4049</v>
      </c>
      <c r="W15">
        <v>4049</v>
      </c>
      <c r="AB15">
        <v>14</v>
      </c>
      <c r="AC15" t="s">
        <v>145</v>
      </c>
      <c r="AD15" t="s">
        <v>44</v>
      </c>
      <c r="AE15" s="5">
        <v>0</v>
      </c>
      <c r="AF15" s="5">
        <v>3325</v>
      </c>
      <c r="AG15" s="5"/>
      <c r="AM15">
        <v>14</v>
      </c>
      <c r="AN15" t="s">
        <v>137</v>
      </c>
      <c r="AO15" t="s">
        <v>44</v>
      </c>
      <c r="AP15">
        <v>1</v>
      </c>
      <c r="AQ15">
        <v>3667</v>
      </c>
      <c r="AR15">
        <v>3667</v>
      </c>
      <c r="AY15">
        <v>14</v>
      </c>
      <c r="AZ15" t="s">
        <v>93</v>
      </c>
      <c r="BA15" t="s">
        <v>43</v>
      </c>
      <c r="BB15" s="5">
        <v>0</v>
      </c>
      <c r="BC15" s="5">
        <v>0</v>
      </c>
      <c r="BD15" s="5"/>
    </row>
    <row r="16" spans="1:56" x14ac:dyDescent="0.25">
      <c r="D16">
        <v>15</v>
      </c>
      <c r="E16" t="s">
        <v>90</v>
      </c>
      <c r="F16" t="s">
        <v>44</v>
      </c>
      <c r="G16" s="5">
        <v>0</v>
      </c>
      <c r="H16" s="5">
        <v>3826</v>
      </c>
      <c r="I16" s="5"/>
      <c r="R16">
        <v>15</v>
      </c>
      <c r="S16" t="s">
        <v>85</v>
      </c>
      <c r="T16" t="s">
        <v>44</v>
      </c>
      <c r="U16">
        <v>1</v>
      </c>
      <c r="V16">
        <v>1359</v>
      </c>
      <c r="W16">
        <v>1359</v>
      </c>
      <c r="AB16">
        <v>15</v>
      </c>
      <c r="AC16" t="s">
        <v>146</v>
      </c>
      <c r="AD16" t="s">
        <v>44</v>
      </c>
      <c r="AE16">
        <v>1</v>
      </c>
      <c r="AF16">
        <v>1950</v>
      </c>
      <c r="AG16">
        <v>1950</v>
      </c>
      <c r="AM16">
        <v>15</v>
      </c>
      <c r="AN16" t="s">
        <v>157</v>
      </c>
      <c r="AO16" t="s">
        <v>44</v>
      </c>
      <c r="AP16">
        <v>1</v>
      </c>
      <c r="AQ16">
        <v>4161</v>
      </c>
      <c r="AR16">
        <v>4161</v>
      </c>
      <c r="AY16">
        <v>15</v>
      </c>
      <c r="AZ16" t="s">
        <v>96</v>
      </c>
      <c r="BA16" t="s">
        <v>43</v>
      </c>
      <c r="BB16">
        <v>1</v>
      </c>
      <c r="BC16">
        <v>5562</v>
      </c>
      <c r="BD16">
        <v>5562</v>
      </c>
    </row>
    <row r="17" spans="4:56" x14ac:dyDescent="0.25">
      <c r="D17">
        <v>16</v>
      </c>
      <c r="E17" t="s">
        <v>91</v>
      </c>
      <c r="F17" t="s">
        <v>44</v>
      </c>
      <c r="G17">
        <v>1</v>
      </c>
      <c r="H17">
        <v>3797</v>
      </c>
      <c r="I17">
        <v>3797</v>
      </c>
      <c r="R17">
        <v>16</v>
      </c>
      <c r="S17" t="s">
        <v>87</v>
      </c>
      <c r="T17" t="s">
        <v>44</v>
      </c>
      <c r="U17" s="5">
        <v>0</v>
      </c>
      <c r="V17" s="5">
        <v>4933</v>
      </c>
      <c r="W17" s="5"/>
      <c r="AB17">
        <v>16</v>
      </c>
      <c r="AC17" t="s">
        <v>147</v>
      </c>
      <c r="AD17" t="s">
        <v>44</v>
      </c>
      <c r="AE17">
        <v>1</v>
      </c>
      <c r="AF17">
        <v>1921</v>
      </c>
      <c r="AG17">
        <v>1921</v>
      </c>
      <c r="AM17">
        <v>16</v>
      </c>
      <c r="AN17" t="s">
        <v>141</v>
      </c>
      <c r="AO17" t="s">
        <v>43</v>
      </c>
      <c r="AP17" s="5">
        <v>0</v>
      </c>
      <c r="AQ17" s="5">
        <v>3473</v>
      </c>
      <c r="AR17" s="5"/>
      <c r="AY17">
        <v>16</v>
      </c>
      <c r="AZ17" t="s">
        <v>98</v>
      </c>
      <c r="BA17" t="s">
        <v>44</v>
      </c>
      <c r="BB17">
        <v>1</v>
      </c>
      <c r="BC17">
        <v>6764</v>
      </c>
      <c r="BD17">
        <v>6764</v>
      </c>
    </row>
    <row r="18" spans="4:56" x14ac:dyDescent="0.25">
      <c r="D18">
        <v>17</v>
      </c>
      <c r="E18" t="s">
        <v>92</v>
      </c>
      <c r="F18" t="s">
        <v>44</v>
      </c>
      <c r="G18">
        <v>1</v>
      </c>
      <c r="H18">
        <v>3333</v>
      </c>
      <c r="I18">
        <v>3333</v>
      </c>
      <c r="R18">
        <v>17</v>
      </c>
      <c r="S18" t="s">
        <v>84</v>
      </c>
      <c r="T18" t="s">
        <v>44</v>
      </c>
      <c r="U18">
        <v>1</v>
      </c>
      <c r="V18">
        <v>1490</v>
      </c>
      <c r="W18">
        <v>1490</v>
      </c>
      <c r="AB18">
        <v>17</v>
      </c>
      <c r="AC18" t="s">
        <v>148</v>
      </c>
      <c r="AD18" t="s">
        <v>44</v>
      </c>
      <c r="AE18">
        <v>1</v>
      </c>
      <c r="AF18">
        <v>1897</v>
      </c>
      <c r="AG18">
        <v>1897</v>
      </c>
      <c r="AM18">
        <v>17</v>
      </c>
      <c r="AN18" t="s">
        <v>144</v>
      </c>
      <c r="AO18" t="s">
        <v>43</v>
      </c>
      <c r="AP18">
        <v>1</v>
      </c>
      <c r="AQ18">
        <v>2929</v>
      </c>
      <c r="AR18">
        <v>2929</v>
      </c>
      <c r="AY18">
        <v>17</v>
      </c>
      <c r="AZ18" t="s">
        <v>95</v>
      </c>
      <c r="BA18" t="s">
        <v>43</v>
      </c>
      <c r="BB18" s="5">
        <v>0</v>
      </c>
      <c r="BC18" s="5">
        <v>0</v>
      </c>
      <c r="BD18" s="5"/>
    </row>
    <row r="19" spans="4:56" x14ac:dyDescent="0.25">
      <c r="D19">
        <v>18</v>
      </c>
      <c r="E19" t="s">
        <v>93</v>
      </c>
      <c r="F19" t="s">
        <v>43</v>
      </c>
      <c r="G19" s="5">
        <v>0</v>
      </c>
      <c r="H19" s="5">
        <v>3367</v>
      </c>
      <c r="I19" s="5"/>
      <c r="R19">
        <v>18</v>
      </c>
      <c r="S19" t="s">
        <v>93</v>
      </c>
      <c r="T19" t="s">
        <v>43</v>
      </c>
      <c r="U19" s="5">
        <v>0</v>
      </c>
      <c r="V19" s="5">
        <v>2446</v>
      </c>
      <c r="W19" s="5"/>
      <c r="AB19">
        <v>18</v>
      </c>
      <c r="AC19" t="s">
        <v>149</v>
      </c>
      <c r="AD19" t="s">
        <v>43</v>
      </c>
      <c r="AE19">
        <v>1</v>
      </c>
      <c r="AF19">
        <v>3318</v>
      </c>
      <c r="AG19">
        <v>3318</v>
      </c>
      <c r="AM19">
        <v>18</v>
      </c>
      <c r="AN19" t="s">
        <v>149</v>
      </c>
      <c r="AO19" t="s">
        <v>43</v>
      </c>
      <c r="AP19">
        <v>1</v>
      </c>
      <c r="AQ19">
        <v>4009</v>
      </c>
      <c r="AR19">
        <v>4009</v>
      </c>
      <c r="AY19">
        <v>18</v>
      </c>
      <c r="AZ19" t="s">
        <v>86</v>
      </c>
      <c r="BA19" t="s">
        <v>43</v>
      </c>
      <c r="BB19">
        <v>1</v>
      </c>
      <c r="BC19">
        <v>6174</v>
      </c>
      <c r="BD19">
        <v>6174</v>
      </c>
    </row>
    <row r="20" spans="4:56" x14ac:dyDescent="0.25">
      <c r="D20">
        <v>19</v>
      </c>
      <c r="E20" t="s">
        <v>94</v>
      </c>
      <c r="F20" t="s">
        <v>44</v>
      </c>
      <c r="G20" s="5">
        <v>0</v>
      </c>
      <c r="H20" s="5">
        <v>3057</v>
      </c>
      <c r="I20" s="5"/>
      <c r="R20">
        <v>19</v>
      </c>
      <c r="S20" t="s">
        <v>83</v>
      </c>
      <c r="T20" t="s">
        <v>44</v>
      </c>
      <c r="U20">
        <v>1</v>
      </c>
      <c r="V20">
        <v>2105</v>
      </c>
      <c r="W20">
        <v>2105</v>
      </c>
      <c r="AB20">
        <v>19</v>
      </c>
      <c r="AC20" t="s">
        <v>150</v>
      </c>
      <c r="AD20" t="s">
        <v>43</v>
      </c>
      <c r="AE20">
        <v>1</v>
      </c>
      <c r="AF20">
        <v>2841</v>
      </c>
      <c r="AG20">
        <v>2841</v>
      </c>
      <c r="AM20">
        <v>19</v>
      </c>
      <c r="AN20" t="s">
        <v>133</v>
      </c>
      <c r="AO20" t="s">
        <v>44</v>
      </c>
      <c r="AP20" s="5">
        <v>0</v>
      </c>
      <c r="AQ20" s="5">
        <v>4236</v>
      </c>
      <c r="AR20" s="5"/>
      <c r="AY20">
        <v>19</v>
      </c>
      <c r="AZ20" t="s">
        <v>87</v>
      </c>
      <c r="BA20" t="s">
        <v>44</v>
      </c>
      <c r="BB20">
        <v>1</v>
      </c>
      <c r="BC20">
        <v>7086</v>
      </c>
      <c r="BD20">
        <v>7086</v>
      </c>
    </row>
    <row r="21" spans="4:56" x14ac:dyDescent="0.25">
      <c r="D21">
        <v>20</v>
      </c>
      <c r="E21" t="s">
        <v>95</v>
      </c>
      <c r="F21" t="s">
        <v>43</v>
      </c>
      <c r="G21">
        <v>1</v>
      </c>
      <c r="H21">
        <v>6188</v>
      </c>
      <c r="I21">
        <v>6188</v>
      </c>
      <c r="R21">
        <v>20</v>
      </c>
      <c r="S21" t="s">
        <v>100</v>
      </c>
      <c r="T21" t="s">
        <v>44</v>
      </c>
      <c r="U21">
        <v>1</v>
      </c>
      <c r="V21">
        <v>2901</v>
      </c>
      <c r="W21">
        <v>2901</v>
      </c>
      <c r="AB21">
        <v>20</v>
      </c>
      <c r="AC21" t="s">
        <v>151</v>
      </c>
      <c r="AD21" t="s">
        <v>43</v>
      </c>
      <c r="AE21">
        <v>1</v>
      </c>
      <c r="AF21">
        <v>3072</v>
      </c>
      <c r="AG21">
        <v>3072</v>
      </c>
      <c r="AM21">
        <v>20</v>
      </c>
      <c r="AN21" t="s">
        <v>156</v>
      </c>
      <c r="AO21" t="s">
        <v>43</v>
      </c>
      <c r="AP21">
        <v>1</v>
      </c>
      <c r="AQ21">
        <v>3446</v>
      </c>
      <c r="AR21">
        <v>3446</v>
      </c>
      <c r="AY21">
        <v>20</v>
      </c>
      <c r="AZ21" t="s">
        <v>92</v>
      </c>
      <c r="BA21" t="s">
        <v>44</v>
      </c>
      <c r="BB21" s="5">
        <v>0</v>
      </c>
      <c r="BC21" s="5">
        <v>0</v>
      </c>
      <c r="BD21" s="5"/>
    </row>
    <row r="22" spans="4:56" x14ac:dyDescent="0.25">
      <c r="D22">
        <v>21</v>
      </c>
      <c r="E22" t="s">
        <v>96</v>
      </c>
      <c r="F22" t="s">
        <v>43</v>
      </c>
      <c r="G22">
        <v>1</v>
      </c>
      <c r="H22">
        <v>3390</v>
      </c>
      <c r="I22">
        <v>3390</v>
      </c>
      <c r="R22">
        <v>21</v>
      </c>
      <c r="S22" t="s">
        <v>98</v>
      </c>
      <c r="T22" t="s">
        <v>44</v>
      </c>
      <c r="U22">
        <v>1</v>
      </c>
      <c r="V22">
        <v>3242</v>
      </c>
      <c r="W22">
        <v>3242</v>
      </c>
      <c r="AB22">
        <v>21</v>
      </c>
      <c r="AC22" t="s">
        <v>152</v>
      </c>
      <c r="AD22" t="s">
        <v>43</v>
      </c>
      <c r="AE22">
        <v>1</v>
      </c>
      <c r="AF22">
        <v>2696</v>
      </c>
      <c r="AG22">
        <v>2696</v>
      </c>
      <c r="AM22">
        <v>21</v>
      </c>
      <c r="AN22" t="s">
        <v>153</v>
      </c>
      <c r="AO22" t="s">
        <v>43</v>
      </c>
      <c r="AP22">
        <v>1</v>
      </c>
      <c r="AQ22">
        <v>3246</v>
      </c>
      <c r="AR22">
        <v>3246</v>
      </c>
      <c r="AY22">
        <v>21</v>
      </c>
      <c r="AZ22" t="s">
        <v>77</v>
      </c>
      <c r="BA22" t="s">
        <v>43</v>
      </c>
      <c r="BB22" s="5">
        <v>0</v>
      </c>
      <c r="BC22" s="5">
        <v>4806</v>
      </c>
      <c r="BD22" s="5"/>
    </row>
    <row r="23" spans="4:56" x14ac:dyDescent="0.25">
      <c r="D23">
        <v>22</v>
      </c>
      <c r="E23" t="s">
        <v>97</v>
      </c>
      <c r="F23" t="s">
        <v>43</v>
      </c>
      <c r="G23" s="5">
        <v>0</v>
      </c>
      <c r="H23" s="5">
        <v>4708</v>
      </c>
      <c r="I23" s="5"/>
      <c r="R23">
        <v>22</v>
      </c>
      <c r="S23" t="s">
        <v>94</v>
      </c>
      <c r="T23" t="s">
        <v>44</v>
      </c>
      <c r="U23">
        <v>1</v>
      </c>
      <c r="V23">
        <v>3655</v>
      </c>
      <c r="W23">
        <v>3655</v>
      </c>
      <c r="AB23">
        <v>22</v>
      </c>
      <c r="AC23" t="s">
        <v>153</v>
      </c>
      <c r="AD23" t="s">
        <v>43</v>
      </c>
      <c r="AE23" s="5">
        <v>0</v>
      </c>
      <c r="AF23" s="5">
        <v>4333</v>
      </c>
      <c r="AG23" s="5"/>
      <c r="AM23">
        <v>22</v>
      </c>
      <c r="AN23" t="s">
        <v>151</v>
      </c>
      <c r="AO23" t="s">
        <v>43</v>
      </c>
      <c r="AP23">
        <v>1</v>
      </c>
      <c r="AQ23">
        <v>3212</v>
      </c>
      <c r="AR23">
        <v>3212</v>
      </c>
      <c r="AY23">
        <v>22</v>
      </c>
      <c r="AZ23" t="s">
        <v>85</v>
      </c>
      <c r="BA23" t="s">
        <v>44</v>
      </c>
      <c r="BB23">
        <v>1</v>
      </c>
      <c r="BC23">
        <v>6432</v>
      </c>
      <c r="BD23">
        <v>6432</v>
      </c>
    </row>
    <row r="24" spans="4:56" x14ac:dyDescent="0.25">
      <c r="D24">
        <v>23</v>
      </c>
      <c r="E24" t="s">
        <v>98</v>
      </c>
      <c r="F24" t="s">
        <v>44</v>
      </c>
      <c r="G24" s="5">
        <v>0</v>
      </c>
      <c r="H24" s="5">
        <v>3310</v>
      </c>
      <c r="I24" s="5"/>
      <c r="R24">
        <v>23</v>
      </c>
      <c r="S24" t="s">
        <v>99</v>
      </c>
      <c r="T24" t="s">
        <v>43</v>
      </c>
      <c r="U24">
        <v>1</v>
      </c>
      <c r="V24">
        <v>3294</v>
      </c>
      <c r="W24">
        <v>3294</v>
      </c>
      <c r="AB24">
        <v>23</v>
      </c>
      <c r="AC24" t="s">
        <v>154</v>
      </c>
      <c r="AD24" t="s">
        <v>44</v>
      </c>
      <c r="AE24">
        <v>1</v>
      </c>
      <c r="AF24">
        <v>1627</v>
      </c>
      <c r="AG24">
        <v>1627</v>
      </c>
      <c r="AM24">
        <v>23</v>
      </c>
      <c r="AN24" t="s">
        <v>148</v>
      </c>
      <c r="AO24" t="s">
        <v>44</v>
      </c>
      <c r="AP24">
        <v>1</v>
      </c>
      <c r="AQ24">
        <v>2071</v>
      </c>
      <c r="AR24">
        <v>2071</v>
      </c>
      <c r="AY24">
        <v>23</v>
      </c>
      <c r="AZ24" t="s">
        <v>76</v>
      </c>
      <c r="BA24" t="s">
        <v>43</v>
      </c>
      <c r="BB24">
        <v>1</v>
      </c>
      <c r="BC24">
        <v>5612</v>
      </c>
      <c r="BD24">
        <v>5612</v>
      </c>
    </row>
    <row r="25" spans="4:56" x14ac:dyDescent="0.25">
      <c r="D25">
        <v>24</v>
      </c>
      <c r="E25" t="s">
        <v>99</v>
      </c>
      <c r="F25" t="s">
        <v>43</v>
      </c>
      <c r="G25" s="5">
        <v>0</v>
      </c>
      <c r="H25" s="5">
        <v>6307</v>
      </c>
      <c r="I25" s="5"/>
      <c r="R25">
        <v>24</v>
      </c>
      <c r="S25" t="s">
        <v>97</v>
      </c>
      <c r="T25" t="s">
        <v>43</v>
      </c>
      <c r="U25" s="5">
        <v>0</v>
      </c>
      <c r="V25" s="5">
        <v>4168</v>
      </c>
      <c r="W25" s="5"/>
      <c r="AB25">
        <v>24</v>
      </c>
      <c r="AC25" t="s">
        <v>155</v>
      </c>
      <c r="AD25" t="s">
        <v>44</v>
      </c>
      <c r="AE25">
        <v>1</v>
      </c>
      <c r="AF25">
        <v>3289</v>
      </c>
      <c r="AG25">
        <v>3289</v>
      </c>
      <c r="AM25">
        <v>24</v>
      </c>
      <c r="AN25" t="s">
        <v>147</v>
      </c>
      <c r="AO25" t="s">
        <v>44</v>
      </c>
      <c r="AP25">
        <v>1</v>
      </c>
      <c r="AQ25">
        <v>3593</v>
      </c>
      <c r="AR25">
        <v>3593</v>
      </c>
      <c r="AY25">
        <v>24</v>
      </c>
      <c r="AZ25" t="s">
        <v>99</v>
      </c>
      <c r="BA25" t="s">
        <v>43</v>
      </c>
      <c r="BB25" s="5">
        <v>0</v>
      </c>
      <c r="BC25" s="5">
        <v>6296</v>
      </c>
      <c r="BD25" s="5"/>
    </row>
    <row r="26" spans="4:56" x14ac:dyDescent="0.25">
      <c r="D26">
        <v>25</v>
      </c>
      <c r="E26" t="s">
        <v>100</v>
      </c>
      <c r="F26" t="s">
        <v>44</v>
      </c>
      <c r="G26">
        <v>1</v>
      </c>
      <c r="H26">
        <v>4423</v>
      </c>
      <c r="I26">
        <v>4423</v>
      </c>
      <c r="R26">
        <v>25</v>
      </c>
      <c r="S26" t="s">
        <v>96</v>
      </c>
      <c r="T26" t="s">
        <v>43</v>
      </c>
      <c r="U26">
        <v>1</v>
      </c>
      <c r="V26">
        <v>3551</v>
      </c>
      <c r="W26">
        <v>3551</v>
      </c>
      <c r="AB26">
        <v>25</v>
      </c>
      <c r="AC26" t="s">
        <v>156</v>
      </c>
      <c r="AD26" t="s">
        <v>43</v>
      </c>
      <c r="AE26">
        <v>1</v>
      </c>
      <c r="AF26">
        <v>3055</v>
      </c>
      <c r="AG26">
        <v>3055</v>
      </c>
      <c r="AM26">
        <v>25</v>
      </c>
      <c r="AN26" t="s">
        <v>150</v>
      </c>
      <c r="AO26" t="s">
        <v>43</v>
      </c>
      <c r="AP26">
        <v>1</v>
      </c>
      <c r="AQ26">
        <v>2899</v>
      </c>
      <c r="AR26">
        <v>2899</v>
      </c>
      <c r="AY26">
        <v>25</v>
      </c>
      <c r="AZ26" t="s">
        <v>94</v>
      </c>
      <c r="BA26" t="s">
        <v>44</v>
      </c>
      <c r="BB26">
        <v>1</v>
      </c>
      <c r="BC26">
        <v>6157</v>
      </c>
      <c r="BD26">
        <v>6157</v>
      </c>
    </row>
    <row r="27" spans="4:56" x14ac:dyDescent="0.25">
      <c r="D27">
        <v>26</v>
      </c>
      <c r="E27" t="s">
        <v>101</v>
      </c>
      <c r="F27" t="s">
        <v>43</v>
      </c>
      <c r="G27">
        <v>1</v>
      </c>
      <c r="H27">
        <v>3653</v>
      </c>
      <c r="I27">
        <v>3653</v>
      </c>
      <c r="R27">
        <v>26</v>
      </c>
      <c r="S27" t="s">
        <v>82</v>
      </c>
      <c r="T27" t="s">
        <v>44</v>
      </c>
      <c r="U27" s="5">
        <v>0</v>
      </c>
      <c r="V27" s="5">
        <v>3748</v>
      </c>
      <c r="W27" s="5"/>
      <c r="AB27">
        <v>26</v>
      </c>
      <c r="AC27" t="s">
        <v>157</v>
      </c>
      <c r="AD27" t="s">
        <v>44</v>
      </c>
      <c r="AE27" s="5">
        <v>0</v>
      </c>
      <c r="AF27" s="5">
        <v>1702</v>
      </c>
      <c r="AG27" s="5"/>
      <c r="AM27">
        <v>26</v>
      </c>
      <c r="AN27" t="s">
        <v>145</v>
      </c>
      <c r="AO27" t="s">
        <v>44</v>
      </c>
      <c r="AP27" s="5">
        <v>0</v>
      </c>
      <c r="AQ27" s="5">
        <v>3392</v>
      </c>
      <c r="AR27" s="5"/>
      <c r="AY27">
        <v>26</v>
      </c>
      <c r="AZ27" t="s">
        <v>81</v>
      </c>
      <c r="BA27" t="s">
        <v>43</v>
      </c>
      <c r="BB27">
        <v>1</v>
      </c>
      <c r="BC27">
        <v>7104</v>
      </c>
      <c r="BD27">
        <v>7104</v>
      </c>
    </row>
    <row r="28" spans="4:56" ht="15.75" x14ac:dyDescent="0.25">
      <c r="G28">
        <f>SUM(G2:G27)</f>
        <v>17</v>
      </c>
      <c r="I28" s="2">
        <f>SUM(I2:I27)</f>
        <v>58762</v>
      </c>
      <c r="J28">
        <v>17</v>
      </c>
      <c r="U28" s="2">
        <f>SUM(U2:U27)</f>
        <v>18</v>
      </c>
      <c r="V28" s="8"/>
      <c r="W28">
        <f>SUM(W2:W27)</f>
        <v>50213</v>
      </c>
      <c r="X28">
        <v>18</v>
      </c>
      <c r="AE28">
        <f>SUM(AE2:AE27)</f>
        <v>19</v>
      </c>
      <c r="AP28" s="2">
        <f>SUM(AP2:AP27)</f>
        <v>18</v>
      </c>
      <c r="AR28">
        <f>SUM(AR2:AR27)</f>
        <v>63541</v>
      </c>
      <c r="AS28" s="7">
        <f>AR28/AT28</f>
        <v>3530.0555555555557</v>
      </c>
      <c r="AT28">
        <v>18</v>
      </c>
      <c r="BB28">
        <f>SUM(BB2:BB27)</f>
        <v>15</v>
      </c>
      <c r="BD28">
        <f>SUM(BD2:BD27)</f>
        <v>89209</v>
      </c>
    </row>
    <row r="29" spans="4:56" ht="15.75" x14ac:dyDescent="0.25">
      <c r="H29" s="7"/>
      <c r="V29" s="8"/>
      <c r="AG29">
        <f>SUM(AG2:AG28)</f>
        <v>51612</v>
      </c>
      <c r="AH29">
        <v>19</v>
      </c>
      <c r="BC29">
        <f>BD28/BB28</f>
        <v>5947.2666666666664</v>
      </c>
    </row>
    <row r="30" spans="4:56" x14ac:dyDescent="0.25">
      <c r="I30">
        <f>I28/J28</f>
        <v>3456.5882352941176</v>
      </c>
      <c r="W30" s="5">
        <f>W28/X28</f>
        <v>2789.6111111111113</v>
      </c>
      <c r="AG30" s="5">
        <f>AG29/AH29</f>
        <v>2716.4210526315787</v>
      </c>
    </row>
    <row r="35" spans="4:21" x14ac:dyDescent="0.25">
      <c r="Q35" s="26"/>
      <c r="R35" s="27" t="s">
        <v>490</v>
      </c>
      <c r="S35" s="27" t="s">
        <v>74</v>
      </c>
      <c r="T35" s="28" t="s">
        <v>104</v>
      </c>
      <c r="U35" s="28" t="s">
        <v>158</v>
      </c>
    </row>
    <row r="36" spans="4:21" x14ac:dyDescent="0.25">
      <c r="Q36" s="29" t="s">
        <v>491</v>
      </c>
      <c r="R36" s="30">
        <v>3456.5882352941176</v>
      </c>
      <c r="S36" s="30">
        <v>2789.6111111111113</v>
      </c>
      <c r="T36" s="31">
        <v>2716.4210526315787</v>
      </c>
      <c r="U36" s="31">
        <v>3530.05</v>
      </c>
    </row>
    <row r="47" spans="4:21" x14ac:dyDescent="0.25">
      <c r="D47" s="26"/>
      <c r="E47" s="27" t="s">
        <v>490</v>
      </c>
      <c r="F47" s="27" t="s">
        <v>74</v>
      </c>
      <c r="G47" s="28" t="s">
        <v>104</v>
      </c>
      <c r="H47" s="28" t="s">
        <v>505</v>
      </c>
    </row>
    <row r="48" spans="4:21" x14ac:dyDescent="0.25">
      <c r="D48" s="29" t="s">
        <v>494</v>
      </c>
      <c r="E48" s="30">
        <v>17</v>
      </c>
      <c r="F48" s="30">
        <v>18</v>
      </c>
      <c r="G48" s="31">
        <v>19</v>
      </c>
      <c r="H48" s="31">
        <v>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"/>
  <sheetViews>
    <sheetView topLeftCell="W1" workbookViewId="0">
      <selection activeCell="AS2" sqref="AS2"/>
    </sheetView>
  </sheetViews>
  <sheetFormatPr baseColWidth="10" defaultRowHeight="15" x14ac:dyDescent="0.25"/>
  <cols>
    <col min="1" max="1" width="17.28515625" customWidth="1"/>
    <col min="6" max="6" width="19.140625" customWidth="1"/>
    <col min="7" max="7" width="18.5703125" customWidth="1"/>
    <col min="8" max="8" width="18" customWidth="1"/>
    <col min="11" max="11" width="19.7109375" customWidth="1"/>
    <col min="14" max="14" width="14.7109375" customWidth="1"/>
    <col min="16" max="16" width="21.7109375" customWidth="1"/>
    <col min="17" max="17" width="17.28515625" customWidth="1"/>
    <col min="19" max="19" width="13.85546875" customWidth="1"/>
  </cols>
  <sheetData>
    <row r="1" spans="1:38" ht="15.75" x14ac:dyDescent="0.25">
      <c r="A1" s="1" t="s">
        <v>33</v>
      </c>
      <c r="B1" s="2" t="s">
        <v>0</v>
      </c>
      <c r="C1" s="2" t="s">
        <v>1</v>
      </c>
      <c r="D1" s="2" t="s">
        <v>2</v>
      </c>
      <c r="E1" s="2" t="s">
        <v>8</v>
      </c>
      <c r="F1" s="2" t="s">
        <v>9</v>
      </c>
      <c r="G1" s="2" t="s">
        <v>10</v>
      </c>
      <c r="H1" s="2" t="s">
        <v>185</v>
      </c>
      <c r="K1" s="1" t="s">
        <v>33</v>
      </c>
      <c r="L1" s="2" t="s">
        <v>0</v>
      </c>
      <c r="M1" s="2" t="s">
        <v>1</v>
      </c>
      <c r="N1" s="2" t="s">
        <v>2</v>
      </c>
      <c r="O1" s="2" t="s">
        <v>8</v>
      </c>
      <c r="P1" s="2" t="s">
        <v>9</v>
      </c>
      <c r="Q1" s="2" t="s">
        <v>10</v>
      </c>
      <c r="R1" s="2" t="s">
        <v>185</v>
      </c>
      <c r="U1" s="1" t="s">
        <v>33</v>
      </c>
      <c r="V1" s="2" t="s">
        <v>0</v>
      </c>
      <c r="W1" s="2" t="s">
        <v>1</v>
      </c>
      <c r="X1" s="2" t="s">
        <v>2</v>
      </c>
      <c r="Y1" s="2" t="s">
        <v>8</v>
      </c>
      <c r="Z1" s="2" t="s">
        <v>9</v>
      </c>
      <c r="AA1" s="2" t="s">
        <v>10</v>
      </c>
      <c r="AB1" s="2" t="s">
        <v>185</v>
      </c>
      <c r="AE1" s="1" t="s">
        <v>33</v>
      </c>
      <c r="AF1" s="2" t="s">
        <v>0</v>
      </c>
      <c r="AG1" s="2" t="s">
        <v>1</v>
      </c>
      <c r="AH1" s="2" t="s">
        <v>2</v>
      </c>
      <c r="AI1" s="2" t="s">
        <v>45</v>
      </c>
      <c r="AJ1" s="2" t="s">
        <v>9</v>
      </c>
      <c r="AK1" s="2" t="s">
        <v>10</v>
      </c>
      <c r="AL1" s="2" t="s">
        <v>185</v>
      </c>
    </row>
    <row r="2" spans="1:38" ht="15.75" x14ac:dyDescent="0.25">
      <c r="A2" s="3" t="s">
        <v>6</v>
      </c>
      <c r="B2">
        <v>1</v>
      </c>
      <c r="C2">
        <v>1</v>
      </c>
      <c r="D2">
        <v>1</v>
      </c>
      <c r="E2" t="s">
        <v>159</v>
      </c>
      <c r="F2">
        <v>1</v>
      </c>
      <c r="G2">
        <v>2224</v>
      </c>
      <c r="H2">
        <v>2224</v>
      </c>
      <c r="K2" s="3" t="s">
        <v>74</v>
      </c>
      <c r="L2">
        <v>1</v>
      </c>
      <c r="M2">
        <v>2</v>
      </c>
      <c r="N2">
        <v>1</v>
      </c>
      <c r="O2" t="s">
        <v>168</v>
      </c>
      <c r="P2">
        <v>1</v>
      </c>
      <c r="Q2">
        <v>1640</v>
      </c>
      <c r="U2" s="3" t="s">
        <v>104</v>
      </c>
      <c r="V2">
        <v>2</v>
      </c>
      <c r="W2">
        <v>3</v>
      </c>
      <c r="X2">
        <v>1</v>
      </c>
      <c r="Y2" t="s">
        <v>186</v>
      </c>
      <c r="Z2">
        <v>1</v>
      </c>
      <c r="AA2">
        <v>2877</v>
      </c>
      <c r="AE2" s="3" t="s">
        <v>158</v>
      </c>
      <c r="AF2">
        <v>2</v>
      </c>
      <c r="AG2">
        <v>4</v>
      </c>
      <c r="AH2">
        <v>1</v>
      </c>
      <c r="AI2" t="s">
        <v>200</v>
      </c>
      <c r="AJ2">
        <v>1</v>
      </c>
      <c r="AK2">
        <v>2355</v>
      </c>
    </row>
    <row r="3" spans="1:38" ht="15.75" x14ac:dyDescent="0.25">
      <c r="A3" s="1" t="s">
        <v>14</v>
      </c>
      <c r="D3">
        <v>2</v>
      </c>
      <c r="E3" t="s">
        <v>160</v>
      </c>
      <c r="F3">
        <v>1</v>
      </c>
      <c r="G3">
        <v>2701</v>
      </c>
      <c r="H3">
        <v>2701</v>
      </c>
      <c r="K3" s="1" t="s">
        <v>14</v>
      </c>
      <c r="N3">
        <v>2</v>
      </c>
      <c r="O3" t="s">
        <v>160</v>
      </c>
      <c r="P3">
        <v>1</v>
      </c>
      <c r="Q3">
        <v>2608</v>
      </c>
      <c r="U3" s="1" t="s">
        <v>14</v>
      </c>
      <c r="X3">
        <v>2</v>
      </c>
      <c r="Y3" t="s">
        <v>187</v>
      </c>
      <c r="Z3">
        <v>1</v>
      </c>
      <c r="AA3">
        <v>2403</v>
      </c>
      <c r="AE3" s="1" t="s">
        <v>14</v>
      </c>
      <c r="AH3">
        <v>2</v>
      </c>
      <c r="AI3" t="s">
        <v>208</v>
      </c>
      <c r="AJ3">
        <v>1</v>
      </c>
      <c r="AK3">
        <v>2370</v>
      </c>
    </row>
    <row r="4" spans="1:38" ht="15.75" x14ac:dyDescent="0.25">
      <c r="A4" s="1" t="s">
        <v>72</v>
      </c>
      <c r="D4">
        <v>3</v>
      </c>
      <c r="E4" t="s">
        <v>161</v>
      </c>
      <c r="F4" s="5">
        <v>0</v>
      </c>
      <c r="G4" s="5">
        <v>3023</v>
      </c>
      <c r="H4" s="5"/>
      <c r="K4" s="1" t="s">
        <v>75</v>
      </c>
      <c r="N4">
        <v>3</v>
      </c>
      <c r="O4" t="s">
        <v>176</v>
      </c>
      <c r="P4">
        <v>1</v>
      </c>
      <c r="Q4">
        <v>3166</v>
      </c>
      <c r="U4" s="1" t="s">
        <v>131</v>
      </c>
      <c r="X4">
        <v>3</v>
      </c>
      <c r="Y4" t="s">
        <v>188</v>
      </c>
      <c r="Z4">
        <v>1</v>
      </c>
      <c r="AA4">
        <v>2444</v>
      </c>
      <c r="AE4" s="1" t="s">
        <v>506</v>
      </c>
      <c r="AH4">
        <v>3</v>
      </c>
      <c r="AI4" t="s">
        <v>205</v>
      </c>
      <c r="AJ4">
        <v>1</v>
      </c>
      <c r="AK4">
        <v>2011</v>
      </c>
    </row>
    <row r="5" spans="1:38" x14ac:dyDescent="0.25">
      <c r="D5">
        <v>4</v>
      </c>
      <c r="E5" t="s">
        <v>162</v>
      </c>
      <c r="F5">
        <v>1</v>
      </c>
      <c r="G5">
        <v>5194</v>
      </c>
      <c r="H5">
        <v>5194</v>
      </c>
      <c r="N5">
        <v>4</v>
      </c>
      <c r="O5" t="s">
        <v>166</v>
      </c>
      <c r="P5">
        <v>1</v>
      </c>
      <c r="Q5">
        <v>3531</v>
      </c>
      <c r="X5">
        <v>4</v>
      </c>
      <c r="Y5" t="s">
        <v>189</v>
      </c>
      <c r="Z5">
        <v>1</v>
      </c>
      <c r="AA5">
        <v>2244</v>
      </c>
      <c r="AH5">
        <v>4</v>
      </c>
      <c r="AI5" t="s">
        <v>201</v>
      </c>
      <c r="AJ5">
        <v>1</v>
      </c>
      <c r="AK5">
        <v>3252</v>
      </c>
    </row>
    <row r="6" spans="1:38" x14ac:dyDescent="0.25">
      <c r="D6">
        <v>5</v>
      </c>
      <c r="E6" t="s">
        <v>163</v>
      </c>
      <c r="F6">
        <v>1</v>
      </c>
      <c r="G6">
        <v>2627</v>
      </c>
      <c r="H6">
        <v>2627</v>
      </c>
      <c r="N6">
        <v>5</v>
      </c>
      <c r="O6" t="s">
        <v>159</v>
      </c>
      <c r="P6">
        <v>1</v>
      </c>
      <c r="Q6">
        <v>2602</v>
      </c>
      <c r="X6">
        <v>5</v>
      </c>
      <c r="Y6" t="s">
        <v>190</v>
      </c>
      <c r="Z6">
        <v>1</v>
      </c>
      <c r="AA6">
        <v>2277</v>
      </c>
      <c r="AH6">
        <v>5</v>
      </c>
      <c r="AI6" t="s">
        <v>194</v>
      </c>
      <c r="AJ6">
        <v>1</v>
      </c>
      <c r="AK6">
        <v>3346</v>
      </c>
    </row>
    <row r="7" spans="1:38" x14ac:dyDescent="0.25">
      <c r="D7">
        <v>6</v>
      </c>
      <c r="E7" t="s">
        <v>164</v>
      </c>
      <c r="F7">
        <v>1</v>
      </c>
      <c r="G7">
        <v>2557</v>
      </c>
      <c r="H7">
        <v>2557</v>
      </c>
      <c r="N7">
        <v>6</v>
      </c>
      <c r="O7" t="s">
        <v>180</v>
      </c>
      <c r="P7">
        <v>1</v>
      </c>
      <c r="Q7">
        <v>3273</v>
      </c>
      <c r="X7">
        <v>6</v>
      </c>
      <c r="Y7" t="s">
        <v>191</v>
      </c>
      <c r="Z7">
        <v>1</v>
      </c>
      <c r="AA7">
        <v>2894</v>
      </c>
      <c r="AH7">
        <v>6</v>
      </c>
      <c r="AI7" t="s">
        <v>206</v>
      </c>
      <c r="AJ7">
        <v>1</v>
      </c>
      <c r="AK7">
        <v>3892</v>
      </c>
    </row>
    <row r="8" spans="1:38" x14ac:dyDescent="0.25">
      <c r="D8">
        <v>7</v>
      </c>
      <c r="E8" t="s">
        <v>165</v>
      </c>
      <c r="F8">
        <v>1</v>
      </c>
      <c r="G8">
        <v>2768</v>
      </c>
      <c r="H8">
        <v>2768</v>
      </c>
      <c r="N8">
        <v>7</v>
      </c>
      <c r="O8" t="s">
        <v>184</v>
      </c>
      <c r="P8">
        <v>1</v>
      </c>
      <c r="Q8">
        <v>2659</v>
      </c>
      <c r="X8">
        <v>7</v>
      </c>
      <c r="Y8" t="s">
        <v>192</v>
      </c>
      <c r="Z8">
        <v>1</v>
      </c>
      <c r="AA8">
        <v>2632</v>
      </c>
      <c r="AH8">
        <v>7</v>
      </c>
      <c r="AI8" t="s">
        <v>187</v>
      </c>
      <c r="AJ8">
        <v>1</v>
      </c>
      <c r="AK8">
        <v>3353</v>
      </c>
    </row>
    <row r="9" spans="1:38" x14ac:dyDescent="0.25">
      <c r="D9">
        <v>8</v>
      </c>
      <c r="E9" t="s">
        <v>166</v>
      </c>
      <c r="F9">
        <v>1</v>
      </c>
      <c r="G9">
        <v>2794</v>
      </c>
      <c r="H9">
        <v>2794</v>
      </c>
      <c r="N9">
        <v>8</v>
      </c>
      <c r="O9" t="s">
        <v>181</v>
      </c>
      <c r="P9">
        <v>1</v>
      </c>
      <c r="Q9">
        <v>2532</v>
      </c>
      <c r="X9">
        <v>8</v>
      </c>
      <c r="Y9" t="s">
        <v>193</v>
      </c>
      <c r="Z9">
        <v>1</v>
      </c>
      <c r="AA9">
        <v>2770</v>
      </c>
      <c r="AH9">
        <v>8</v>
      </c>
      <c r="AI9" t="s">
        <v>203</v>
      </c>
      <c r="AJ9">
        <v>1</v>
      </c>
      <c r="AK9">
        <v>3378</v>
      </c>
    </row>
    <row r="10" spans="1:38" x14ac:dyDescent="0.25">
      <c r="D10">
        <v>9</v>
      </c>
      <c r="E10" t="s">
        <v>167</v>
      </c>
      <c r="F10">
        <v>1</v>
      </c>
      <c r="G10">
        <v>2608</v>
      </c>
      <c r="H10">
        <v>2608</v>
      </c>
      <c r="N10">
        <v>9</v>
      </c>
      <c r="O10" t="s">
        <v>178</v>
      </c>
      <c r="P10">
        <v>1</v>
      </c>
      <c r="Q10">
        <v>2764</v>
      </c>
      <c r="X10">
        <v>9</v>
      </c>
      <c r="Y10" t="s">
        <v>194</v>
      </c>
      <c r="Z10">
        <v>1</v>
      </c>
      <c r="AA10">
        <v>2316</v>
      </c>
      <c r="AH10">
        <v>9</v>
      </c>
      <c r="AI10" t="s">
        <v>197</v>
      </c>
      <c r="AJ10">
        <v>1</v>
      </c>
      <c r="AK10">
        <v>2231</v>
      </c>
    </row>
    <row r="11" spans="1:38" x14ac:dyDescent="0.25">
      <c r="D11">
        <v>10</v>
      </c>
      <c r="E11" t="s">
        <v>168</v>
      </c>
      <c r="F11">
        <v>1</v>
      </c>
      <c r="G11">
        <v>3128</v>
      </c>
      <c r="H11">
        <v>3128</v>
      </c>
      <c r="N11">
        <v>10</v>
      </c>
      <c r="O11" t="s">
        <v>177</v>
      </c>
      <c r="P11">
        <v>1</v>
      </c>
      <c r="Q11">
        <v>3812</v>
      </c>
      <c r="X11">
        <v>10</v>
      </c>
      <c r="Y11" t="s">
        <v>195</v>
      </c>
      <c r="Z11">
        <v>1</v>
      </c>
      <c r="AA11">
        <v>2311</v>
      </c>
      <c r="AH11">
        <v>10</v>
      </c>
      <c r="AI11" t="s">
        <v>189</v>
      </c>
      <c r="AJ11">
        <v>1</v>
      </c>
      <c r="AK11">
        <v>3015</v>
      </c>
    </row>
    <row r="12" spans="1:38" x14ac:dyDescent="0.25">
      <c r="D12">
        <v>11</v>
      </c>
      <c r="E12" t="s">
        <v>169</v>
      </c>
      <c r="F12">
        <v>1</v>
      </c>
      <c r="G12">
        <v>2396</v>
      </c>
      <c r="H12">
        <v>2396</v>
      </c>
      <c r="N12">
        <v>11</v>
      </c>
      <c r="O12" t="s">
        <v>162</v>
      </c>
      <c r="P12">
        <v>1</v>
      </c>
      <c r="Q12">
        <v>2203</v>
      </c>
      <c r="X12">
        <v>11</v>
      </c>
      <c r="Y12" t="s">
        <v>196</v>
      </c>
      <c r="Z12">
        <v>1</v>
      </c>
      <c r="AA12">
        <v>2732</v>
      </c>
      <c r="AH12">
        <v>11</v>
      </c>
      <c r="AI12" t="s">
        <v>190</v>
      </c>
      <c r="AJ12">
        <v>1</v>
      </c>
      <c r="AK12">
        <v>3146</v>
      </c>
    </row>
    <row r="13" spans="1:38" x14ac:dyDescent="0.25">
      <c r="D13">
        <v>12</v>
      </c>
      <c r="E13" t="s">
        <v>170</v>
      </c>
      <c r="F13">
        <v>1</v>
      </c>
      <c r="G13">
        <v>2952</v>
      </c>
      <c r="H13">
        <v>2952</v>
      </c>
      <c r="N13">
        <v>12</v>
      </c>
      <c r="O13" t="s">
        <v>171</v>
      </c>
      <c r="P13">
        <v>1</v>
      </c>
      <c r="Q13">
        <v>2654</v>
      </c>
      <c r="X13">
        <v>12</v>
      </c>
      <c r="Y13" t="s">
        <v>197</v>
      </c>
      <c r="Z13">
        <v>1</v>
      </c>
      <c r="AA13">
        <v>3225</v>
      </c>
      <c r="AH13">
        <v>12</v>
      </c>
      <c r="AI13" t="s">
        <v>211</v>
      </c>
      <c r="AJ13">
        <v>1</v>
      </c>
      <c r="AK13">
        <v>3046</v>
      </c>
    </row>
    <row r="14" spans="1:38" x14ac:dyDescent="0.25">
      <c r="D14">
        <v>13</v>
      </c>
      <c r="E14" t="s">
        <v>171</v>
      </c>
      <c r="F14" s="5">
        <v>0</v>
      </c>
      <c r="G14" s="5">
        <v>2534</v>
      </c>
      <c r="H14" s="5"/>
      <c r="N14">
        <v>13</v>
      </c>
      <c r="O14" t="s">
        <v>161</v>
      </c>
      <c r="P14">
        <v>1</v>
      </c>
      <c r="Q14">
        <v>2346</v>
      </c>
      <c r="X14">
        <v>13</v>
      </c>
      <c r="Y14" t="s">
        <v>198</v>
      </c>
      <c r="Z14">
        <v>1</v>
      </c>
      <c r="AA14">
        <v>2632</v>
      </c>
      <c r="AH14">
        <v>13</v>
      </c>
      <c r="AI14" t="s">
        <v>191</v>
      </c>
      <c r="AJ14">
        <v>1</v>
      </c>
      <c r="AK14">
        <v>2656</v>
      </c>
    </row>
    <row r="15" spans="1:38" x14ac:dyDescent="0.25">
      <c r="D15">
        <v>14</v>
      </c>
      <c r="E15" t="s">
        <v>172</v>
      </c>
      <c r="F15">
        <v>1</v>
      </c>
      <c r="G15">
        <v>3823</v>
      </c>
      <c r="H15">
        <v>3823</v>
      </c>
      <c r="N15">
        <v>14</v>
      </c>
      <c r="O15" t="s">
        <v>182</v>
      </c>
      <c r="P15">
        <v>1</v>
      </c>
      <c r="Q15">
        <v>2827</v>
      </c>
      <c r="X15">
        <v>14</v>
      </c>
      <c r="Y15" t="s">
        <v>199</v>
      </c>
      <c r="Z15">
        <v>1</v>
      </c>
      <c r="AA15">
        <v>2606</v>
      </c>
      <c r="AH15">
        <v>14</v>
      </c>
      <c r="AI15" t="s">
        <v>188</v>
      </c>
      <c r="AJ15">
        <v>1</v>
      </c>
      <c r="AK15">
        <v>3512</v>
      </c>
    </row>
    <row r="16" spans="1:38" x14ac:dyDescent="0.25">
      <c r="D16">
        <v>15</v>
      </c>
      <c r="E16" t="s">
        <v>173</v>
      </c>
      <c r="F16">
        <v>1</v>
      </c>
      <c r="G16">
        <v>2571</v>
      </c>
      <c r="H16">
        <v>2571</v>
      </c>
      <c r="N16">
        <v>15</v>
      </c>
      <c r="O16" t="s">
        <v>164</v>
      </c>
      <c r="P16">
        <v>1</v>
      </c>
      <c r="Q16">
        <v>2923</v>
      </c>
      <c r="X16">
        <v>15</v>
      </c>
      <c r="Y16" t="s">
        <v>200</v>
      </c>
      <c r="Z16">
        <v>1</v>
      </c>
      <c r="AA16">
        <v>4993</v>
      </c>
      <c r="AH16">
        <v>15</v>
      </c>
      <c r="AI16" t="s">
        <v>199</v>
      </c>
      <c r="AJ16">
        <v>1</v>
      </c>
      <c r="AK16">
        <v>2491</v>
      </c>
    </row>
    <row r="17" spans="4:38" x14ac:dyDescent="0.25">
      <c r="D17">
        <v>16</v>
      </c>
      <c r="E17" t="s">
        <v>174</v>
      </c>
      <c r="F17" s="5">
        <v>0</v>
      </c>
      <c r="G17" s="5">
        <v>2504</v>
      </c>
      <c r="N17">
        <v>16</v>
      </c>
      <c r="O17" t="s">
        <v>179</v>
      </c>
      <c r="P17">
        <v>1</v>
      </c>
      <c r="Q17">
        <v>3969</v>
      </c>
      <c r="X17">
        <v>16</v>
      </c>
      <c r="Y17" t="s">
        <v>201</v>
      </c>
      <c r="Z17">
        <v>1</v>
      </c>
      <c r="AA17">
        <v>3287</v>
      </c>
      <c r="AH17">
        <v>16</v>
      </c>
      <c r="AI17" t="s">
        <v>192</v>
      </c>
      <c r="AJ17">
        <v>1</v>
      </c>
      <c r="AK17">
        <v>3612</v>
      </c>
    </row>
    <row r="18" spans="4:38" x14ac:dyDescent="0.25">
      <c r="D18">
        <v>17</v>
      </c>
      <c r="E18" t="s">
        <v>175</v>
      </c>
      <c r="F18">
        <v>1</v>
      </c>
      <c r="G18">
        <v>3870</v>
      </c>
      <c r="H18">
        <v>3870</v>
      </c>
      <c r="N18">
        <v>17</v>
      </c>
      <c r="O18" t="s">
        <v>174</v>
      </c>
      <c r="P18">
        <v>1</v>
      </c>
      <c r="Q18">
        <v>3129</v>
      </c>
      <c r="X18">
        <v>17</v>
      </c>
      <c r="Y18" t="s">
        <v>202</v>
      </c>
      <c r="Z18">
        <v>1</v>
      </c>
      <c r="AA18">
        <v>3590</v>
      </c>
      <c r="AH18">
        <v>17</v>
      </c>
      <c r="AI18" t="s">
        <v>202</v>
      </c>
      <c r="AJ18">
        <v>1</v>
      </c>
      <c r="AK18">
        <v>3263</v>
      </c>
    </row>
    <row r="19" spans="4:38" x14ac:dyDescent="0.25">
      <c r="D19">
        <v>18</v>
      </c>
      <c r="E19" t="s">
        <v>176</v>
      </c>
      <c r="F19">
        <v>1</v>
      </c>
      <c r="G19">
        <v>2699</v>
      </c>
      <c r="H19">
        <v>2699</v>
      </c>
      <c r="N19">
        <v>18</v>
      </c>
      <c r="O19" t="s">
        <v>170</v>
      </c>
      <c r="P19">
        <v>1</v>
      </c>
      <c r="Q19">
        <v>2810</v>
      </c>
      <c r="X19">
        <v>18</v>
      </c>
      <c r="Y19" t="s">
        <v>203</v>
      </c>
      <c r="Z19">
        <v>1</v>
      </c>
      <c r="AA19">
        <v>2598</v>
      </c>
      <c r="AH19">
        <v>18</v>
      </c>
      <c r="AI19" t="s">
        <v>195</v>
      </c>
      <c r="AJ19">
        <v>1</v>
      </c>
      <c r="AK19">
        <v>2883</v>
      </c>
    </row>
    <row r="20" spans="4:38" x14ac:dyDescent="0.25">
      <c r="D20">
        <v>19</v>
      </c>
      <c r="E20" t="s">
        <v>177</v>
      </c>
      <c r="F20" s="5">
        <v>0</v>
      </c>
      <c r="G20" s="5">
        <v>2628</v>
      </c>
      <c r="H20" s="5"/>
      <c r="N20">
        <v>19</v>
      </c>
      <c r="O20" t="s">
        <v>172</v>
      </c>
      <c r="P20">
        <v>1</v>
      </c>
      <c r="Q20">
        <v>3380</v>
      </c>
      <c r="X20">
        <v>19</v>
      </c>
      <c r="Y20" t="s">
        <v>204</v>
      </c>
      <c r="Z20">
        <v>1</v>
      </c>
      <c r="AA20">
        <v>2523</v>
      </c>
      <c r="AH20">
        <v>19</v>
      </c>
      <c r="AI20" t="s">
        <v>207</v>
      </c>
      <c r="AJ20">
        <v>1</v>
      </c>
      <c r="AK20">
        <v>2464</v>
      </c>
    </row>
    <row r="21" spans="4:38" x14ac:dyDescent="0.25">
      <c r="D21">
        <v>20</v>
      </c>
      <c r="E21" t="s">
        <v>178</v>
      </c>
      <c r="F21">
        <v>1</v>
      </c>
      <c r="G21">
        <v>3376</v>
      </c>
      <c r="H21">
        <v>3376</v>
      </c>
      <c r="N21">
        <v>20</v>
      </c>
      <c r="O21" t="s">
        <v>169</v>
      </c>
      <c r="P21">
        <v>1</v>
      </c>
      <c r="Q21">
        <v>2503</v>
      </c>
      <c r="X21">
        <v>20</v>
      </c>
      <c r="Y21" t="s">
        <v>205</v>
      </c>
      <c r="Z21">
        <v>1</v>
      </c>
      <c r="AA21">
        <v>3054</v>
      </c>
      <c r="AH21">
        <v>20</v>
      </c>
      <c r="AI21" t="s">
        <v>210</v>
      </c>
      <c r="AJ21">
        <v>1</v>
      </c>
      <c r="AK21">
        <v>2624</v>
      </c>
    </row>
    <row r="22" spans="4:38" x14ac:dyDescent="0.25">
      <c r="D22">
        <v>21</v>
      </c>
      <c r="E22" t="s">
        <v>179</v>
      </c>
      <c r="F22">
        <v>1</v>
      </c>
      <c r="G22">
        <v>2655</v>
      </c>
      <c r="H22">
        <v>2655</v>
      </c>
      <c r="N22">
        <v>21</v>
      </c>
      <c r="O22" t="s">
        <v>163</v>
      </c>
      <c r="P22">
        <v>1</v>
      </c>
      <c r="Q22">
        <v>2443</v>
      </c>
      <c r="X22">
        <v>21</v>
      </c>
      <c r="Y22" t="s">
        <v>206</v>
      </c>
      <c r="Z22">
        <v>1</v>
      </c>
      <c r="AA22">
        <v>3978</v>
      </c>
      <c r="AH22">
        <v>21</v>
      </c>
      <c r="AI22" t="s">
        <v>198</v>
      </c>
      <c r="AJ22">
        <v>1</v>
      </c>
      <c r="AK22">
        <v>2700</v>
      </c>
    </row>
    <row r="23" spans="4:38" x14ac:dyDescent="0.25">
      <c r="D23">
        <v>22</v>
      </c>
      <c r="E23" t="s">
        <v>180</v>
      </c>
      <c r="F23">
        <v>1</v>
      </c>
      <c r="G23">
        <v>3682</v>
      </c>
      <c r="H23">
        <v>3682</v>
      </c>
      <c r="N23">
        <v>22</v>
      </c>
      <c r="O23" t="s">
        <v>175</v>
      </c>
      <c r="P23">
        <v>1</v>
      </c>
      <c r="Q23">
        <v>2216</v>
      </c>
      <c r="X23">
        <v>22</v>
      </c>
      <c r="Y23" t="s">
        <v>207</v>
      </c>
      <c r="Z23">
        <v>1</v>
      </c>
      <c r="AA23">
        <v>3028</v>
      </c>
      <c r="AH23">
        <v>22</v>
      </c>
      <c r="AI23" t="s">
        <v>209</v>
      </c>
      <c r="AJ23">
        <v>1</v>
      </c>
      <c r="AK23">
        <v>3991</v>
      </c>
    </row>
    <row r="24" spans="4:38" x14ac:dyDescent="0.25">
      <c r="D24">
        <v>23</v>
      </c>
      <c r="E24" t="s">
        <v>181</v>
      </c>
      <c r="F24">
        <v>1</v>
      </c>
      <c r="G24">
        <v>3282</v>
      </c>
      <c r="H24">
        <v>3282</v>
      </c>
      <c r="N24">
        <v>23</v>
      </c>
      <c r="O24" t="s">
        <v>173</v>
      </c>
      <c r="P24">
        <v>1</v>
      </c>
      <c r="Q24">
        <v>2505</v>
      </c>
      <c r="X24">
        <v>23</v>
      </c>
      <c r="Y24" t="s">
        <v>208</v>
      </c>
      <c r="Z24">
        <v>1</v>
      </c>
      <c r="AA24">
        <v>3839</v>
      </c>
      <c r="AH24">
        <v>23</v>
      </c>
      <c r="AI24" t="s">
        <v>196</v>
      </c>
      <c r="AJ24">
        <v>1</v>
      </c>
      <c r="AK24">
        <v>2342</v>
      </c>
    </row>
    <row r="25" spans="4:38" x14ac:dyDescent="0.25">
      <c r="D25">
        <v>24</v>
      </c>
      <c r="E25" t="s">
        <v>182</v>
      </c>
      <c r="F25" s="5">
        <v>0</v>
      </c>
      <c r="G25" s="5">
        <v>2227</v>
      </c>
      <c r="H25" s="5"/>
      <c r="N25">
        <v>24</v>
      </c>
      <c r="O25" t="s">
        <v>165</v>
      </c>
      <c r="P25">
        <v>1</v>
      </c>
      <c r="Q25">
        <v>2622</v>
      </c>
      <c r="X25">
        <v>24</v>
      </c>
      <c r="Y25" t="s">
        <v>209</v>
      </c>
      <c r="Z25">
        <v>1</v>
      </c>
      <c r="AA25">
        <v>4094</v>
      </c>
      <c r="AH25">
        <v>24</v>
      </c>
      <c r="AI25" t="s">
        <v>204</v>
      </c>
      <c r="AJ25">
        <v>1</v>
      </c>
      <c r="AK25">
        <v>2766</v>
      </c>
    </row>
    <row r="26" spans="4:38" x14ac:dyDescent="0.25">
      <c r="D26">
        <v>25</v>
      </c>
      <c r="E26" t="s">
        <v>183</v>
      </c>
      <c r="F26">
        <v>1</v>
      </c>
      <c r="G26">
        <v>3603</v>
      </c>
      <c r="H26">
        <v>3603</v>
      </c>
      <c r="N26">
        <v>25</v>
      </c>
      <c r="O26" t="s">
        <v>183</v>
      </c>
      <c r="P26">
        <v>1</v>
      </c>
      <c r="Q26">
        <v>2625</v>
      </c>
      <c r="X26">
        <v>25</v>
      </c>
      <c r="Y26" t="s">
        <v>210</v>
      </c>
      <c r="Z26">
        <v>1</v>
      </c>
      <c r="AA26">
        <v>3419</v>
      </c>
      <c r="AH26">
        <v>25</v>
      </c>
      <c r="AI26" t="s">
        <v>186</v>
      </c>
      <c r="AJ26">
        <v>1</v>
      </c>
      <c r="AK26">
        <v>4056</v>
      </c>
    </row>
    <row r="27" spans="4:38" x14ac:dyDescent="0.25">
      <c r="D27">
        <v>26</v>
      </c>
      <c r="E27" t="s">
        <v>184</v>
      </c>
      <c r="F27">
        <v>1</v>
      </c>
      <c r="G27">
        <v>3597</v>
      </c>
      <c r="H27">
        <v>3597</v>
      </c>
      <c r="N27">
        <v>26</v>
      </c>
      <c r="O27" t="s">
        <v>167</v>
      </c>
      <c r="P27">
        <v>1</v>
      </c>
      <c r="Q27">
        <v>3151</v>
      </c>
      <c r="X27">
        <v>26</v>
      </c>
      <c r="Y27" t="s">
        <v>211</v>
      </c>
      <c r="Z27">
        <v>1</v>
      </c>
      <c r="AA27">
        <v>3033</v>
      </c>
      <c r="AH27">
        <v>26</v>
      </c>
      <c r="AI27" t="s">
        <v>193</v>
      </c>
      <c r="AJ27">
        <v>1</v>
      </c>
      <c r="AK27">
        <v>3444</v>
      </c>
    </row>
    <row r="28" spans="4:38" x14ac:dyDescent="0.25">
      <c r="F28">
        <f>SUM(F2:F27)</f>
        <v>21</v>
      </c>
      <c r="H28">
        <f>SUM(H2:H27)</f>
        <v>65107</v>
      </c>
      <c r="P28">
        <f>SUM(P2:P27)</f>
        <v>26</v>
      </c>
      <c r="Q28" s="5">
        <f>SUM(Q2:Q27)</f>
        <v>72893</v>
      </c>
      <c r="Z28">
        <f>SUM(Z2:Z27)</f>
        <v>26</v>
      </c>
      <c r="AA28">
        <f>SUM(AA2:AA27)</f>
        <v>77799</v>
      </c>
      <c r="AJ28" s="2">
        <f>SUM(AJ2:AJ27)</f>
        <v>26</v>
      </c>
      <c r="AK28">
        <f>SUM(AK2:AK27)</f>
        <v>78199</v>
      </c>
      <c r="AL28">
        <f>AK28/AJ28</f>
        <v>3007.6538461538462</v>
      </c>
    </row>
    <row r="30" spans="4:38" x14ac:dyDescent="0.25">
      <c r="H30">
        <f>H28/F28</f>
        <v>3100.3333333333335</v>
      </c>
      <c r="Q30">
        <f>Q28/P28</f>
        <v>2803.5769230769229</v>
      </c>
      <c r="AA30">
        <f>AA28/Z28</f>
        <v>2992.2692307692309</v>
      </c>
    </row>
    <row r="32" spans="4:38" x14ac:dyDescent="0.25">
      <c r="AL32">
        <v>3007.65</v>
      </c>
    </row>
    <row r="34" spans="1:24" x14ac:dyDescent="0.25">
      <c r="T34" s="26"/>
      <c r="U34" s="27" t="s">
        <v>490</v>
      </c>
      <c r="V34" s="27" t="s">
        <v>74</v>
      </c>
      <c r="W34" s="27" t="s">
        <v>104</v>
      </c>
      <c r="X34" s="28" t="s">
        <v>158</v>
      </c>
    </row>
    <row r="35" spans="1:24" x14ac:dyDescent="0.25">
      <c r="T35" s="29" t="s">
        <v>498</v>
      </c>
      <c r="U35" s="30">
        <v>3100.3333333333335</v>
      </c>
      <c r="V35" s="30">
        <v>2803.5769230769229</v>
      </c>
      <c r="W35" s="30">
        <v>2992.2692307692309</v>
      </c>
      <c r="X35" s="31">
        <v>3007.65</v>
      </c>
    </row>
    <row r="47" spans="1:24" x14ac:dyDescent="0.25">
      <c r="A47" s="26"/>
      <c r="B47" s="27" t="s">
        <v>490</v>
      </c>
      <c r="C47" s="27" t="s">
        <v>74</v>
      </c>
      <c r="D47" s="28" t="s">
        <v>104</v>
      </c>
      <c r="E47" s="28" t="s">
        <v>158</v>
      </c>
    </row>
    <row r="48" spans="1:24" x14ac:dyDescent="0.25">
      <c r="A48" s="29" t="s">
        <v>495</v>
      </c>
      <c r="B48" s="30">
        <v>21</v>
      </c>
      <c r="C48" s="30">
        <v>26</v>
      </c>
      <c r="D48" s="31">
        <v>26</v>
      </c>
      <c r="E48" s="31">
        <v>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topLeftCell="T1" workbookViewId="0">
      <selection activeCell="Q2" sqref="Q2"/>
    </sheetView>
  </sheetViews>
  <sheetFormatPr baseColWidth="10" defaultRowHeight="15" x14ac:dyDescent="0.25"/>
  <cols>
    <col min="1" max="1" width="17.140625" customWidth="1"/>
    <col min="6" max="6" width="17.7109375" customWidth="1"/>
    <col min="7" max="7" width="17.140625" customWidth="1"/>
  </cols>
  <sheetData>
    <row r="1" spans="1:38" ht="15.75" x14ac:dyDescent="0.25">
      <c r="A1" s="1" t="s">
        <v>33</v>
      </c>
      <c r="B1" s="2" t="s">
        <v>0</v>
      </c>
      <c r="C1" s="2" t="s">
        <v>1</v>
      </c>
      <c r="D1" s="2" t="s">
        <v>2</v>
      </c>
      <c r="E1" s="2" t="s">
        <v>8</v>
      </c>
      <c r="F1" s="2" t="s">
        <v>9</v>
      </c>
      <c r="G1" s="2" t="s">
        <v>10</v>
      </c>
      <c r="H1" s="2" t="s">
        <v>185</v>
      </c>
      <c r="K1" s="1" t="s">
        <v>33</v>
      </c>
      <c r="L1" s="2" t="s">
        <v>0</v>
      </c>
      <c r="M1" s="2" t="s">
        <v>1</v>
      </c>
      <c r="N1" s="2" t="s">
        <v>2</v>
      </c>
      <c r="O1" s="2" t="s">
        <v>8</v>
      </c>
      <c r="P1" s="2" t="s">
        <v>9</v>
      </c>
      <c r="Q1" s="2" t="s">
        <v>10</v>
      </c>
      <c r="R1" s="2" t="s">
        <v>185</v>
      </c>
      <c r="U1" s="1" t="s">
        <v>33</v>
      </c>
      <c r="V1" s="2" t="s">
        <v>0</v>
      </c>
      <c r="W1" s="2" t="s">
        <v>1</v>
      </c>
      <c r="X1" s="2" t="s">
        <v>2</v>
      </c>
      <c r="Y1" s="2" t="s">
        <v>8</v>
      </c>
      <c r="Z1" s="2" t="s">
        <v>9</v>
      </c>
      <c r="AA1" s="2" t="s">
        <v>10</v>
      </c>
      <c r="AB1" s="2" t="s">
        <v>185</v>
      </c>
      <c r="AE1" s="1" t="s">
        <v>33</v>
      </c>
      <c r="AF1" s="2" t="s">
        <v>0</v>
      </c>
      <c r="AG1" s="2" t="s">
        <v>1</v>
      </c>
      <c r="AH1" s="2" t="s">
        <v>2</v>
      </c>
      <c r="AI1" t="s">
        <v>45</v>
      </c>
      <c r="AJ1" t="s">
        <v>9</v>
      </c>
      <c r="AK1" t="s">
        <v>10</v>
      </c>
      <c r="AL1" s="2" t="s">
        <v>185</v>
      </c>
    </row>
    <row r="2" spans="1:38" ht="15.75" x14ac:dyDescent="0.25">
      <c r="A2" s="3" t="s">
        <v>6</v>
      </c>
      <c r="B2">
        <v>1</v>
      </c>
      <c r="C2">
        <v>1</v>
      </c>
      <c r="D2">
        <v>1</v>
      </c>
      <c r="E2" t="s">
        <v>212</v>
      </c>
      <c r="F2">
        <v>1</v>
      </c>
      <c r="G2">
        <v>6389</v>
      </c>
      <c r="H2">
        <v>6389</v>
      </c>
      <c r="K2" s="3" t="s">
        <v>74</v>
      </c>
      <c r="L2">
        <v>1</v>
      </c>
      <c r="M2">
        <v>2</v>
      </c>
      <c r="N2">
        <v>1</v>
      </c>
      <c r="O2" t="s">
        <v>218</v>
      </c>
      <c r="P2">
        <v>1</v>
      </c>
      <c r="Q2">
        <v>6342</v>
      </c>
      <c r="R2">
        <v>6342</v>
      </c>
      <c r="U2" s="3" t="s">
        <v>104</v>
      </c>
      <c r="V2">
        <v>2</v>
      </c>
      <c r="W2">
        <v>3</v>
      </c>
      <c r="X2">
        <v>1</v>
      </c>
      <c r="Y2" t="s">
        <v>238</v>
      </c>
      <c r="Z2">
        <v>1</v>
      </c>
      <c r="AA2">
        <v>1081</v>
      </c>
      <c r="AB2">
        <v>1081</v>
      </c>
      <c r="AE2" s="3" t="s">
        <v>158</v>
      </c>
      <c r="AF2">
        <v>2</v>
      </c>
      <c r="AG2">
        <v>4</v>
      </c>
      <c r="AH2">
        <v>1</v>
      </c>
      <c r="AI2" t="s">
        <v>256</v>
      </c>
      <c r="AJ2">
        <v>1</v>
      </c>
      <c r="AK2">
        <v>3374</v>
      </c>
      <c r="AL2">
        <v>3374</v>
      </c>
    </row>
    <row r="3" spans="1:38" ht="15.75" x14ac:dyDescent="0.25">
      <c r="A3" s="1" t="s">
        <v>15</v>
      </c>
      <c r="D3">
        <v>2</v>
      </c>
      <c r="E3" t="s">
        <v>213</v>
      </c>
      <c r="F3">
        <v>1</v>
      </c>
      <c r="G3">
        <v>1352</v>
      </c>
      <c r="H3">
        <v>1352</v>
      </c>
      <c r="K3" s="1" t="s">
        <v>15</v>
      </c>
      <c r="N3">
        <v>2</v>
      </c>
      <c r="O3" t="s">
        <v>220</v>
      </c>
      <c r="P3">
        <v>1</v>
      </c>
      <c r="Q3">
        <v>1597</v>
      </c>
      <c r="R3">
        <v>1597</v>
      </c>
      <c r="U3" s="1" t="s">
        <v>15</v>
      </c>
      <c r="X3">
        <v>2</v>
      </c>
      <c r="Y3" t="s">
        <v>239</v>
      </c>
      <c r="Z3">
        <v>1</v>
      </c>
      <c r="AA3">
        <v>971</v>
      </c>
      <c r="AB3">
        <v>971</v>
      </c>
      <c r="AE3" s="1" t="s">
        <v>15</v>
      </c>
      <c r="AH3">
        <v>2</v>
      </c>
      <c r="AI3" t="s">
        <v>243</v>
      </c>
      <c r="AJ3">
        <v>1</v>
      </c>
      <c r="AK3">
        <v>1998</v>
      </c>
      <c r="AL3">
        <v>1998</v>
      </c>
    </row>
    <row r="4" spans="1:38" ht="15.75" x14ac:dyDescent="0.25">
      <c r="A4" s="1" t="s">
        <v>72</v>
      </c>
      <c r="D4">
        <v>3</v>
      </c>
      <c r="E4" t="s">
        <v>214</v>
      </c>
      <c r="F4" s="5">
        <v>0</v>
      </c>
      <c r="G4" s="5">
        <v>5022</v>
      </c>
      <c r="H4" s="5"/>
      <c r="K4" s="1" t="s">
        <v>75</v>
      </c>
      <c r="N4">
        <v>3</v>
      </c>
      <c r="O4" t="s">
        <v>212</v>
      </c>
      <c r="P4">
        <v>1</v>
      </c>
      <c r="Q4">
        <v>1368</v>
      </c>
      <c r="R4">
        <v>1368</v>
      </c>
      <c r="U4" s="1" t="s">
        <v>131</v>
      </c>
      <c r="X4">
        <v>3</v>
      </c>
      <c r="Y4" t="s">
        <v>240</v>
      </c>
      <c r="Z4">
        <v>1</v>
      </c>
      <c r="AA4">
        <v>1306</v>
      </c>
      <c r="AB4">
        <v>1306</v>
      </c>
      <c r="AE4" s="1" t="s">
        <v>508</v>
      </c>
      <c r="AH4">
        <v>3</v>
      </c>
      <c r="AI4" t="s">
        <v>241</v>
      </c>
      <c r="AJ4" s="5">
        <v>0</v>
      </c>
      <c r="AK4" s="5">
        <v>4347</v>
      </c>
      <c r="AL4" s="5"/>
    </row>
    <row r="5" spans="1:38" x14ac:dyDescent="0.25">
      <c r="D5">
        <v>4</v>
      </c>
      <c r="E5" t="s">
        <v>215</v>
      </c>
      <c r="F5">
        <v>1</v>
      </c>
      <c r="G5">
        <v>4637</v>
      </c>
      <c r="H5">
        <v>4637</v>
      </c>
      <c r="N5">
        <v>4</v>
      </c>
      <c r="O5" t="s">
        <v>217</v>
      </c>
      <c r="P5">
        <v>1</v>
      </c>
      <c r="Q5">
        <v>4637</v>
      </c>
      <c r="R5">
        <v>4637</v>
      </c>
      <c r="X5">
        <v>4</v>
      </c>
      <c r="Y5" t="s">
        <v>241</v>
      </c>
      <c r="Z5" s="5">
        <v>0</v>
      </c>
      <c r="AA5" s="5">
        <v>5151</v>
      </c>
      <c r="AB5" s="5"/>
      <c r="AH5">
        <v>4</v>
      </c>
      <c r="AI5" t="s">
        <v>254</v>
      </c>
      <c r="AJ5" s="5">
        <v>0</v>
      </c>
      <c r="AK5" s="5">
        <v>3534</v>
      </c>
      <c r="AL5" s="5"/>
    </row>
    <row r="6" spans="1:38" x14ac:dyDescent="0.25">
      <c r="D6">
        <v>5</v>
      </c>
      <c r="E6" t="s">
        <v>216</v>
      </c>
      <c r="F6">
        <v>1</v>
      </c>
      <c r="G6">
        <v>4601</v>
      </c>
      <c r="H6">
        <v>4601</v>
      </c>
      <c r="N6">
        <v>5</v>
      </c>
      <c r="O6" t="s">
        <v>219</v>
      </c>
      <c r="P6">
        <v>1</v>
      </c>
      <c r="Q6">
        <v>1885</v>
      </c>
      <c r="R6">
        <v>1885</v>
      </c>
      <c r="X6">
        <v>5</v>
      </c>
      <c r="Y6" t="s">
        <v>242</v>
      </c>
      <c r="Z6">
        <v>1</v>
      </c>
      <c r="AA6">
        <v>4758</v>
      </c>
      <c r="AB6">
        <v>4758</v>
      </c>
      <c r="AH6">
        <v>5</v>
      </c>
      <c r="AI6" t="s">
        <v>242</v>
      </c>
      <c r="AJ6">
        <v>1</v>
      </c>
      <c r="AK6">
        <v>4937</v>
      </c>
      <c r="AL6">
        <v>4937</v>
      </c>
    </row>
    <row r="7" spans="1:38" x14ac:dyDescent="0.25">
      <c r="D7">
        <v>6</v>
      </c>
      <c r="E7" t="s">
        <v>217</v>
      </c>
      <c r="F7">
        <v>1</v>
      </c>
      <c r="G7">
        <v>3979</v>
      </c>
      <c r="H7">
        <v>3979</v>
      </c>
      <c r="N7">
        <v>6</v>
      </c>
      <c r="O7" t="s">
        <v>225</v>
      </c>
      <c r="P7">
        <v>1</v>
      </c>
      <c r="Q7">
        <v>2353</v>
      </c>
      <c r="R7">
        <v>2353</v>
      </c>
      <c r="X7">
        <v>6</v>
      </c>
      <c r="Y7" t="s">
        <v>243</v>
      </c>
      <c r="Z7">
        <v>1</v>
      </c>
      <c r="AA7">
        <v>3801</v>
      </c>
      <c r="AB7">
        <v>3801</v>
      </c>
      <c r="AH7">
        <v>6</v>
      </c>
      <c r="AI7" t="s">
        <v>251</v>
      </c>
      <c r="AJ7">
        <v>1</v>
      </c>
      <c r="AK7">
        <v>2727</v>
      </c>
      <c r="AL7">
        <v>2727</v>
      </c>
    </row>
    <row r="8" spans="1:38" x14ac:dyDescent="0.25">
      <c r="D8">
        <v>7</v>
      </c>
      <c r="E8" t="s">
        <v>218</v>
      </c>
      <c r="F8">
        <v>1</v>
      </c>
      <c r="G8">
        <v>2675</v>
      </c>
      <c r="H8">
        <v>2675</v>
      </c>
      <c r="N8">
        <v>7</v>
      </c>
      <c r="O8" t="s">
        <v>235</v>
      </c>
      <c r="P8">
        <v>1</v>
      </c>
      <c r="Q8">
        <v>1082</v>
      </c>
      <c r="R8">
        <v>1082</v>
      </c>
      <c r="X8">
        <v>7</v>
      </c>
      <c r="Y8" t="s">
        <v>244</v>
      </c>
      <c r="Z8">
        <v>1</v>
      </c>
      <c r="AA8">
        <v>3749</v>
      </c>
      <c r="AB8">
        <v>3749</v>
      </c>
      <c r="AH8">
        <v>7</v>
      </c>
      <c r="AI8" t="s">
        <v>249</v>
      </c>
      <c r="AJ8">
        <v>1</v>
      </c>
      <c r="AK8">
        <v>2164</v>
      </c>
      <c r="AL8">
        <v>2164</v>
      </c>
    </row>
    <row r="9" spans="1:38" x14ac:dyDescent="0.25">
      <c r="D9">
        <v>8</v>
      </c>
      <c r="E9" t="s">
        <v>219</v>
      </c>
      <c r="F9">
        <v>1</v>
      </c>
      <c r="G9">
        <v>2490</v>
      </c>
      <c r="H9">
        <v>2490</v>
      </c>
      <c r="N9">
        <v>8</v>
      </c>
      <c r="O9" t="s">
        <v>227</v>
      </c>
      <c r="P9" s="5">
        <v>0</v>
      </c>
      <c r="Q9" s="5">
        <v>1242</v>
      </c>
      <c r="R9" s="5"/>
      <c r="X9">
        <v>8</v>
      </c>
      <c r="Y9" t="s">
        <v>245</v>
      </c>
      <c r="Z9">
        <v>1</v>
      </c>
      <c r="AA9">
        <v>4170</v>
      </c>
      <c r="AB9">
        <v>4170</v>
      </c>
      <c r="AH9">
        <v>8</v>
      </c>
      <c r="AI9" t="s">
        <v>247</v>
      </c>
      <c r="AJ9">
        <v>1</v>
      </c>
      <c r="AK9">
        <v>2036</v>
      </c>
      <c r="AL9">
        <v>2036</v>
      </c>
    </row>
    <row r="10" spans="1:38" x14ac:dyDescent="0.25">
      <c r="D10">
        <v>9</v>
      </c>
      <c r="E10" t="s">
        <v>220</v>
      </c>
      <c r="F10">
        <v>1</v>
      </c>
      <c r="G10">
        <v>1874</v>
      </c>
      <c r="H10">
        <v>1874</v>
      </c>
      <c r="N10">
        <v>9</v>
      </c>
      <c r="O10" t="s">
        <v>236</v>
      </c>
      <c r="P10">
        <v>1</v>
      </c>
      <c r="Q10">
        <v>3749</v>
      </c>
      <c r="R10">
        <v>3749</v>
      </c>
      <c r="X10">
        <v>9</v>
      </c>
      <c r="Y10" t="s">
        <v>246</v>
      </c>
      <c r="Z10">
        <v>1</v>
      </c>
      <c r="AA10">
        <v>3912</v>
      </c>
      <c r="AB10">
        <v>3912</v>
      </c>
      <c r="AH10">
        <v>9</v>
      </c>
      <c r="AI10" t="s">
        <v>238</v>
      </c>
      <c r="AJ10">
        <v>1</v>
      </c>
      <c r="AK10">
        <v>6565</v>
      </c>
      <c r="AL10">
        <v>6565</v>
      </c>
    </row>
    <row r="11" spans="1:38" x14ac:dyDescent="0.25">
      <c r="D11">
        <v>10</v>
      </c>
      <c r="E11" t="s">
        <v>221</v>
      </c>
      <c r="F11">
        <v>1</v>
      </c>
      <c r="G11">
        <v>1189</v>
      </c>
      <c r="H11">
        <v>1189</v>
      </c>
      <c r="N11">
        <v>10</v>
      </c>
      <c r="O11" t="s">
        <v>232</v>
      </c>
      <c r="P11">
        <v>0</v>
      </c>
      <c r="Q11">
        <v>2461</v>
      </c>
      <c r="R11">
        <v>2461</v>
      </c>
      <c r="X11">
        <v>10</v>
      </c>
      <c r="Y11" t="s">
        <v>247</v>
      </c>
      <c r="Z11">
        <v>1</v>
      </c>
      <c r="AA11">
        <v>2537</v>
      </c>
      <c r="AB11">
        <v>2537</v>
      </c>
      <c r="AH11">
        <v>10</v>
      </c>
      <c r="AI11" t="s">
        <v>240</v>
      </c>
      <c r="AJ11">
        <v>1</v>
      </c>
      <c r="AK11">
        <v>4123</v>
      </c>
      <c r="AL11">
        <v>4123</v>
      </c>
    </row>
    <row r="12" spans="1:38" x14ac:dyDescent="0.25">
      <c r="D12">
        <v>11</v>
      </c>
      <c r="E12" t="s">
        <v>222</v>
      </c>
      <c r="F12">
        <v>1</v>
      </c>
      <c r="G12">
        <v>2454</v>
      </c>
      <c r="H12">
        <v>2454</v>
      </c>
      <c r="N12">
        <v>11</v>
      </c>
      <c r="O12" t="s">
        <v>231</v>
      </c>
      <c r="P12">
        <v>1</v>
      </c>
      <c r="Q12">
        <v>2298</v>
      </c>
      <c r="R12">
        <v>2298</v>
      </c>
      <c r="X12">
        <v>11</v>
      </c>
      <c r="Y12" t="s">
        <v>248</v>
      </c>
      <c r="Z12">
        <v>1</v>
      </c>
      <c r="AA12">
        <v>4497</v>
      </c>
      <c r="AB12">
        <v>4497</v>
      </c>
      <c r="AH12">
        <v>11</v>
      </c>
      <c r="AI12" t="s">
        <v>258</v>
      </c>
      <c r="AJ12">
        <v>1</v>
      </c>
      <c r="AK12">
        <v>3545</v>
      </c>
      <c r="AL12">
        <v>3545</v>
      </c>
    </row>
    <row r="13" spans="1:38" x14ac:dyDescent="0.25">
      <c r="D13">
        <v>12</v>
      </c>
      <c r="E13" t="s">
        <v>223</v>
      </c>
      <c r="F13">
        <v>1</v>
      </c>
      <c r="G13">
        <v>2486</v>
      </c>
      <c r="H13">
        <v>2486</v>
      </c>
      <c r="N13">
        <v>12</v>
      </c>
      <c r="O13" t="s">
        <v>213</v>
      </c>
      <c r="P13">
        <v>1</v>
      </c>
      <c r="Q13">
        <v>1227</v>
      </c>
      <c r="R13">
        <v>1227</v>
      </c>
      <c r="X13">
        <v>12</v>
      </c>
      <c r="Y13" t="s">
        <v>249</v>
      </c>
      <c r="Z13">
        <v>1</v>
      </c>
      <c r="AA13">
        <v>2281</v>
      </c>
      <c r="AB13">
        <v>2281</v>
      </c>
      <c r="AH13">
        <v>12</v>
      </c>
      <c r="AI13" t="s">
        <v>262</v>
      </c>
      <c r="AJ13">
        <v>1</v>
      </c>
      <c r="AK13">
        <v>3043</v>
      </c>
      <c r="AL13">
        <v>3043</v>
      </c>
    </row>
    <row r="14" spans="1:38" x14ac:dyDescent="0.25">
      <c r="D14">
        <v>13</v>
      </c>
      <c r="E14" t="s">
        <v>224</v>
      </c>
      <c r="F14">
        <v>1</v>
      </c>
      <c r="G14">
        <v>6647</v>
      </c>
      <c r="H14">
        <v>6647</v>
      </c>
      <c r="N14">
        <v>13</v>
      </c>
      <c r="O14" t="s">
        <v>216</v>
      </c>
      <c r="P14">
        <v>1</v>
      </c>
      <c r="Q14">
        <v>3587</v>
      </c>
      <c r="R14">
        <v>3587</v>
      </c>
      <c r="X14">
        <v>13</v>
      </c>
      <c r="Y14" t="s">
        <v>250</v>
      </c>
      <c r="Z14">
        <v>1</v>
      </c>
      <c r="AA14">
        <v>3748</v>
      </c>
      <c r="AB14">
        <v>3748</v>
      </c>
      <c r="AH14">
        <v>13</v>
      </c>
      <c r="AI14" t="s">
        <v>261</v>
      </c>
      <c r="AJ14">
        <v>1</v>
      </c>
      <c r="AK14">
        <v>4962</v>
      </c>
      <c r="AL14">
        <v>4962</v>
      </c>
    </row>
    <row r="15" spans="1:38" x14ac:dyDescent="0.25">
      <c r="D15">
        <v>14</v>
      </c>
      <c r="E15" t="s">
        <v>225</v>
      </c>
      <c r="F15">
        <v>1</v>
      </c>
      <c r="G15">
        <v>2579</v>
      </c>
      <c r="H15">
        <v>2579</v>
      </c>
      <c r="N15">
        <v>14</v>
      </c>
      <c r="O15" t="s">
        <v>230</v>
      </c>
      <c r="P15">
        <v>1</v>
      </c>
      <c r="Q15">
        <v>5063</v>
      </c>
      <c r="R15">
        <v>5063</v>
      </c>
      <c r="X15">
        <v>14</v>
      </c>
      <c r="Y15" t="s">
        <v>251</v>
      </c>
      <c r="Z15">
        <v>1</v>
      </c>
      <c r="AA15">
        <v>1790</v>
      </c>
      <c r="AB15">
        <v>1790</v>
      </c>
      <c r="AH15">
        <v>14</v>
      </c>
      <c r="AI15" t="s">
        <v>239</v>
      </c>
      <c r="AJ15">
        <v>1</v>
      </c>
      <c r="AK15">
        <v>2394</v>
      </c>
      <c r="AL15">
        <v>2394</v>
      </c>
    </row>
    <row r="16" spans="1:38" x14ac:dyDescent="0.25">
      <c r="D16">
        <v>15</v>
      </c>
      <c r="E16" t="s">
        <v>226</v>
      </c>
      <c r="F16">
        <v>1</v>
      </c>
      <c r="G16">
        <v>982</v>
      </c>
      <c r="H16">
        <v>982</v>
      </c>
      <c r="N16">
        <v>15</v>
      </c>
      <c r="O16" t="s">
        <v>226</v>
      </c>
      <c r="P16">
        <v>1</v>
      </c>
      <c r="Q16">
        <v>1421</v>
      </c>
      <c r="R16">
        <v>1421</v>
      </c>
      <c r="X16">
        <v>15</v>
      </c>
      <c r="Y16" t="s">
        <v>252</v>
      </c>
      <c r="Z16">
        <v>1</v>
      </c>
      <c r="AA16">
        <v>4567</v>
      </c>
      <c r="AB16">
        <v>4567</v>
      </c>
      <c r="AH16">
        <v>15</v>
      </c>
      <c r="AI16" t="s">
        <v>263</v>
      </c>
      <c r="AJ16">
        <v>1</v>
      </c>
      <c r="AK16">
        <v>2586</v>
      </c>
      <c r="AL16">
        <v>2586</v>
      </c>
    </row>
    <row r="17" spans="4:38" x14ac:dyDescent="0.25">
      <c r="D17">
        <v>16</v>
      </c>
      <c r="E17" t="s">
        <v>227</v>
      </c>
      <c r="F17" s="5">
        <v>0</v>
      </c>
      <c r="G17" s="5">
        <v>1474</v>
      </c>
      <c r="H17" s="5"/>
      <c r="N17">
        <v>16</v>
      </c>
      <c r="O17" t="s">
        <v>222</v>
      </c>
      <c r="P17">
        <v>1</v>
      </c>
      <c r="Q17">
        <v>1085</v>
      </c>
      <c r="R17">
        <v>1085</v>
      </c>
      <c r="X17">
        <v>16</v>
      </c>
      <c r="Y17" t="s">
        <v>253</v>
      </c>
      <c r="Z17">
        <v>1</v>
      </c>
      <c r="AA17">
        <v>4464</v>
      </c>
      <c r="AB17">
        <v>4464</v>
      </c>
      <c r="AH17">
        <v>16</v>
      </c>
      <c r="AI17" t="s">
        <v>245</v>
      </c>
      <c r="AJ17">
        <v>1</v>
      </c>
      <c r="AK17">
        <v>2855</v>
      </c>
      <c r="AL17">
        <v>2855</v>
      </c>
    </row>
    <row r="18" spans="4:38" x14ac:dyDescent="0.25">
      <c r="D18">
        <v>17</v>
      </c>
      <c r="E18" t="s">
        <v>228</v>
      </c>
      <c r="F18">
        <v>1</v>
      </c>
      <c r="G18">
        <v>2324</v>
      </c>
      <c r="H18">
        <v>2324</v>
      </c>
      <c r="N18">
        <v>17</v>
      </c>
      <c r="O18" t="s">
        <v>228</v>
      </c>
      <c r="P18">
        <v>1</v>
      </c>
      <c r="Q18">
        <v>3185</v>
      </c>
      <c r="R18">
        <v>3185</v>
      </c>
      <c r="X18">
        <v>17</v>
      </c>
      <c r="Y18" t="s">
        <v>254</v>
      </c>
      <c r="Z18">
        <v>1</v>
      </c>
      <c r="AA18">
        <v>3403</v>
      </c>
      <c r="AB18">
        <v>3403</v>
      </c>
      <c r="AH18">
        <v>17</v>
      </c>
      <c r="AI18" t="s">
        <v>259</v>
      </c>
      <c r="AJ18">
        <v>1</v>
      </c>
      <c r="AK18">
        <v>1524</v>
      </c>
      <c r="AL18">
        <v>1524</v>
      </c>
    </row>
    <row r="19" spans="4:38" x14ac:dyDescent="0.25">
      <c r="D19">
        <v>18</v>
      </c>
      <c r="E19" t="s">
        <v>229</v>
      </c>
      <c r="F19">
        <v>1</v>
      </c>
      <c r="G19">
        <v>1679</v>
      </c>
      <c r="H19">
        <v>1679</v>
      </c>
      <c r="N19">
        <v>18</v>
      </c>
      <c r="O19" t="s">
        <v>237</v>
      </c>
      <c r="P19" s="5">
        <v>0</v>
      </c>
      <c r="Q19" s="5">
        <v>2891</v>
      </c>
      <c r="R19" s="5"/>
      <c r="X19">
        <v>18</v>
      </c>
      <c r="Y19" t="s">
        <v>255</v>
      </c>
      <c r="Z19">
        <v>1</v>
      </c>
      <c r="AA19">
        <v>4710</v>
      </c>
      <c r="AB19">
        <v>4710</v>
      </c>
      <c r="AH19">
        <v>18</v>
      </c>
      <c r="AI19" t="s">
        <v>255</v>
      </c>
      <c r="AJ19">
        <v>1</v>
      </c>
      <c r="AK19">
        <v>3739</v>
      </c>
      <c r="AL19">
        <v>3739</v>
      </c>
    </row>
    <row r="20" spans="4:38" x14ac:dyDescent="0.25">
      <c r="D20">
        <v>19</v>
      </c>
      <c r="E20" t="s">
        <v>230</v>
      </c>
      <c r="F20">
        <v>1</v>
      </c>
      <c r="G20">
        <v>1961</v>
      </c>
      <c r="H20">
        <v>1961</v>
      </c>
      <c r="N20">
        <v>19</v>
      </c>
      <c r="O20" t="s">
        <v>234</v>
      </c>
      <c r="P20" s="5">
        <v>0</v>
      </c>
      <c r="Q20" s="5">
        <v>2524</v>
      </c>
      <c r="R20" s="5"/>
      <c r="X20">
        <v>19</v>
      </c>
      <c r="Y20" t="s">
        <v>256</v>
      </c>
      <c r="Z20">
        <v>1</v>
      </c>
      <c r="AA20">
        <v>3579</v>
      </c>
      <c r="AB20">
        <v>3579</v>
      </c>
      <c r="AH20">
        <v>19</v>
      </c>
      <c r="AI20" t="s">
        <v>257</v>
      </c>
      <c r="AJ20">
        <v>1</v>
      </c>
      <c r="AK20">
        <v>4223</v>
      </c>
      <c r="AL20">
        <v>4223</v>
      </c>
    </row>
    <row r="21" spans="4:38" x14ac:dyDescent="0.25">
      <c r="D21">
        <v>20</v>
      </c>
      <c r="E21" t="s">
        <v>231</v>
      </c>
      <c r="F21">
        <v>1</v>
      </c>
      <c r="G21">
        <v>2090</v>
      </c>
      <c r="H21">
        <v>2090</v>
      </c>
      <c r="N21">
        <v>20</v>
      </c>
      <c r="O21" t="s">
        <v>221</v>
      </c>
      <c r="P21">
        <v>1</v>
      </c>
      <c r="Q21">
        <v>1692</v>
      </c>
      <c r="R21">
        <v>1692</v>
      </c>
      <c r="X21">
        <v>20</v>
      </c>
      <c r="Y21" t="s">
        <v>257</v>
      </c>
      <c r="Z21">
        <v>1</v>
      </c>
      <c r="AA21">
        <v>3254</v>
      </c>
      <c r="AB21">
        <v>3254</v>
      </c>
      <c r="AH21">
        <v>20</v>
      </c>
      <c r="AI21" t="s">
        <v>252</v>
      </c>
      <c r="AJ21">
        <v>1</v>
      </c>
      <c r="AK21">
        <v>3740</v>
      </c>
      <c r="AL21">
        <v>3740</v>
      </c>
    </row>
    <row r="22" spans="4:38" x14ac:dyDescent="0.25">
      <c r="D22">
        <v>21</v>
      </c>
      <c r="E22" t="s">
        <v>232</v>
      </c>
      <c r="F22" s="5">
        <v>0</v>
      </c>
      <c r="G22" s="5">
        <v>0</v>
      </c>
      <c r="H22" s="5"/>
      <c r="N22">
        <v>21</v>
      </c>
      <c r="O22" t="s">
        <v>223</v>
      </c>
      <c r="P22" s="5">
        <v>0</v>
      </c>
      <c r="Q22" s="5">
        <v>2378</v>
      </c>
      <c r="R22" s="5"/>
      <c r="X22">
        <v>21</v>
      </c>
      <c r="Y22" t="s">
        <v>258</v>
      </c>
      <c r="Z22">
        <v>1</v>
      </c>
      <c r="AA22">
        <v>3786</v>
      </c>
      <c r="AB22">
        <v>3786</v>
      </c>
      <c r="AH22">
        <v>21</v>
      </c>
      <c r="AI22" t="s">
        <v>250</v>
      </c>
      <c r="AJ22">
        <v>1</v>
      </c>
      <c r="AK22">
        <v>3641</v>
      </c>
      <c r="AL22">
        <v>3641</v>
      </c>
    </row>
    <row r="23" spans="4:38" x14ac:dyDescent="0.25">
      <c r="D23">
        <v>22</v>
      </c>
      <c r="E23" t="s">
        <v>233</v>
      </c>
      <c r="F23">
        <v>1</v>
      </c>
      <c r="G23">
        <v>2021</v>
      </c>
      <c r="H23">
        <v>2021</v>
      </c>
      <c r="N23">
        <v>22</v>
      </c>
      <c r="O23" t="s">
        <v>229</v>
      </c>
      <c r="P23">
        <v>1</v>
      </c>
      <c r="Q23">
        <v>1778</v>
      </c>
      <c r="R23">
        <v>1778</v>
      </c>
      <c r="X23">
        <v>22</v>
      </c>
      <c r="Y23" t="s">
        <v>259</v>
      </c>
      <c r="Z23">
        <v>1</v>
      </c>
      <c r="AA23">
        <v>3003</v>
      </c>
      <c r="AB23">
        <v>3003</v>
      </c>
      <c r="AH23">
        <v>22</v>
      </c>
      <c r="AI23" t="s">
        <v>244</v>
      </c>
      <c r="AJ23">
        <v>1</v>
      </c>
      <c r="AK23">
        <v>3284</v>
      </c>
      <c r="AL23">
        <v>3284</v>
      </c>
    </row>
    <row r="24" spans="4:38" x14ac:dyDescent="0.25">
      <c r="D24">
        <v>23</v>
      </c>
      <c r="E24" t="s">
        <v>234</v>
      </c>
      <c r="F24">
        <v>1</v>
      </c>
      <c r="G24">
        <v>956</v>
      </c>
      <c r="H24">
        <v>956</v>
      </c>
      <c r="N24">
        <v>23</v>
      </c>
      <c r="O24" t="s">
        <v>214</v>
      </c>
      <c r="P24">
        <v>1</v>
      </c>
      <c r="Q24">
        <v>1613</v>
      </c>
      <c r="R24">
        <v>1613</v>
      </c>
      <c r="X24">
        <v>23</v>
      </c>
      <c r="Y24" t="s">
        <v>260</v>
      </c>
      <c r="Z24">
        <v>1</v>
      </c>
      <c r="AA24">
        <v>2155</v>
      </c>
      <c r="AB24">
        <v>2155</v>
      </c>
      <c r="AH24">
        <v>23</v>
      </c>
      <c r="AI24" t="s">
        <v>248</v>
      </c>
      <c r="AJ24">
        <v>1</v>
      </c>
      <c r="AK24">
        <v>3213</v>
      </c>
      <c r="AL24">
        <v>3213</v>
      </c>
    </row>
    <row r="25" spans="4:38" x14ac:dyDescent="0.25">
      <c r="D25">
        <v>24</v>
      </c>
      <c r="E25" t="s">
        <v>235</v>
      </c>
      <c r="F25">
        <v>1</v>
      </c>
      <c r="G25">
        <v>1091</v>
      </c>
      <c r="H25">
        <v>1091</v>
      </c>
      <c r="N25">
        <v>24</v>
      </c>
      <c r="O25" t="s">
        <v>215</v>
      </c>
      <c r="P25">
        <v>1</v>
      </c>
      <c r="Q25">
        <v>2008</v>
      </c>
      <c r="R25">
        <v>2008</v>
      </c>
      <c r="X25">
        <v>24</v>
      </c>
      <c r="Y25" t="s">
        <v>261</v>
      </c>
      <c r="Z25">
        <v>1</v>
      </c>
      <c r="AA25">
        <v>5054</v>
      </c>
      <c r="AB25">
        <v>5054</v>
      </c>
      <c r="AH25">
        <v>24</v>
      </c>
      <c r="AI25" t="s">
        <v>260</v>
      </c>
      <c r="AJ25">
        <v>1</v>
      </c>
      <c r="AK25">
        <v>2263</v>
      </c>
      <c r="AL25">
        <v>2263</v>
      </c>
    </row>
    <row r="26" spans="4:38" x14ac:dyDescent="0.25">
      <c r="D26">
        <v>25</v>
      </c>
      <c r="E26" t="s">
        <v>236</v>
      </c>
      <c r="F26">
        <v>1</v>
      </c>
      <c r="G26">
        <v>2134</v>
      </c>
      <c r="H26">
        <v>2134</v>
      </c>
      <c r="N26">
        <v>25</v>
      </c>
      <c r="O26" t="s">
        <v>224</v>
      </c>
      <c r="P26">
        <v>1</v>
      </c>
      <c r="Q26">
        <v>3046</v>
      </c>
      <c r="R26">
        <v>3046</v>
      </c>
      <c r="X26">
        <v>25</v>
      </c>
      <c r="Y26" t="s">
        <v>262</v>
      </c>
      <c r="Z26">
        <v>1</v>
      </c>
      <c r="AA26">
        <v>3753</v>
      </c>
      <c r="AB26">
        <v>3753</v>
      </c>
      <c r="AH26">
        <v>25</v>
      </c>
      <c r="AI26" t="s">
        <v>246</v>
      </c>
      <c r="AJ26" s="5">
        <v>0</v>
      </c>
      <c r="AK26" s="5">
        <v>0</v>
      </c>
      <c r="AL26" s="5"/>
    </row>
    <row r="27" spans="4:38" x14ac:dyDescent="0.25">
      <c r="D27">
        <v>26</v>
      </c>
      <c r="E27" t="s">
        <v>237</v>
      </c>
      <c r="F27">
        <v>1</v>
      </c>
      <c r="G27">
        <v>1084</v>
      </c>
      <c r="H27">
        <v>1084</v>
      </c>
      <c r="N27">
        <v>26</v>
      </c>
      <c r="O27" t="s">
        <v>233</v>
      </c>
      <c r="P27">
        <v>1</v>
      </c>
      <c r="Q27">
        <v>1272</v>
      </c>
      <c r="R27">
        <v>1272</v>
      </c>
      <c r="X27">
        <v>26</v>
      </c>
      <c r="Y27" t="s">
        <v>263</v>
      </c>
      <c r="Z27">
        <v>1</v>
      </c>
      <c r="AA27">
        <v>2902</v>
      </c>
      <c r="AB27">
        <v>2902</v>
      </c>
      <c r="AH27">
        <v>26</v>
      </c>
      <c r="AI27" t="s">
        <v>253</v>
      </c>
      <c r="AJ27">
        <v>1</v>
      </c>
      <c r="AK27">
        <v>5913</v>
      </c>
      <c r="AL27">
        <v>5913</v>
      </c>
    </row>
    <row r="28" spans="4:38" x14ac:dyDescent="0.25">
      <c r="F28">
        <f>SUM(F2:F27)</f>
        <v>23</v>
      </c>
      <c r="H28">
        <f>SUM(H2:H27)</f>
        <v>59674</v>
      </c>
      <c r="P28">
        <f>SUM(P2:P27)</f>
        <v>21</v>
      </c>
      <c r="R28">
        <f>SUM(R2:R27)</f>
        <v>54749</v>
      </c>
      <c r="Z28">
        <f>SUM(Z2:Z27)</f>
        <v>25</v>
      </c>
      <c r="AB28">
        <f>SUM(AB2:AB27)</f>
        <v>83231</v>
      </c>
      <c r="AJ28">
        <f>SUM(AJ2:AJ27)</f>
        <v>23</v>
      </c>
      <c r="AL28">
        <f>SUM(AL2:AL27)</f>
        <v>78849</v>
      </c>
    </row>
    <row r="30" spans="4:38" x14ac:dyDescent="0.25">
      <c r="H30" s="5">
        <f>H28/F28</f>
        <v>2594.521739130435</v>
      </c>
      <c r="R30" s="5">
        <f>R28/P28</f>
        <v>2607.0952380952381</v>
      </c>
      <c r="AB30">
        <f>AB28/Z28</f>
        <v>3329.24</v>
      </c>
      <c r="AL30" s="2">
        <f>AL28/AJ28</f>
        <v>3428.217391304348</v>
      </c>
    </row>
    <row r="32" spans="4:38" x14ac:dyDescent="0.25">
      <c r="AL32">
        <v>3428.21</v>
      </c>
    </row>
    <row r="34" spans="1:24" x14ac:dyDescent="0.25">
      <c r="T34" s="26"/>
      <c r="U34" s="27" t="s">
        <v>490</v>
      </c>
      <c r="V34" s="27" t="s">
        <v>74</v>
      </c>
      <c r="W34" s="27" t="s">
        <v>104</v>
      </c>
      <c r="X34" s="28" t="s">
        <v>158</v>
      </c>
    </row>
    <row r="35" spans="1:24" x14ac:dyDescent="0.25">
      <c r="T35" s="29" t="s">
        <v>497</v>
      </c>
      <c r="U35" s="30">
        <v>2594.521739130435</v>
      </c>
      <c r="V35" s="30">
        <v>2607.0952380952381</v>
      </c>
      <c r="W35" s="30">
        <v>3329.24</v>
      </c>
      <c r="X35" s="31">
        <v>3428.21</v>
      </c>
    </row>
    <row r="48" spans="1:24" x14ac:dyDescent="0.25">
      <c r="A48" s="26"/>
      <c r="B48" s="27" t="s">
        <v>490</v>
      </c>
      <c r="C48" s="27" t="s">
        <v>74</v>
      </c>
      <c r="D48" s="27" t="s">
        <v>104</v>
      </c>
      <c r="E48" s="28" t="s">
        <v>158</v>
      </c>
    </row>
    <row r="49" spans="1:5" x14ac:dyDescent="0.25">
      <c r="A49" s="29" t="s">
        <v>496</v>
      </c>
      <c r="B49" s="30">
        <v>23</v>
      </c>
      <c r="C49" s="30">
        <v>21</v>
      </c>
      <c r="D49" s="30">
        <v>25</v>
      </c>
      <c r="E49" s="31"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topLeftCell="H1" workbookViewId="0">
      <selection activeCell="E13" sqref="E13"/>
    </sheetView>
  </sheetViews>
  <sheetFormatPr baseColWidth="10" defaultRowHeight="15" x14ac:dyDescent="0.25"/>
  <cols>
    <col min="1" max="1" width="22" customWidth="1"/>
    <col min="9" max="9" width="22.85546875" customWidth="1"/>
    <col min="16" max="16" width="22.28515625" customWidth="1"/>
    <col min="19" max="19" width="16" customWidth="1"/>
  </cols>
  <sheetData>
    <row r="1" spans="1:29" ht="15.75" x14ac:dyDescent="0.25">
      <c r="A1" s="1" t="s">
        <v>264</v>
      </c>
      <c r="B1" s="2" t="s">
        <v>0</v>
      </c>
      <c r="C1" s="2" t="s">
        <v>1</v>
      </c>
      <c r="D1" s="2" t="s">
        <v>17</v>
      </c>
      <c r="E1" s="1" t="s">
        <v>18</v>
      </c>
      <c r="I1" s="1" t="s">
        <v>264</v>
      </c>
      <c r="J1" s="2" t="s">
        <v>0</v>
      </c>
      <c r="K1" s="2" t="s">
        <v>1</v>
      </c>
      <c r="L1" s="2" t="s">
        <v>17</v>
      </c>
      <c r="M1" s="1" t="s">
        <v>18</v>
      </c>
      <c r="P1" s="1" t="s">
        <v>264</v>
      </c>
      <c r="Q1" s="2" t="s">
        <v>0</v>
      </c>
      <c r="R1" s="2" t="s">
        <v>1</v>
      </c>
      <c r="S1" s="2" t="s">
        <v>17</v>
      </c>
      <c r="T1" s="1" t="s">
        <v>18</v>
      </c>
      <c r="W1" s="1" t="s">
        <v>264</v>
      </c>
      <c r="X1" s="2" t="s">
        <v>0</v>
      </c>
      <c r="Y1" s="2" t="s">
        <v>1</v>
      </c>
      <c r="Z1" s="2" t="s">
        <v>17</v>
      </c>
      <c r="AA1" s="1" t="s">
        <v>18</v>
      </c>
      <c r="AB1" s="2" t="s">
        <v>509</v>
      </c>
    </row>
    <row r="2" spans="1:29" ht="15.75" x14ac:dyDescent="0.25">
      <c r="A2" s="3" t="s">
        <v>6</v>
      </c>
      <c r="B2">
        <v>1</v>
      </c>
      <c r="C2">
        <v>1</v>
      </c>
      <c r="D2" t="s">
        <v>265</v>
      </c>
      <c r="E2">
        <v>1</v>
      </c>
      <c r="I2" s="3" t="s">
        <v>74</v>
      </c>
      <c r="J2">
        <v>1</v>
      </c>
      <c r="K2">
        <v>2</v>
      </c>
      <c r="L2" t="s">
        <v>265</v>
      </c>
      <c r="M2">
        <v>1</v>
      </c>
      <c r="P2" s="3" t="s">
        <v>104</v>
      </c>
      <c r="Q2">
        <v>2</v>
      </c>
      <c r="R2">
        <v>3</v>
      </c>
      <c r="S2" t="s">
        <v>266</v>
      </c>
      <c r="T2">
        <v>3</v>
      </c>
      <c r="W2" s="3" t="s">
        <v>507</v>
      </c>
      <c r="X2">
        <v>2</v>
      </c>
      <c r="Y2">
        <v>4</v>
      </c>
      <c r="AA2">
        <v>0</v>
      </c>
      <c r="AC2" t="s">
        <v>510</v>
      </c>
    </row>
    <row r="3" spans="1:29" ht="15.75" x14ac:dyDescent="0.25">
      <c r="A3" s="1" t="s">
        <v>16</v>
      </c>
      <c r="I3" s="1" t="s">
        <v>16</v>
      </c>
      <c r="P3" s="1" t="s">
        <v>16</v>
      </c>
      <c r="S3" t="s">
        <v>267</v>
      </c>
      <c r="W3" s="1" t="s">
        <v>16</v>
      </c>
      <c r="AC3" t="s">
        <v>266</v>
      </c>
    </row>
    <row r="4" spans="1:29" ht="15.75" x14ac:dyDescent="0.25">
      <c r="A4" s="1" t="s">
        <v>72</v>
      </c>
      <c r="I4" s="1" t="s">
        <v>75</v>
      </c>
      <c r="P4" s="1" t="s">
        <v>131</v>
      </c>
      <c r="S4" t="s">
        <v>268</v>
      </c>
      <c r="W4" s="1" t="s">
        <v>508</v>
      </c>
    </row>
    <row r="5" spans="1:29" ht="15.75" x14ac:dyDescent="0.25">
      <c r="A5" s="1" t="s">
        <v>34</v>
      </c>
      <c r="I5" s="1" t="s">
        <v>34</v>
      </c>
      <c r="P5" s="1" t="s">
        <v>34</v>
      </c>
      <c r="W5" s="1" t="s">
        <v>34</v>
      </c>
    </row>
    <row r="10" spans="1:29" x14ac:dyDescent="0.25">
      <c r="H10" s="26"/>
      <c r="I10" s="27" t="s">
        <v>490</v>
      </c>
      <c r="J10" s="27" t="s">
        <v>74</v>
      </c>
      <c r="K10" s="27" t="s">
        <v>104</v>
      </c>
      <c r="L10" s="28" t="s">
        <v>158</v>
      </c>
    </row>
    <row r="11" spans="1:29" x14ac:dyDescent="0.25">
      <c r="H11" s="29" t="s">
        <v>499</v>
      </c>
      <c r="I11" s="30">
        <v>1</v>
      </c>
      <c r="J11" s="30">
        <v>1</v>
      </c>
      <c r="K11" s="30">
        <v>3</v>
      </c>
      <c r="L11" s="3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topLeftCell="J1" workbookViewId="0">
      <selection activeCell="L17" sqref="L17:P18"/>
    </sheetView>
  </sheetViews>
  <sheetFormatPr baseColWidth="10" defaultRowHeight="15" x14ac:dyDescent="0.25"/>
  <cols>
    <col min="1" max="1" width="18.7109375" customWidth="1"/>
    <col min="9" max="9" width="18" customWidth="1"/>
    <col min="17" max="17" width="18.7109375" customWidth="1"/>
  </cols>
  <sheetData>
    <row r="1" spans="1:28" ht="15.75" x14ac:dyDescent="0.25">
      <c r="A1" s="1" t="s">
        <v>264</v>
      </c>
      <c r="B1" s="2" t="s">
        <v>0</v>
      </c>
      <c r="C1" s="2" t="s">
        <v>1</v>
      </c>
      <c r="D1" s="2" t="s">
        <v>20</v>
      </c>
      <c r="E1" s="2" t="s">
        <v>17</v>
      </c>
      <c r="F1" s="1" t="s">
        <v>18</v>
      </c>
      <c r="I1" s="1" t="s">
        <v>264</v>
      </c>
      <c r="J1" s="2" t="s">
        <v>0</v>
      </c>
      <c r="K1" s="2" t="s">
        <v>1</v>
      </c>
      <c r="L1" s="2" t="s">
        <v>20</v>
      </c>
      <c r="M1" s="2" t="s">
        <v>17</v>
      </c>
      <c r="N1" s="1" t="s">
        <v>18</v>
      </c>
      <c r="Q1" s="1" t="s">
        <v>264</v>
      </c>
      <c r="R1" s="2" t="s">
        <v>0</v>
      </c>
      <c r="S1" s="2" t="s">
        <v>1</v>
      </c>
      <c r="T1" s="2" t="s">
        <v>20</v>
      </c>
      <c r="U1" s="2" t="s">
        <v>17</v>
      </c>
      <c r="V1" s="1" t="s">
        <v>18</v>
      </c>
      <c r="X1" s="1" t="s">
        <v>264</v>
      </c>
      <c r="Y1" s="2" t="s">
        <v>0</v>
      </c>
      <c r="Z1" s="2" t="s">
        <v>1</v>
      </c>
      <c r="AA1" s="2" t="s">
        <v>20</v>
      </c>
      <c r="AB1" s="2" t="s">
        <v>511</v>
      </c>
    </row>
    <row r="2" spans="1:28" ht="15.75" x14ac:dyDescent="0.25">
      <c r="A2" s="3" t="s">
        <v>6</v>
      </c>
      <c r="B2">
        <v>1</v>
      </c>
      <c r="C2">
        <v>1</v>
      </c>
      <c r="E2" t="s">
        <v>269</v>
      </c>
      <c r="F2">
        <v>3</v>
      </c>
      <c r="I2" s="3" t="s">
        <v>74</v>
      </c>
      <c r="J2">
        <v>1</v>
      </c>
      <c r="K2">
        <v>2</v>
      </c>
      <c r="M2" t="s">
        <v>272</v>
      </c>
      <c r="N2">
        <v>8</v>
      </c>
      <c r="Q2" s="3" t="s">
        <v>104</v>
      </c>
      <c r="R2">
        <v>2</v>
      </c>
      <c r="S2">
        <v>3</v>
      </c>
      <c r="T2">
        <v>1</v>
      </c>
      <c r="U2" t="s">
        <v>280</v>
      </c>
      <c r="V2">
        <v>10</v>
      </c>
      <c r="X2" s="3" t="s">
        <v>158</v>
      </c>
      <c r="Y2">
        <v>2</v>
      </c>
      <c r="Z2">
        <v>4</v>
      </c>
      <c r="AA2">
        <v>1</v>
      </c>
      <c r="AB2" t="s">
        <v>512</v>
      </c>
    </row>
    <row r="3" spans="1:28" ht="15.75" x14ac:dyDescent="0.25">
      <c r="A3" s="1" t="s">
        <v>19</v>
      </c>
      <c r="E3" t="s">
        <v>270</v>
      </c>
      <c r="I3" s="1" t="s">
        <v>19</v>
      </c>
      <c r="M3" t="s">
        <v>273</v>
      </c>
      <c r="Q3" s="1" t="s">
        <v>19</v>
      </c>
      <c r="T3">
        <v>2</v>
      </c>
      <c r="U3" t="s">
        <v>281</v>
      </c>
      <c r="X3" s="1" t="s">
        <v>19</v>
      </c>
      <c r="AA3">
        <v>2</v>
      </c>
      <c r="AB3" t="s">
        <v>513</v>
      </c>
    </row>
    <row r="4" spans="1:28" ht="15.75" x14ac:dyDescent="0.25">
      <c r="A4" s="1" t="s">
        <v>72</v>
      </c>
      <c r="E4" t="s">
        <v>271</v>
      </c>
      <c r="I4" s="1" t="s">
        <v>75</v>
      </c>
      <c r="M4" t="s">
        <v>274</v>
      </c>
      <c r="Q4" s="1" t="s">
        <v>131</v>
      </c>
      <c r="T4">
        <v>3</v>
      </c>
      <c r="U4" t="s">
        <v>282</v>
      </c>
      <c r="X4" s="1" t="s">
        <v>508</v>
      </c>
      <c r="AA4">
        <v>3</v>
      </c>
      <c r="AB4" t="s">
        <v>514</v>
      </c>
    </row>
    <row r="5" spans="1:28" ht="15.75" x14ac:dyDescent="0.25">
      <c r="A5" s="1" t="s">
        <v>34</v>
      </c>
      <c r="I5" s="1" t="s">
        <v>34</v>
      </c>
      <c r="M5" t="s">
        <v>275</v>
      </c>
      <c r="Q5" s="1" t="s">
        <v>34</v>
      </c>
      <c r="T5">
        <v>4</v>
      </c>
      <c r="U5" t="s">
        <v>283</v>
      </c>
      <c r="X5" s="1" t="s">
        <v>34</v>
      </c>
      <c r="AB5" s="10" t="s">
        <v>515</v>
      </c>
    </row>
    <row r="6" spans="1:28" x14ac:dyDescent="0.25">
      <c r="M6" t="s">
        <v>276</v>
      </c>
      <c r="T6">
        <v>5</v>
      </c>
      <c r="U6" t="s">
        <v>284</v>
      </c>
      <c r="AA6">
        <v>4</v>
      </c>
      <c r="AB6" t="s">
        <v>516</v>
      </c>
    </row>
    <row r="7" spans="1:28" x14ac:dyDescent="0.25">
      <c r="M7" t="s">
        <v>277</v>
      </c>
      <c r="T7">
        <v>6</v>
      </c>
      <c r="U7" t="s">
        <v>285</v>
      </c>
      <c r="AA7">
        <v>5</v>
      </c>
      <c r="AB7" t="s">
        <v>517</v>
      </c>
    </row>
    <row r="8" spans="1:28" x14ac:dyDescent="0.25">
      <c r="M8" t="s">
        <v>278</v>
      </c>
      <c r="T8">
        <v>7</v>
      </c>
      <c r="U8" t="s">
        <v>286</v>
      </c>
      <c r="AA8">
        <v>6</v>
      </c>
      <c r="AB8" t="s">
        <v>518</v>
      </c>
    </row>
    <row r="9" spans="1:28" x14ac:dyDescent="0.25">
      <c r="M9" t="s">
        <v>279</v>
      </c>
      <c r="U9" s="10" t="s">
        <v>287</v>
      </c>
      <c r="AA9">
        <v>7</v>
      </c>
      <c r="AB9" t="s">
        <v>519</v>
      </c>
    </row>
    <row r="10" spans="1:28" x14ac:dyDescent="0.25">
      <c r="T10">
        <v>8</v>
      </c>
      <c r="U10" t="s">
        <v>288</v>
      </c>
      <c r="AA10">
        <v>8</v>
      </c>
    </row>
    <row r="11" spans="1:28" x14ac:dyDescent="0.25">
      <c r="T11">
        <v>9</v>
      </c>
      <c r="U11" t="s">
        <v>284</v>
      </c>
      <c r="AA11">
        <v>10</v>
      </c>
    </row>
    <row r="12" spans="1:28" x14ac:dyDescent="0.25">
      <c r="T12">
        <v>10</v>
      </c>
      <c r="U12" t="s">
        <v>289</v>
      </c>
    </row>
    <row r="17" spans="12:16" x14ac:dyDescent="0.25">
      <c r="L17" s="26"/>
      <c r="M17" s="27" t="s">
        <v>490</v>
      </c>
      <c r="N17" s="27" t="s">
        <v>74</v>
      </c>
      <c r="O17" s="27" t="s">
        <v>104</v>
      </c>
      <c r="P17" s="28" t="s">
        <v>158</v>
      </c>
    </row>
    <row r="18" spans="12:16" x14ac:dyDescent="0.25">
      <c r="L18" s="29" t="s">
        <v>500</v>
      </c>
      <c r="M18" s="30">
        <v>3</v>
      </c>
      <c r="N18" s="30">
        <v>8</v>
      </c>
      <c r="O18" s="30">
        <v>10</v>
      </c>
      <c r="P18" s="31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4"/>
  <sheetViews>
    <sheetView topLeftCell="AA1" workbookViewId="0">
      <selection activeCell="N49" sqref="N49"/>
    </sheetView>
  </sheetViews>
  <sheetFormatPr baseColWidth="10" defaultRowHeight="15" x14ac:dyDescent="0.25"/>
  <cols>
    <col min="1" max="1" width="26.7109375" customWidth="1"/>
    <col min="7" max="8" width="16.7109375" customWidth="1"/>
    <col min="23" max="23" width="22.42578125" customWidth="1"/>
    <col min="41" max="41" width="15.28515625" customWidth="1"/>
  </cols>
  <sheetData>
    <row r="1" spans="1:42" ht="15.75" x14ac:dyDescent="0.25">
      <c r="A1" s="1" t="s">
        <v>33</v>
      </c>
      <c r="B1" s="2" t="s">
        <v>0</v>
      </c>
      <c r="C1" s="2" t="s">
        <v>1</v>
      </c>
      <c r="D1" s="2" t="s">
        <v>2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332</v>
      </c>
      <c r="L1" s="1" t="s">
        <v>33</v>
      </c>
      <c r="M1" s="2" t="s">
        <v>0</v>
      </c>
      <c r="N1" s="2" t="s">
        <v>1</v>
      </c>
      <c r="O1" s="2" t="s">
        <v>2</v>
      </c>
      <c r="P1" s="2" t="s">
        <v>22</v>
      </c>
      <c r="Q1" s="2" t="s">
        <v>23</v>
      </c>
      <c r="R1" s="2" t="s">
        <v>24</v>
      </c>
      <c r="S1" t="s">
        <v>25</v>
      </c>
      <c r="T1" s="2" t="s">
        <v>332</v>
      </c>
      <c r="W1" s="1" t="s">
        <v>33</v>
      </c>
      <c r="X1" s="2" t="s">
        <v>0</v>
      </c>
      <c r="Y1" s="2" t="s">
        <v>1</v>
      </c>
      <c r="Z1" s="2" t="s">
        <v>2</v>
      </c>
      <c r="AA1" t="s">
        <v>22</v>
      </c>
      <c r="AB1" t="s">
        <v>23</v>
      </c>
      <c r="AC1" t="s">
        <v>24</v>
      </c>
      <c r="AD1" t="s">
        <v>25</v>
      </c>
      <c r="AE1" s="2" t="s">
        <v>332</v>
      </c>
      <c r="AH1" s="1" t="s">
        <v>33</v>
      </c>
      <c r="AI1" s="2" t="s">
        <v>0</v>
      </c>
      <c r="AJ1" s="2" t="s">
        <v>1</v>
      </c>
      <c r="AK1" s="2" t="s">
        <v>2</v>
      </c>
      <c r="AL1" t="s">
        <v>22</v>
      </c>
      <c r="AM1" t="s">
        <v>23</v>
      </c>
      <c r="AN1" t="s">
        <v>24</v>
      </c>
      <c r="AO1" t="s">
        <v>25</v>
      </c>
      <c r="AP1" s="2" t="s">
        <v>332</v>
      </c>
    </row>
    <row r="2" spans="1:42" ht="15.75" x14ac:dyDescent="0.25">
      <c r="A2" s="3" t="s">
        <v>6</v>
      </c>
      <c r="B2">
        <v>1</v>
      </c>
      <c r="C2">
        <v>1</v>
      </c>
      <c r="D2">
        <v>1</v>
      </c>
      <c r="E2" t="s">
        <v>290</v>
      </c>
      <c r="F2" t="s">
        <v>291</v>
      </c>
      <c r="G2">
        <v>1</v>
      </c>
      <c r="H2">
        <v>2583</v>
      </c>
      <c r="I2">
        <v>2583</v>
      </c>
      <c r="L2" s="3" t="s">
        <v>74</v>
      </c>
      <c r="M2">
        <v>1</v>
      </c>
      <c r="N2">
        <v>2</v>
      </c>
      <c r="O2">
        <v>1</v>
      </c>
      <c r="P2" t="s">
        <v>292</v>
      </c>
      <c r="Q2" t="s">
        <v>321</v>
      </c>
      <c r="R2">
        <v>1</v>
      </c>
      <c r="S2">
        <v>2014</v>
      </c>
      <c r="T2">
        <v>2014</v>
      </c>
      <c r="W2" s="3" t="s">
        <v>104</v>
      </c>
      <c r="X2">
        <v>2</v>
      </c>
      <c r="Y2">
        <v>3</v>
      </c>
      <c r="Z2">
        <v>1</v>
      </c>
      <c r="AA2" t="s">
        <v>290</v>
      </c>
      <c r="AB2" t="s">
        <v>333</v>
      </c>
      <c r="AC2">
        <v>1</v>
      </c>
      <c r="AD2">
        <v>3050</v>
      </c>
      <c r="AE2">
        <v>3050</v>
      </c>
      <c r="AH2" s="3" t="s">
        <v>158</v>
      </c>
      <c r="AI2">
        <v>2</v>
      </c>
      <c r="AJ2">
        <v>4</v>
      </c>
      <c r="AK2">
        <v>1</v>
      </c>
      <c r="AL2" t="s">
        <v>290</v>
      </c>
      <c r="AM2" t="s">
        <v>345</v>
      </c>
      <c r="AN2" s="5">
        <v>0</v>
      </c>
      <c r="AO2" s="5">
        <v>0</v>
      </c>
      <c r="AP2" s="5"/>
    </row>
    <row r="3" spans="1:42" ht="15.75" x14ac:dyDescent="0.25">
      <c r="A3" s="1" t="s">
        <v>21</v>
      </c>
      <c r="D3">
        <v>2</v>
      </c>
      <c r="E3" t="s">
        <v>292</v>
      </c>
      <c r="F3" t="s">
        <v>293</v>
      </c>
      <c r="G3">
        <v>1</v>
      </c>
      <c r="H3">
        <v>1811</v>
      </c>
      <c r="I3">
        <v>1811</v>
      </c>
      <c r="L3" s="1" t="s">
        <v>21</v>
      </c>
      <c r="O3">
        <v>2</v>
      </c>
      <c r="P3" t="s">
        <v>292</v>
      </c>
      <c r="Q3" t="s">
        <v>322</v>
      </c>
      <c r="R3">
        <v>1</v>
      </c>
      <c r="S3">
        <v>1564</v>
      </c>
      <c r="T3">
        <v>1564</v>
      </c>
      <c r="W3" s="1" t="s">
        <v>21</v>
      </c>
      <c r="Z3">
        <v>2</v>
      </c>
      <c r="AA3" t="s">
        <v>292</v>
      </c>
      <c r="AB3" t="s">
        <v>334</v>
      </c>
      <c r="AC3">
        <v>1</v>
      </c>
      <c r="AD3">
        <v>1459</v>
      </c>
      <c r="AE3">
        <v>1459</v>
      </c>
      <c r="AH3" s="1" t="s">
        <v>21</v>
      </c>
      <c r="AK3">
        <v>2</v>
      </c>
      <c r="AL3" t="s">
        <v>292</v>
      </c>
      <c r="AM3" t="s">
        <v>360</v>
      </c>
      <c r="AN3">
        <v>1</v>
      </c>
      <c r="AO3">
        <v>2433</v>
      </c>
      <c r="AP3">
        <v>2433</v>
      </c>
    </row>
    <row r="4" spans="1:42" ht="15.75" x14ac:dyDescent="0.25">
      <c r="A4" s="1" t="s">
        <v>72</v>
      </c>
      <c r="D4">
        <v>3</v>
      </c>
      <c r="E4" t="s">
        <v>290</v>
      </c>
      <c r="F4" t="s">
        <v>294</v>
      </c>
      <c r="G4">
        <v>1</v>
      </c>
      <c r="H4">
        <v>1740</v>
      </c>
      <c r="I4">
        <v>1740</v>
      </c>
      <c r="L4" s="1" t="s">
        <v>75</v>
      </c>
      <c r="O4">
        <v>3</v>
      </c>
      <c r="P4" t="s">
        <v>290</v>
      </c>
      <c r="Q4" t="s">
        <v>319</v>
      </c>
      <c r="R4">
        <v>1</v>
      </c>
      <c r="S4">
        <v>2443</v>
      </c>
      <c r="T4">
        <v>2443</v>
      </c>
      <c r="W4" s="1" t="s">
        <v>131</v>
      </c>
      <c r="Z4">
        <v>3</v>
      </c>
      <c r="AA4" t="s">
        <v>290</v>
      </c>
      <c r="AB4" t="s">
        <v>335</v>
      </c>
      <c r="AC4">
        <v>1</v>
      </c>
      <c r="AD4">
        <v>3616</v>
      </c>
      <c r="AE4">
        <v>3616</v>
      </c>
      <c r="AH4" s="1" t="s">
        <v>508</v>
      </c>
      <c r="AK4">
        <v>3</v>
      </c>
      <c r="AL4" t="s">
        <v>290</v>
      </c>
      <c r="AM4" t="s">
        <v>357</v>
      </c>
      <c r="AN4">
        <v>1</v>
      </c>
      <c r="AO4">
        <v>3108</v>
      </c>
      <c r="AP4">
        <v>3108</v>
      </c>
    </row>
    <row r="5" spans="1:42" ht="15.75" x14ac:dyDescent="0.25">
      <c r="A5" s="1" t="s">
        <v>35</v>
      </c>
      <c r="D5">
        <v>4</v>
      </c>
      <c r="E5" t="s">
        <v>290</v>
      </c>
      <c r="F5" t="s">
        <v>295</v>
      </c>
      <c r="G5">
        <v>1</v>
      </c>
      <c r="H5">
        <v>1605</v>
      </c>
      <c r="I5">
        <v>1605</v>
      </c>
      <c r="L5" s="1" t="s">
        <v>35</v>
      </c>
      <c r="O5">
        <v>4</v>
      </c>
      <c r="P5" s="11" t="s">
        <v>292</v>
      </c>
      <c r="Q5" s="11" t="s">
        <v>306</v>
      </c>
      <c r="R5" s="5">
        <v>0</v>
      </c>
      <c r="S5" s="5">
        <v>1495</v>
      </c>
      <c r="T5" s="5"/>
      <c r="W5" s="1" t="s">
        <v>35</v>
      </c>
      <c r="Z5">
        <v>4</v>
      </c>
      <c r="AA5" t="s">
        <v>292</v>
      </c>
      <c r="AB5" t="s">
        <v>336</v>
      </c>
      <c r="AC5">
        <v>1</v>
      </c>
      <c r="AD5">
        <v>1753</v>
      </c>
      <c r="AE5">
        <v>1753</v>
      </c>
      <c r="AH5" s="1" t="s">
        <v>35</v>
      </c>
      <c r="AK5">
        <v>4</v>
      </c>
      <c r="AL5" t="s">
        <v>290</v>
      </c>
      <c r="AM5" t="s">
        <v>353</v>
      </c>
      <c r="AN5">
        <v>1</v>
      </c>
      <c r="AO5">
        <v>2354</v>
      </c>
      <c r="AP5">
        <v>2354</v>
      </c>
    </row>
    <row r="6" spans="1:42" x14ac:dyDescent="0.25">
      <c r="D6">
        <v>5</v>
      </c>
      <c r="E6" t="s">
        <v>292</v>
      </c>
      <c r="F6" t="s">
        <v>296</v>
      </c>
      <c r="G6">
        <v>1</v>
      </c>
      <c r="H6">
        <v>1408</v>
      </c>
      <c r="I6">
        <v>1408</v>
      </c>
      <c r="O6">
        <v>5</v>
      </c>
      <c r="P6" t="s">
        <v>290</v>
      </c>
      <c r="Q6" t="s">
        <v>300</v>
      </c>
      <c r="R6">
        <v>1</v>
      </c>
      <c r="S6">
        <v>1723</v>
      </c>
      <c r="T6">
        <v>1723</v>
      </c>
      <c r="Z6">
        <v>5</v>
      </c>
      <c r="AA6" t="s">
        <v>290</v>
      </c>
      <c r="AB6" t="s">
        <v>337</v>
      </c>
      <c r="AC6">
        <v>1</v>
      </c>
      <c r="AD6">
        <v>1983</v>
      </c>
      <c r="AE6">
        <v>1983</v>
      </c>
      <c r="AK6">
        <v>5</v>
      </c>
      <c r="AL6" t="s">
        <v>292</v>
      </c>
      <c r="AM6" t="s">
        <v>342</v>
      </c>
      <c r="AN6">
        <v>1</v>
      </c>
      <c r="AO6">
        <v>2379</v>
      </c>
      <c r="AP6">
        <v>2379</v>
      </c>
    </row>
    <row r="7" spans="1:42" x14ac:dyDescent="0.25">
      <c r="D7">
        <v>6</v>
      </c>
      <c r="E7" t="s">
        <v>290</v>
      </c>
      <c r="F7" t="s">
        <v>297</v>
      </c>
      <c r="G7">
        <v>1</v>
      </c>
      <c r="H7">
        <v>2291</v>
      </c>
      <c r="I7">
        <v>2291</v>
      </c>
      <c r="O7">
        <v>6</v>
      </c>
      <c r="P7" t="s">
        <v>290</v>
      </c>
      <c r="Q7" t="s">
        <v>297</v>
      </c>
      <c r="R7">
        <v>1</v>
      </c>
      <c r="S7">
        <v>2191</v>
      </c>
      <c r="T7">
        <v>2191</v>
      </c>
      <c r="Z7">
        <v>6</v>
      </c>
      <c r="AA7" t="s">
        <v>292</v>
      </c>
      <c r="AB7" t="s">
        <v>338</v>
      </c>
      <c r="AC7">
        <v>1</v>
      </c>
      <c r="AD7">
        <v>1883</v>
      </c>
      <c r="AE7">
        <v>1883</v>
      </c>
      <c r="AK7">
        <v>6</v>
      </c>
      <c r="AL7" t="s">
        <v>292</v>
      </c>
      <c r="AM7" t="s">
        <v>366</v>
      </c>
      <c r="AN7">
        <v>1</v>
      </c>
      <c r="AO7">
        <v>1837</v>
      </c>
      <c r="AP7">
        <v>1837</v>
      </c>
    </row>
    <row r="8" spans="1:42" x14ac:dyDescent="0.25">
      <c r="D8">
        <v>7</v>
      </c>
      <c r="E8" t="s">
        <v>290</v>
      </c>
      <c r="F8" t="s">
        <v>298</v>
      </c>
      <c r="G8">
        <v>1</v>
      </c>
      <c r="H8">
        <v>1997</v>
      </c>
      <c r="I8">
        <v>1997</v>
      </c>
      <c r="O8">
        <v>7</v>
      </c>
      <c r="P8" s="11" t="s">
        <v>292</v>
      </c>
      <c r="Q8" s="11" t="s">
        <v>310</v>
      </c>
      <c r="R8" s="5">
        <v>0</v>
      </c>
      <c r="S8" s="5">
        <v>2376</v>
      </c>
      <c r="T8" s="5"/>
      <c r="Z8">
        <v>7</v>
      </c>
      <c r="AA8" t="s">
        <v>292</v>
      </c>
      <c r="AB8" t="s">
        <v>339</v>
      </c>
      <c r="AC8">
        <v>1</v>
      </c>
      <c r="AD8">
        <v>1736</v>
      </c>
      <c r="AE8">
        <v>1736</v>
      </c>
      <c r="AK8">
        <v>7</v>
      </c>
      <c r="AL8" t="s">
        <v>292</v>
      </c>
      <c r="AM8" t="s">
        <v>352</v>
      </c>
      <c r="AN8">
        <v>1</v>
      </c>
      <c r="AO8">
        <v>1500</v>
      </c>
      <c r="AP8">
        <v>1500</v>
      </c>
    </row>
    <row r="9" spans="1:42" x14ac:dyDescent="0.25">
      <c r="D9">
        <v>8</v>
      </c>
      <c r="E9" t="s">
        <v>290</v>
      </c>
      <c r="F9" t="s">
        <v>299</v>
      </c>
      <c r="G9">
        <v>1</v>
      </c>
      <c r="H9">
        <v>2982</v>
      </c>
      <c r="I9">
        <v>2982</v>
      </c>
      <c r="O9">
        <v>8</v>
      </c>
      <c r="P9" t="s">
        <v>290</v>
      </c>
      <c r="Q9" t="s">
        <v>325</v>
      </c>
      <c r="R9">
        <v>1</v>
      </c>
      <c r="S9">
        <v>1883</v>
      </c>
      <c r="T9">
        <v>1883</v>
      </c>
      <c r="Z9">
        <v>8</v>
      </c>
      <c r="AA9" t="s">
        <v>292</v>
      </c>
      <c r="AB9" t="s">
        <v>340</v>
      </c>
      <c r="AC9">
        <v>1</v>
      </c>
      <c r="AD9">
        <v>1397</v>
      </c>
      <c r="AE9">
        <v>1397</v>
      </c>
      <c r="AK9">
        <v>8</v>
      </c>
      <c r="AL9" t="s">
        <v>290</v>
      </c>
      <c r="AM9" t="s">
        <v>356</v>
      </c>
      <c r="AN9">
        <v>1</v>
      </c>
      <c r="AO9">
        <v>2751</v>
      </c>
      <c r="AP9">
        <v>2751</v>
      </c>
    </row>
    <row r="10" spans="1:42" x14ac:dyDescent="0.25">
      <c r="D10">
        <v>9</v>
      </c>
      <c r="E10" t="s">
        <v>290</v>
      </c>
      <c r="F10" t="s">
        <v>300</v>
      </c>
      <c r="G10">
        <v>1</v>
      </c>
      <c r="H10">
        <v>2007</v>
      </c>
      <c r="I10">
        <v>2007</v>
      </c>
      <c r="O10">
        <v>9</v>
      </c>
      <c r="P10" t="s">
        <v>290</v>
      </c>
      <c r="Q10" t="s">
        <v>291</v>
      </c>
      <c r="R10">
        <v>1</v>
      </c>
      <c r="S10">
        <v>1500</v>
      </c>
      <c r="T10">
        <v>1500</v>
      </c>
      <c r="Z10">
        <v>9</v>
      </c>
      <c r="AA10" t="s">
        <v>290</v>
      </c>
      <c r="AB10" t="s">
        <v>341</v>
      </c>
      <c r="AC10">
        <v>1</v>
      </c>
      <c r="AD10">
        <v>1700</v>
      </c>
      <c r="AE10">
        <v>1700</v>
      </c>
      <c r="AK10">
        <v>9</v>
      </c>
      <c r="AL10" t="s">
        <v>290</v>
      </c>
      <c r="AM10" t="s">
        <v>341</v>
      </c>
      <c r="AN10">
        <v>1</v>
      </c>
      <c r="AO10">
        <v>3631</v>
      </c>
      <c r="AP10">
        <v>3631</v>
      </c>
    </row>
    <row r="11" spans="1:42" x14ac:dyDescent="0.25">
      <c r="D11">
        <v>10</v>
      </c>
      <c r="E11" t="s">
        <v>292</v>
      </c>
      <c r="F11" t="s">
        <v>301</v>
      </c>
      <c r="G11">
        <v>1</v>
      </c>
      <c r="H11">
        <v>1638</v>
      </c>
      <c r="I11">
        <v>1638</v>
      </c>
      <c r="O11">
        <v>10</v>
      </c>
      <c r="P11" t="s">
        <v>292</v>
      </c>
      <c r="Q11" t="s">
        <v>302</v>
      </c>
      <c r="R11">
        <v>1</v>
      </c>
      <c r="S11">
        <v>941</v>
      </c>
      <c r="T11">
        <v>941</v>
      </c>
      <c r="Z11">
        <v>10</v>
      </c>
      <c r="AA11" t="s">
        <v>292</v>
      </c>
      <c r="AB11" t="s">
        <v>342</v>
      </c>
      <c r="AC11">
        <v>1</v>
      </c>
      <c r="AD11">
        <v>2193</v>
      </c>
      <c r="AE11">
        <v>2193</v>
      </c>
      <c r="AK11">
        <v>10</v>
      </c>
      <c r="AL11" t="s">
        <v>292</v>
      </c>
      <c r="AM11" t="s">
        <v>338</v>
      </c>
      <c r="AN11">
        <v>1</v>
      </c>
      <c r="AO11">
        <v>1155</v>
      </c>
      <c r="AP11">
        <v>1155</v>
      </c>
    </row>
    <row r="12" spans="1:42" x14ac:dyDescent="0.25">
      <c r="D12">
        <v>11</v>
      </c>
      <c r="E12" t="s">
        <v>292</v>
      </c>
      <c r="F12" t="s">
        <v>302</v>
      </c>
      <c r="G12">
        <v>1</v>
      </c>
      <c r="H12">
        <v>1016</v>
      </c>
      <c r="I12">
        <v>1016</v>
      </c>
      <c r="O12">
        <v>11</v>
      </c>
      <c r="P12" t="s">
        <v>292</v>
      </c>
      <c r="Q12" t="s">
        <v>318</v>
      </c>
      <c r="R12">
        <v>1</v>
      </c>
      <c r="S12">
        <v>1263</v>
      </c>
      <c r="T12">
        <v>1263</v>
      </c>
      <c r="Z12">
        <v>11</v>
      </c>
      <c r="AA12" t="s">
        <v>290</v>
      </c>
      <c r="AB12" t="s">
        <v>343</v>
      </c>
      <c r="AC12">
        <v>1</v>
      </c>
      <c r="AD12">
        <v>1991</v>
      </c>
      <c r="AE12">
        <v>1991</v>
      </c>
      <c r="AK12">
        <v>11</v>
      </c>
      <c r="AL12" t="s">
        <v>292</v>
      </c>
      <c r="AM12" t="s">
        <v>372</v>
      </c>
      <c r="AN12">
        <v>1</v>
      </c>
      <c r="AO12">
        <v>1147</v>
      </c>
      <c r="AP12">
        <v>1147</v>
      </c>
    </row>
    <row r="13" spans="1:42" x14ac:dyDescent="0.25">
      <c r="D13">
        <v>12</v>
      </c>
      <c r="E13" t="s">
        <v>292</v>
      </c>
      <c r="F13" t="s">
        <v>303</v>
      </c>
      <c r="G13">
        <v>1</v>
      </c>
      <c r="H13">
        <v>1745</v>
      </c>
      <c r="I13">
        <v>1745</v>
      </c>
      <c r="O13">
        <v>12</v>
      </c>
      <c r="P13" t="s">
        <v>290</v>
      </c>
      <c r="Q13" t="s">
        <v>294</v>
      </c>
      <c r="R13">
        <v>1</v>
      </c>
      <c r="S13">
        <v>2704</v>
      </c>
      <c r="T13">
        <v>2704</v>
      </c>
      <c r="Z13">
        <v>12</v>
      </c>
      <c r="AA13" t="s">
        <v>292</v>
      </c>
      <c r="AB13" t="s">
        <v>344</v>
      </c>
      <c r="AC13">
        <v>1</v>
      </c>
      <c r="AD13">
        <v>1500</v>
      </c>
      <c r="AE13">
        <v>1500</v>
      </c>
      <c r="AK13">
        <v>12</v>
      </c>
      <c r="AL13" t="s">
        <v>292</v>
      </c>
      <c r="AM13" t="s">
        <v>334</v>
      </c>
      <c r="AN13">
        <v>1</v>
      </c>
      <c r="AO13">
        <v>989</v>
      </c>
      <c r="AP13">
        <v>989</v>
      </c>
    </row>
    <row r="14" spans="1:42" x14ac:dyDescent="0.25">
      <c r="D14">
        <v>13</v>
      </c>
      <c r="E14" t="s">
        <v>292</v>
      </c>
      <c r="F14" t="s">
        <v>304</v>
      </c>
      <c r="G14">
        <v>1</v>
      </c>
      <c r="H14">
        <v>1677</v>
      </c>
      <c r="I14">
        <v>1677</v>
      </c>
      <c r="O14">
        <v>13</v>
      </c>
      <c r="P14" t="s">
        <v>290</v>
      </c>
      <c r="Q14" t="s">
        <v>330</v>
      </c>
      <c r="R14">
        <v>1</v>
      </c>
      <c r="S14">
        <v>2092</v>
      </c>
      <c r="T14">
        <v>2092</v>
      </c>
      <c r="Z14">
        <v>13</v>
      </c>
      <c r="AA14" t="s">
        <v>290</v>
      </c>
      <c r="AB14" t="s">
        <v>345</v>
      </c>
      <c r="AC14">
        <v>1</v>
      </c>
      <c r="AD14">
        <v>1638</v>
      </c>
      <c r="AE14">
        <v>1638</v>
      </c>
      <c r="AK14">
        <v>13</v>
      </c>
      <c r="AL14" t="s">
        <v>292</v>
      </c>
      <c r="AM14" t="s">
        <v>358</v>
      </c>
      <c r="AN14">
        <v>1</v>
      </c>
      <c r="AO14">
        <v>3358</v>
      </c>
      <c r="AP14">
        <v>3358</v>
      </c>
    </row>
    <row r="15" spans="1:42" x14ac:dyDescent="0.25">
      <c r="D15">
        <v>14</v>
      </c>
      <c r="E15" t="s">
        <v>292</v>
      </c>
      <c r="F15" t="s">
        <v>305</v>
      </c>
      <c r="G15">
        <v>1</v>
      </c>
      <c r="H15">
        <v>1315</v>
      </c>
      <c r="I15">
        <v>1315</v>
      </c>
      <c r="O15">
        <v>14</v>
      </c>
      <c r="P15" t="s">
        <v>290</v>
      </c>
      <c r="Q15" t="s">
        <v>320</v>
      </c>
      <c r="R15">
        <v>1</v>
      </c>
      <c r="S15">
        <v>2341</v>
      </c>
      <c r="T15">
        <v>2341</v>
      </c>
      <c r="Z15">
        <v>14</v>
      </c>
      <c r="AA15" t="s">
        <v>292</v>
      </c>
      <c r="AB15" t="s">
        <v>346</v>
      </c>
      <c r="AC15">
        <v>1</v>
      </c>
      <c r="AD15">
        <v>2214</v>
      </c>
      <c r="AE15">
        <v>2214</v>
      </c>
      <c r="AK15">
        <v>14</v>
      </c>
      <c r="AL15" t="s">
        <v>292</v>
      </c>
      <c r="AM15" t="s">
        <v>340</v>
      </c>
      <c r="AN15">
        <v>1</v>
      </c>
      <c r="AO15">
        <v>1084</v>
      </c>
      <c r="AP15">
        <v>1084</v>
      </c>
    </row>
    <row r="16" spans="1:42" x14ac:dyDescent="0.25">
      <c r="D16">
        <v>15</v>
      </c>
      <c r="E16" t="s">
        <v>292</v>
      </c>
      <c r="F16" t="s">
        <v>306</v>
      </c>
      <c r="G16">
        <v>1</v>
      </c>
      <c r="H16">
        <v>1972</v>
      </c>
      <c r="I16">
        <v>1972</v>
      </c>
      <c r="O16">
        <v>15</v>
      </c>
      <c r="P16" t="s">
        <v>292</v>
      </c>
      <c r="Q16" t="s">
        <v>301</v>
      </c>
      <c r="R16">
        <v>1</v>
      </c>
      <c r="S16">
        <v>2210</v>
      </c>
      <c r="T16">
        <v>2210</v>
      </c>
      <c r="Z16">
        <v>15</v>
      </c>
      <c r="AA16" t="s">
        <v>290</v>
      </c>
      <c r="AB16" t="s">
        <v>347</v>
      </c>
      <c r="AC16">
        <v>1</v>
      </c>
      <c r="AD16">
        <v>1506</v>
      </c>
      <c r="AE16">
        <v>1506</v>
      </c>
      <c r="AK16">
        <v>15</v>
      </c>
      <c r="AL16" t="s">
        <v>292</v>
      </c>
      <c r="AM16" t="s">
        <v>336</v>
      </c>
      <c r="AN16">
        <v>1</v>
      </c>
      <c r="AO16">
        <v>1058</v>
      </c>
      <c r="AP16">
        <v>1058</v>
      </c>
    </row>
    <row r="17" spans="4:42" x14ac:dyDescent="0.25">
      <c r="D17">
        <v>16</v>
      </c>
      <c r="E17" t="s">
        <v>290</v>
      </c>
      <c r="F17" t="s">
        <v>307</v>
      </c>
      <c r="G17">
        <v>1</v>
      </c>
      <c r="H17">
        <v>1914</v>
      </c>
      <c r="I17">
        <v>1914</v>
      </c>
      <c r="O17">
        <v>16</v>
      </c>
      <c r="P17" t="s">
        <v>290</v>
      </c>
      <c r="Q17" t="s">
        <v>326</v>
      </c>
      <c r="R17">
        <v>1</v>
      </c>
      <c r="S17">
        <v>1817</v>
      </c>
      <c r="T17">
        <v>1817</v>
      </c>
      <c r="Z17">
        <v>16</v>
      </c>
      <c r="AA17" t="s">
        <v>292</v>
      </c>
      <c r="AB17" t="s">
        <v>348</v>
      </c>
      <c r="AC17">
        <v>1</v>
      </c>
      <c r="AD17">
        <v>1497</v>
      </c>
      <c r="AE17">
        <v>1497</v>
      </c>
      <c r="AK17">
        <v>16</v>
      </c>
      <c r="AL17" t="s">
        <v>292</v>
      </c>
      <c r="AM17" t="s">
        <v>355</v>
      </c>
      <c r="AN17">
        <v>1</v>
      </c>
      <c r="AO17">
        <v>1863</v>
      </c>
      <c r="AP17">
        <v>1863</v>
      </c>
    </row>
    <row r="18" spans="4:42" x14ac:dyDescent="0.25">
      <c r="D18">
        <v>17</v>
      </c>
      <c r="E18" t="s">
        <v>290</v>
      </c>
      <c r="F18" t="s">
        <v>308</v>
      </c>
      <c r="G18">
        <v>1</v>
      </c>
      <c r="H18">
        <v>2003</v>
      </c>
      <c r="I18">
        <v>2003</v>
      </c>
      <c r="O18">
        <v>17</v>
      </c>
      <c r="P18" s="11" t="s">
        <v>292</v>
      </c>
      <c r="Q18" s="11" t="s">
        <v>316</v>
      </c>
      <c r="R18" s="5">
        <v>0</v>
      </c>
      <c r="S18" s="5">
        <v>2480</v>
      </c>
      <c r="T18" s="5"/>
      <c r="Z18">
        <v>17</v>
      </c>
      <c r="AA18" t="s">
        <v>290</v>
      </c>
      <c r="AB18" t="s">
        <v>349</v>
      </c>
      <c r="AC18">
        <v>1</v>
      </c>
      <c r="AD18">
        <v>1571</v>
      </c>
      <c r="AE18">
        <v>1571</v>
      </c>
      <c r="AK18">
        <v>17</v>
      </c>
      <c r="AL18" t="s">
        <v>292</v>
      </c>
      <c r="AM18" t="s">
        <v>348</v>
      </c>
      <c r="AN18">
        <v>1</v>
      </c>
      <c r="AO18">
        <v>1998</v>
      </c>
      <c r="AP18">
        <v>1998</v>
      </c>
    </row>
    <row r="19" spans="4:42" x14ac:dyDescent="0.25">
      <c r="D19">
        <v>18</v>
      </c>
      <c r="E19" t="s">
        <v>292</v>
      </c>
      <c r="F19" t="s">
        <v>309</v>
      </c>
      <c r="G19">
        <v>1</v>
      </c>
      <c r="H19">
        <v>1392</v>
      </c>
      <c r="I19">
        <v>1392</v>
      </c>
      <c r="O19">
        <v>18</v>
      </c>
      <c r="P19" s="11" t="s">
        <v>292</v>
      </c>
      <c r="Q19" s="11" t="s">
        <v>311</v>
      </c>
      <c r="R19" s="5">
        <v>0</v>
      </c>
      <c r="S19" s="5">
        <v>1563</v>
      </c>
      <c r="T19" s="5"/>
      <c r="Z19">
        <v>18</v>
      </c>
      <c r="AA19" t="s">
        <v>290</v>
      </c>
      <c r="AB19" t="s">
        <v>350</v>
      </c>
      <c r="AC19">
        <v>1</v>
      </c>
      <c r="AD19">
        <v>1823</v>
      </c>
      <c r="AE19">
        <v>1823</v>
      </c>
      <c r="AK19">
        <v>18</v>
      </c>
      <c r="AL19" t="s">
        <v>290</v>
      </c>
      <c r="AM19" t="s">
        <v>367</v>
      </c>
      <c r="AN19">
        <v>1</v>
      </c>
      <c r="AO19">
        <v>1154</v>
      </c>
      <c r="AP19">
        <v>1154</v>
      </c>
    </row>
    <row r="20" spans="4:42" x14ac:dyDescent="0.25">
      <c r="D20">
        <v>19</v>
      </c>
      <c r="E20" t="s">
        <v>292</v>
      </c>
      <c r="F20" t="s">
        <v>310</v>
      </c>
      <c r="G20">
        <v>1</v>
      </c>
      <c r="H20">
        <v>4085</v>
      </c>
      <c r="I20">
        <v>4085</v>
      </c>
      <c r="O20">
        <v>19</v>
      </c>
      <c r="P20" t="s">
        <v>290</v>
      </c>
      <c r="Q20" t="s">
        <v>299</v>
      </c>
      <c r="R20">
        <v>1</v>
      </c>
      <c r="S20">
        <v>1953</v>
      </c>
      <c r="T20">
        <v>1953</v>
      </c>
      <c r="Z20">
        <v>19</v>
      </c>
      <c r="AA20" t="s">
        <v>290</v>
      </c>
      <c r="AB20" t="s">
        <v>351</v>
      </c>
      <c r="AC20">
        <v>1</v>
      </c>
      <c r="AD20">
        <v>1465</v>
      </c>
      <c r="AE20">
        <v>1465</v>
      </c>
      <c r="AK20">
        <v>19</v>
      </c>
      <c r="AL20" t="s">
        <v>292</v>
      </c>
      <c r="AM20" t="s">
        <v>354</v>
      </c>
      <c r="AN20">
        <v>1</v>
      </c>
      <c r="AO20">
        <v>1794</v>
      </c>
      <c r="AP20">
        <v>1794</v>
      </c>
    </row>
    <row r="21" spans="4:42" x14ac:dyDescent="0.25">
      <c r="D21">
        <v>20</v>
      </c>
      <c r="E21" t="s">
        <v>292</v>
      </c>
      <c r="F21" t="s">
        <v>311</v>
      </c>
      <c r="G21" s="5">
        <v>0</v>
      </c>
      <c r="H21" s="5">
        <v>1632</v>
      </c>
      <c r="I21" s="5"/>
      <c r="O21">
        <v>20</v>
      </c>
      <c r="P21" t="s">
        <v>292</v>
      </c>
      <c r="Q21" t="s">
        <v>305</v>
      </c>
      <c r="R21">
        <v>1</v>
      </c>
      <c r="S21">
        <v>945</v>
      </c>
      <c r="T21">
        <v>945</v>
      </c>
      <c r="Z21">
        <v>20</v>
      </c>
      <c r="AA21" t="s">
        <v>292</v>
      </c>
      <c r="AB21" t="s">
        <v>352</v>
      </c>
      <c r="AC21">
        <v>1</v>
      </c>
      <c r="AD21">
        <v>2969</v>
      </c>
      <c r="AE21">
        <v>2969</v>
      </c>
      <c r="AK21">
        <v>20</v>
      </c>
      <c r="AL21" t="s">
        <v>290</v>
      </c>
      <c r="AM21" t="s">
        <v>337</v>
      </c>
      <c r="AN21">
        <v>1</v>
      </c>
      <c r="AO21">
        <v>1345</v>
      </c>
      <c r="AP21">
        <v>1345</v>
      </c>
    </row>
    <row r="22" spans="4:42" x14ac:dyDescent="0.25">
      <c r="D22">
        <v>21</v>
      </c>
      <c r="E22" t="s">
        <v>292</v>
      </c>
      <c r="F22" t="s">
        <v>312</v>
      </c>
      <c r="G22">
        <v>1</v>
      </c>
      <c r="H22">
        <v>1549</v>
      </c>
      <c r="I22">
        <v>1549</v>
      </c>
      <c r="O22">
        <v>21</v>
      </c>
      <c r="P22" t="s">
        <v>292</v>
      </c>
      <c r="Q22" t="s">
        <v>296</v>
      </c>
      <c r="R22">
        <v>1</v>
      </c>
      <c r="S22">
        <v>1166</v>
      </c>
      <c r="T22">
        <v>1166</v>
      </c>
      <c r="Z22">
        <v>21</v>
      </c>
      <c r="AA22" t="s">
        <v>290</v>
      </c>
      <c r="AB22" t="s">
        <v>353</v>
      </c>
      <c r="AC22">
        <v>1</v>
      </c>
      <c r="AD22">
        <v>2605</v>
      </c>
      <c r="AE22">
        <v>2605</v>
      </c>
      <c r="AK22">
        <v>21</v>
      </c>
      <c r="AL22" t="s">
        <v>292</v>
      </c>
      <c r="AM22" t="s">
        <v>346</v>
      </c>
      <c r="AN22">
        <v>1</v>
      </c>
      <c r="AO22">
        <v>2160</v>
      </c>
      <c r="AP22">
        <v>2160</v>
      </c>
    </row>
    <row r="23" spans="4:42" x14ac:dyDescent="0.25">
      <c r="D23">
        <v>22</v>
      </c>
      <c r="E23" t="s">
        <v>290</v>
      </c>
      <c r="F23" t="s">
        <v>313</v>
      </c>
      <c r="G23">
        <v>1</v>
      </c>
      <c r="H23">
        <v>2397</v>
      </c>
      <c r="I23">
        <v>2397</v>
      </c>
      <c r="O23">
        <v>22</v>
      </c>
      <c r="P23" t="s">
        <v>292</v>
      </c>
      <c r="Q23" t="s">
        <v>304</v>
      </c>
      <c r="R23">
        <v>1</v>
      </c>
      <c r="S23">
        <v>1402</v>
      </c>
      <c r="T23">
        <v>1402</v>
      </c>
      <c r="Z23">
        <v>22</v>
      </c>
      <c r="AA23" t="s">
        <v>292</v>
      </c>
      <c r="AB23" t="s">
        <v>354</v>
      </c>
      <c r="AC23">
        <v>1</v>
      </c>
      <c r="AD23">
        <v>1693</v>
      </c>
      <c r="AE23">
        <v>1693</v>
      </c>
      <c r="AK23">
        <v>22</v>
      </c>
      <c r="AL23" t="s">
        <v>290</v>
      </c>
      <c r="AM23" t="s">
        <v>364</v>
      </c>
      <c r="AN23">
        <v>1</v>
      </c>
      <c r="AO23">
        <v>2420</v>
      </c>
      <c r="AP23">
        <v>2420</v>
      </c>
    </row>
    <row r="24" spans="4:42" x14ac:dyDescent="0.25">
      <c r="D24">
        <v>23</v>
      </c>
      <c r="E24" t="s">
        <v>292</v>
      </c>
      <c r="F24" t="s">
        <v>314</v>
      </c>
      <c r="G24">
        <v>1</v>
      </c>
      <c r="H24">
        <v>1642</v>
      </c>
      <c r="I24">
        <v>1642</v>
      </c>
      <c r="O24">
        <v>23</v>
      </c>
      <c r="P24" s="12" t="s">
        <v>290</v>
      </c>
      <c r="Q24" s="12" t="s">
        <v>324</v>
      </c>
      <c r="R24" s="5">
        <v>0</v>
      </c>
      <c r="S24" s="5">
        <v>0</v>
      </c>
      <c r="T24" s="5"/>
      <c r="Z24">
        <v>23</v>
      </c>
      <c r="AA24" t="s">
        <v>292</v>
      </c>
      <c r="AB24" t="s">
        <v>355</v>
      </c>
      <c r="AC24">
        <v>1</v>
      </c>
      <c r="AD24">
        <v>1502</v>
      </c>
      <c r="AE24">
        <v>1502</v>
      </c>
      <c r="AK24">
        <v>23</v>
      </c>
      <c r="AL24" t="s">
        <v>290</v>
      </c>
      <c r="AM24" t="s">
        <v>333</v>
      </c>
      <c r="AN24">
        <v>1</v>
      </c>
      <c r="AO24">
        <v>2786</v>
      </c>
      <c r="AP24">
        <v>2786</v>
      </c>
    </row>
    <row r="25" spans="4:42" x14ac:dyDescent="0.25">
      <c r="D25">
        <v>24</v>
      </c>
      <c r="E25" t="s">
        <v>290</v>
      </c>
      <c r="F25" t="s">
        <v>315</v>
      </c>
      <c r="G25">
        <v>1</v>
      </c>
      <c r="H25">
        <v>1605</v>
      </c>
      <c r="I25">
        <v>1605</v>
      </c>
      <c r="O25">
        <v>24</v>
      </c>
      <c r="P25" s="11" t="s">
        <v>292</v>
      </c>
      <c r="Q25" s="11" t="s">
        <v>293</v>
      </c>
      <c r="R25" s="5">
        <v>0</v>
      </c>
      <c r="S25" s="5">
        <v>1818</v>
      </c>
      <c r="T25" s="5"/>
      <c r="Z25">
        <v>24</v>
      </c>
      <c r="AA25" t="s">
        <v>290</v>
      </c>
      <c r="AB25" t="s">
        <v>356</v>
      </c>
      <c r="AC25">
        <v>1</v>
      </c>
      <c r="AD25">
        <v>1591</v>
      </c>
      <c r="AE25">
        <v>1591</v>
      </c>
      <c r="AK25">
        <v>24</v>
      </c>
      <c r="AL25" t="s">
        <v>292</v>
      </c>
      <c r="AM25" t="s">
        <v>344</v>
      </c>
      <c r="AN25">
        <v>1</v>
      </c>
      <c r="AO25">
        <v>2315</v>
      </c>
      <c r="AP25">
        <v>2315</v>
      </c>
    </row>
    <row r="26" spans="4:42" x14ac:dyDescent="0.25">
      <c r="D26">
        <v>25</v>
      </c>
      <c r="E26" t="s">
        <v>292</v>
      </c>
      <c r="F26" t="s">
        <v>316</v>
      </c>
      <c r="G26">
        <v>1</v>
      </c>
      <c r="H26">
        <v>2713</v>
      </c>
      <c r="I26">
        <v>2713</v>
      </c>
      <c r="O26">
        <v>25</v>
      </c>
      <c r="P26" s="11" t="s">
        <v>292</v>
      </c>
      <c r="Q26" s="11" t="s">
        <v>329</v>
      </c>
      <c r="R26" s="5">
        <v>0</v>
      </c>
      <c r="S26" s="5">
        <v>2583</v>
      </c>
      <c r="T26" s="5"/>
      <c r="Z26">
        <v>25</v>
      </c>
      <c r="AA26" t="s">
        <v>290</v>
      </c>
      <c r="AB26" t="s">
        <v>357</v>
      </c>
      <c r="AC26">
        <v>1</v>
      </c>
      <c r="AD26">
        <v>1924</v>
      </c>
      <c r="AE26">
        <v>1924</v>
      </c>
      <c r="AK26">
        <v>25</v>
      </c>
      <c r="AL26" t="s">
        <v>292</v>
      </c>
      <c r="AM26" t="s">
        <v>365</v>
      </c>
      <c r="AN26" s="5">
        <v>0</v>
      </c>
      <c r="AO26" s="5">
        <v>3204</v>
      </c>
      <c r="AP26" s="5"/>
    </row>
    <row r="27" spans="4:42" x14ac:dyDescent="0.25">
      <c r="D27">
        <v>26</v>
      </c>
      <c r="E27" t="s">
        <v>290</v>
      </c>
      <c r="F27" t="s">
        <v>317</v>
      </c>
      <c r="G27">
        <v>1</v>
      </c>
      <c r="H27">
        <v>1612</v>
      </c>
      <c r="I27">
        <v>1612</v>
      </c>
      <c r="O27">
        <v>26</v>
      </c>
      <c r="P27" t="s">
        <v>290</v>
      </c>
      <c r="Q27" t="s">
        <v>313</v>
      </c>
      <c r="R27">
        <v>1</v>
      </c>
      <c r="S27">
        <v>3398</v>
      </c>
      <c r="T27">
        <v>3398</v>
      </c>
      <c r="Z27">
        <v>26</v>
      </c>
      <c r="AA27" t="s">
        <v>292</v>
      </c>
      <c r="AB27" t="s">
        <v>358</v>
      </c>
      <c r="AC27" s="5">
        <v>0</v>
      </c>
      <c r="AD27" s="5">
        <v>3062</v>
      </c>
      <c r="AE27" s="5"/>
      <c r="AK27">
        <v>26</v>
      </c>
      <c r="AL27" t="s">
        <v>292</v>
      </c>
      <c r="AM27" t="s">
        <v>361</v>
      </c>
      <c r="AN27">
        <v>1</v>
      </c>
      <c r="AO27">
        <v>1894</v>
      </c>
      <c r="AP27">
        <v>1894</v>
      </c>
    </row>
    <row r="28" spans="4:42" x14ac:dyDescent="0.25">
      <c r="D28">
        <v>27</v>
      </c>
      <c r="E28" t="s">
        <v>292</v>
      </c>
      <c r="F28" t="s">
        <v>318</v>
      </c>
      <c r="G28">
        <v>1</v>
      </c>
      <c r="H28">
        <v>1935</v>
      </c>
      <c r="I28">
        <v>1935</v>
      </c>
      <c r="O28">
        <v>27</v>
      </c>
      <c r="P28" s="11" t="s">
        <v>292</v>
      </c>
      <c r="Q28" s="11" t="s">
        <v>303</v>
      </c>
      <c r="R28" s="5">
        <v>0</v>
      </c>
      <c r="S28" s="5">
        <v>1892</v>
      </c>
      <c r="T28" s="5"/>
      <c r="Z28">
        <v>27</v>
      </c>
      <c r="AA28" t="s">
        <v>290</v>
      </c>
      <c r="AB28" t="s">
        <v>359</v>
      </c>
      <c r="AC28">
        <v>1</v>
      </c>
      <c r="AD28">
        <v>1957</v>
      </c>
      <c r="AE28">
        <v>1957</v>
      </c>
      <c r="AK28">
        <v>27</v>
      </c>
      <c r="AL28" t="s">
        <v>290</v>
      </c>
      <c r="AM28" t="s">
        <v>370</v>
      </c>
      <c r="AN28">
        <v>1</v>
      </c>
      <c r="AO28">
        <v>2551</v>
      </c>
      <c r="AP28">
        <v>2551</v>
      </c>
    </row>
    <row r="29" spans="4:42" x14ac:dyDescent="0.25">
      <c r="D29">
        <v>28</v>
      </c>
      <c r="E29" t="s">
        <v>290</v>
      </c>
      <c r="F29" t="s">
        <v>319</v>
      </c>
      <c r="G29">
        <v>1</v>
      </c>
      <c r="H29">
        <v>2482</v>
      </c>
      <c r="I29">
        <v>2482</v>
      </c>
      <c r="O29">
        <v>28</v>
      </c>
      <c r="P29" t="s">
        <v>290</v>
      </c>
      <c r="Q29" t="s">
        <v>308</v>
      </c>
      <c r="R29">
        <v>1</v>
      </c>
      <c r="S29">
        <v>4602</v>
      </c>
      <c r="T29">
        <v>4602</v>
      </c>
      <c r="Z29">
        <v>28</v>
      </c>
      <c r="AA29" t="s">
        <v>292</v>
      </c>
      <c r="AB29" t="s">
        <v>360</v>
      </c>
      <c r="AC29">
        <v>1</v>
      </c>
      <c r="AD29">
        <v>1532</v>
      </c>
      <c r="AE29">
        <v>1532</v>
      </c>
      <c r="AK29">
        <v>28</v>
      </c>
      <c r="AL29" t="s">
        <v>290</v>
      </c>
      <c r="AM29" t="s">
        <v>362</v>
      </c>
      <c r="AN29">
        <v>1</v>
      </c>
      <c r="AO29">
        <v>2196</v>
      </c>
      <c r="AP29">
        <v>2196</v>
      </c>
    </row>
    <row r="30" spans="4:42" x14ac:dyDescent="0.25">
      <c r="D30">
        <v>29</v>
      </c>
      <c r="E30" t="s">
        <v>290</v>
      </c>
      <c r="F30" t="s">
        <v>320</v>
      </c>
      <c r="G30">
        <v>1</v>
      </c>
      <c r="H30">
        <v>1451</v>
      </c>
      <c r="I30">
        <v>1451</v>
      </c>
      <c r="O30">
        <v>29</v>
      </c>
      <c r="P30" t="s">
        <v>290</v>
      </c>
      <c r="Q30" t="s">
        <v>298</v>
      </c>
      <c r="R30">
        <v>1</v>
      </c>
      <c r="S30">
        <v>2418</v>
      </c>
      <c r="T30">
        <v>2418</v>
      </c>
      <c r="Z30">
        <v>29</v>
      </c>
      <c r="AA30" t="s">
        <v>292</v>
      </c>
      <c r="AB30" t="s">
        <v>361</v>
      </c>
      <c r="AC30">
        <v>1</v>
      </c>
      <c r="AD30">
        <v>1278</v>
      </c>
      <c r="AE30">
        <v>1278</v>
      </c>
      <c r="AK30">
        <v>29</v>
      </c>
      <c r="AL30" t="s">
        <v>292</v>
      </c>
      <c r="AM30" t="s">
        <v>368</v>
      </c>
      <c r="AN30">
        <v>1</v>
      </c>
      <c r="AO30">
        <v>1901</v>
      </c>
      <c r="AP30">
        <v>1901</v>
      </c>
    </row>
    <row r="31" spans="4:42" x14ac:dyDescent="0.25">
      <c r="D31">
        <v>30</v>
      </c>
      <c r="E31" t="s">
        <v>292</v>
      </c>
      <c r="F31" t="s">
        <v>321</v>
      </c>
      <c r="G31">
        <v>1</v>
      </c>
      <c r="H31">
        <v>4748</v>
      </c>
      <c r="I31">
        <v>4748</v>
      </c>
      <c r="O31">
        <v>30</v>
      </c>
      <c r="P31" t="s">
        <v>290</v>
      </c>
      <c r="Q31" t="s">
        <v>331</v>
      </c>
      <c r="R31">
        <v>1</v>
      </c>
      <c r="S31">
        <v>2513</v>
      </c>
      <c r="T31">
        <v>2513</v>
      </c>
      <c r="Z31">
        <v>30</v>
      </c>
      <c r="AA31" t="s">
        <v>290</v>
      </c>
      <c r="AB31" t="s">
        <v>362</v>
      </c>
      <c r="AC31">
        <v>1</v>
      </c>
      <c r="AD31">
        <v>1406</v>
      </c>
      <c r="AE31">
        <v>1406</v>
      </c>
      <c r="AK31">
        <v>30</v>
      </c>
      <c r="AL31" t="s">
        <v>290</v>
      </c>
      <c r="AM31" t="s">
        <v>350</v>
      </c>
      <c r="AN31">
        <v>1</v>
      </c>
      <c r="AO31">
        <v>1939</v>
      </c>
      <c r="AP31">
        <v>1939</v>
      </c>
    </row>
    <row r="32" spans="4:42" x14ac:dyDescent="0.25">
      <c r="D32">
        <v>31</v>
      </c>
      <c r="E32" t="s">
        <v>292</v>
      </c>
      <c r="F32" t="s">
        <v>322</v>
      </c>
      <c r="G32">
        <v>1</v>
      </c>
      <c r="H32">
        <v>1713</v>
      </c>
      <c r="I32">
        <v>1713</v>
      </c>
      <c r="O32">
        <v>31</v>
      </c>
      <c r="P32" t="s">
        <v>290</v>
      </c>
      <c r="Q32" t="s">
        <v>317</v>
      </c>
      <c r="R32">
        <v>1</v>
      </c>
      <c r="S32">
        <v>2084</v>
      </c>
      <c r="T32">
        <v>2084</v>
      </c>
      <c r="Z32">
        <v>31</v>
      </c>
      <c r="AA32" t="s">
        <v>290</v>
      </c>
      <c r="AB32" t="s">
        <v>363</v>
      </c>
      <c r="AC32">
        <v>1</v>
      </c>
      <c r="AD32">
        <v>1694</v>
      </c>
      <c r="AE32">
        <v>1694</v>
      </c>
      <c r="AK32">
        <v>31</v>
      </c>
      <c r="AL32" t="s">
        <v>290</v>
      </c>
      <c r="AM32" t="s">
        <v>351</v>
      </c>
      <c r="AN32">
        <v>1</v>
      </c>
      <c r="AO32">
        <v>2415</v>
      </c>
      <c r="AP32">
        <v>2415</v>
      </c>
    </row>
    <row r="33" spans="4:42" x14ac:dyDescent="0.25">
      <c r="D33">
        <v>32</v>
      </c>
      <c r="E33" t="s">
        <v>290</v>
      </c>
      <c r="F33" t="s">
        <v>323</v>
      </c>
      <c r="G33">
        <v>1</v>
      </c>
      <c r="H33">
        <v>4448</v>
      </c>
      <c r="I33">
        <v>4448</v>
      </c>
      <c r="O33">
        <v>32</v>
      </c>
      <c r="P33" t="s">
        <v>292</v>
      </c>
      <c r="Q33" t="s">
        <v>327</v>
      </c>
      <c r="R33">
        <v>1</v>
      </c>
      <c r="S33">
        <v>3269</v>
      </c>
      <c r="T33">
        <v>3269</v>
      </c>
      <c r="Z33">
        <v>32</v>
      </c>
      <c r="AA33" t="s">
        <v>290</v>
      </c>
      <c r="AB33" t="s">
        <v>364</v>
      </c>
      <c r="AC33" s="5">
        <v>0</v>
      </c>
      <c r="AD33" s="5">
        <v>1924</v>
      </c>
      <c r="AE33" s="5"/>
      <c r="AK33">
        <v>32</v>
      </c>
      <c r="AL33" t="s">
        <v>290</v>
      </c>
      <c r="AM33" t="s">
        <v>343</v>
      </c>
      <c r="AN33">
        <v>1</v>
      </c>
      <c r="AO33">
        <v>2359</v>
      </c>
      <c r="AP33">
        <v>2359</v>
      </c>
    </row>
    <row r="34" spans="4:42" x14ac:dyDescent="0.25">
      <c r="D34">
        <v>33</v>
      </c>
      <c r="E34" t="s">
        <v>290</v>
      </c>
      <c r="F34" t="s">
        <v>324</v>
      </c>
      <c r="G34">
        <v>1</v>
      </c>
      <c r="H34">
        <v>1225</v>
      </c>
      <c r="I34">
        <v>1225</v>
      </c>
      <c r="O34">
        <v>33</v>
      </c>
      <c r="P34" t="s">
        <v>290</v>
      </c>
      <c r="Q34" t="s">
        <v>315</v>
      </c>
      <c r="R34">
        <v>1</v>
      </c>
      <c r="S34">
        <v>3890</v>
      </c>
      <c r="T34">
        <v>3890</v>
      </c>
      <c r="Z34">
        <v>33</v>
      </c>
      <c r="AA34" t="s">
        <v>292</v>
      </c>
      <c r="AB34" t="s">
        <v>365</v>
      </c>
      <c r="AC34">
        <v>1</v>
      </c>
      <c r="AD34">
        <v>3422</v>
      </c>
      <c r="AE34">
        <v>3422</v>
      </c>
      <c r="AK34">
        <v>33</v>
      </c>
      <c r="AL34" t="s">
        <v>290</v>
      </c>
      <c r="AM34" t="s">
        <v>349</v>
      </c>
      <c r="AN34">
        <v>1</v>
      </c>
      <c r="AO34">
        <v>2256</v>
      </c>
      <c r="AP34">
        <v>2256</v>
      </c>
    </row>
    <row r="35" spans="4:42" x14ac:dyDescent="0.25">
      <c r="D35">
        <v>34</v>
      </c>
      <c r="E35" t="s">
        <v>290</v>
      </c>
      <c r="F35" t="s">
        <v>325</v>
      </c>
      <c r="G35">
        <v>1</v>
      </c>
      <c r="H35">
        <v>3305</v>
      </c>
      <c r="I35">
        <v>3305</v>
      </c>
      <c r="O35">
        <v>34</v>
      </c>
      <c r="P35" t="s">
        <v>290</v>
      </c>
      <c r="Q35" t="s">
        <v>307</v>
      </c>
      <c r="R35">
        <v>1</v>
      </c>
      <c r="S35">
        <v>1394</v>
      </c>
      <c r="T35">
        <v>1394</v>
      </c>
      <c r="Z35">
        <v>34</v>
      </c>
      <c r="AA35" t="s">
        <v>292</v>
      </c>
      <c r="AB35" t="s">
        <v>366</v>
      </c>
      <c r="AC35">
        <v>1</v>
      </c>
      <c r="AD35">
        <v>2543</v>
      </c>
      <c r="AE35">
        <v>2543</v>
      </c>
      <c r="AK35">
        <v>34</v>
      </c>
      <c r="AL35" t="s">
        <v>292</v>
      </c>
      <c r="AM35" t="s">
        <v>371</v>
      </c>
      <c r="AN35" s="5">
        <v>0</v>
      </c>
      <c r="AO35" s="5">
        <v>1927</v>
      </c>
      <c r="AP35" s="5"/>
    </row>
    <row r="36" spans="4:42" x14ac:dyDescent="0.25">
      <c r="D36">
        <v>35</v>
      </c>
      <c r="E36" t="s">
        <v>290</v>
      </c>
      <c r="F36" t="s">
        <v>326</v>
      </c>
      <c r="G36">
        <v>1</v>
      </c>
      <c r="H36">
        <v>1344</v>
      </c>
      <c r="I36">
        <v>1344</v>
      </c>
      <c r="O36">
        <v>35</v>
      </c>
      <c r="P36" s="11" t="s">
        <v>292</v>
      </c>
      <c r="Q36" s="11" t="s">
        <v>309</v>
      </c>
      <c r="R36" s="5">
        <v>0</v>
      </c>
      <c r="S36" s="5">
        <v>1952</v>
      </c>
      <c r="T36" s="5"/>
      <c r="Z36">
        <v>35</v>
      </c>
      <c r="AA36" t="s">
        <v>290</v>
      </c>
      <c r="AB36" t="s">
        <v>367</v>
      </c>
      <c r="AC36">
        <v>1</v>
      </c>
      <c r="AD36">
        <v>1306</v>
      </c>
      <c r="AE36">
        <v>1306</v>
      </c>
      <c r="AK36">
        <v>35</v>
      </c>
      <c r="AL36" t="s">
        <v>290</v>
      </c>
      <c r="AM36" t="s">
        <v>347</v>
      </c>
      <c r="AN36">
        <v>1</v>
      </c>
      <c r="AO36">
        <v>1345</v>
      </c>
      <c r="AP36">
        <v>1345</v>
      </c>
    </row>
    <row r="37" spans="4:42" x14ac:dyDescent="0.25">
      <c r="D37">
        <v>36</v>
      </c>
      <c r="E37" t="s">
        <v>292</v>
      </c>
      <c r="F37" t="s">
        <v>327</v>
      </c>
      <c r="G37">
        <v>1</v>
      </c>
      <c r="H37">
        <v>2163</v>
      </c>
      <c r="I37">
        <v>2163</v>
      </c>
      <c r="O37">
        <v>36</v>
      </c>
      <c r="P37" t="s">
        <v>292</v>
      </c>
      <c r="Q37" t="s">
        <v>314</v>
      </c>
      <c r="R37">
        <v>1</v>
      </c>
      <c r="S37">
        <v>1204</v>
      </c>
      <c r="T37">
        <v>1204</v>
      </c>
      <c r="Z37">
        <v>36</v>
      </c>
      <c r="AA37" t="s">
        <v>292</v>
      </c>
      <c r="AB37" t="s">
        <v>368</v>
      </c>
      <c r="AC37">
        <v>1</v>
      </c>
      <c r="AD37">
        <v>2542</v>
      </c>
      <c r="AE37">
        <v>2542</v>
      </c>
      <c r="AK37">
        <v>36</v>
      </c>
      <c r="AL37" t="s">
        <v>290</v>
      </c>
      <c r="AM37" t="s">
        <v>335</v>
      </c>
      <c r="AN37">
        <v>1</v>
      </c>
      <c r="AO37">
        <v>3136</v>
      </c>
      <c r="AP37">
        <v>3136</v>
      </c>
    </row>
    <row r="38" spans="4:42" x14ac:dyDescent="0.25">
      <c r="D38">
        <v>37</v>
      </c>
      <c r="E38" t="s">
        <v>292</v>
      </c>
      <c r="F38" t="s">
        <v>328</v>
      </c>
      <c r="G38">
        <v>1</v>
      </c>
      <c r="H38">
        <v>2915</v>
      </c>
      <c r="I38">
        <v>2915</v>
      </c>
      <c r="O38">
        <v>37</v>
      </c>
      <c r="P38" t="s">
        <v>292</v>
      </c>
      <c r="Q38" t="s">
        <v>328</v>
      </c>
      <c r="R38">
        <v>1</v>
      </c>
      <c r="S38">
        <v>2091</v>
      </c>
      <c r="T38">
        <v>2091</v>
      </c>
      <c r="Z38">
        <v>37</v>
      </c>
      <c r="AA38" t="s">
        <v>290</v>
      </c>
      <c r="AB38" t="s">
        <v>369</v>
      </c>
      <c r="AC38">
        <v>1</v>
      </c>
      <c r="AD38">
        <v>5994</v>
      </c>
      <c r="AE38">
        <v>5994</v>
      </c>
      <c r="AK38">
        <v>37</v>
      </c>
      <c r="AL38" t="s">
        <v>292</v>
      </c>
      <c r="AM38" t="s">
        <v>339</v>
      </c>
      <c r="AN38">
        <v>1</v>
      </c>
      <c r="AO38">
        <v>3292</v>
      </c>
      <c r="AP38">
        <v>3292</v>
      </c>
    </row>
    <row r="39" spans="4:42" x14ac:dyDescent="0.25">
      <c r="D39">
        <v>38</v>
      </c>
      <c r="E39" t="s">
        <v>292</v>
      </c>
      <c r="F39" t="s">
        <v>329</v>
      </c>
      <c r="G39">
        <v>1</v>
      </c>
      <c r="H39">
        <v>1940</v>
      </c>
      <c r="I39">
        <v>1940</v>
      </c>
      <c r="O39">
        <v>38</v>
      </c>
      <c r="P39" t="s">
        <v>290</v>
      </c>
      <c r="Q39" t="s">
        <v>295</v>
      </c>
      <c r="R39">
        <v>1</v>
      </c>
      <c r="S39">
        <v>2063</v>
      </c>
      <c r="T39">
        <v>2063</v>
      </c>
      <c r="Z39">
        <v>38</v>
      </c>
      <c r="AA39" t="s">
        <v>290</v>
      </c>
      <c r="AB39" t="s">
        <v>370</v>
      </c>
      <c r="AC39">
        <v>1</v>
      </c>
      <c r="AD39">
        <v>3787</v>
      </c>
      <c r="AE39">
        <v>3787</v>
      </c>
      <c r="AK39">
        <v>38</v>
      </c>
      <c r="AL39" t="s">
        <v>290</v>
      </c>
      <c r="AM39" t="s">
        <v>369</v>
      </c>
      <c r="AN39">
        <v>1</v>
      </c>
      <c r="AO39">
        <v>2712</v>
      </c>
      <c r="AP39">
        <v>2712</v>
      </c>
    </row>
    <row r="40" spans="4:42" x14ac:dyDescent="0.25">
      <c r="D40">
        <v>39</v>
      </c>
      <c r="E40" t="s">
        <v>290</v>
      </c>
      <c r="F40" t="s">
        <v>330</v>
      </c>
      <c r="G40">
        <v>1</v>
      </c>
      <c r="H40">
        <v>2878</v>
      </c>
      <c r="I40">
        <v>2878</v>
      </c>
      <c r="O40">
        <v>39</v>
      </c>
      <c r="P40" t="s">
        <v>290</v>
      </c>
      <c r="Q40" t="s">
        <v>323</v>
      </c>
      <c r="R40">
        <v>1</v>
      </c>
      <c r="S40">
        <v>2509</v>
      </c>
      <c r="T40">
        <v>2509</v>
      </c>
      <c r="Z40">
        <v>39</v>
      </c>
      <c r="AA40" t="s">
        <v>292</v>
      </c>
      <c r="AB40" t="s">
        <v>371</v>
      </c>
      <c r="AC40">
        <v>1</v>
      </c>
      <c r="AD40">
        <v>2050</v>
      </c>
      <c r="AE40">
        <v>2050</v>
      </c>
      <c r="AK40">
        <v>39</v>
      </c>
      <c r="AL40" t="s">
        <v>290</v>
      </c>
      <c r="AM40" t="s">
        <v>363</v>
      </c>
      <c r="AN40">
        <v>1</v>
      </c>
      <c r="AO40">
        <v>2067</v>
      </c>
      <c r="AP40">
        <v>2067</v>
      </c>
    </row>
    <row r="41" spans="4:42" x14ac:dyDescent="0.25">
      <c r="D41">
        <v>40</v>
      </c>
      <c r="E41" t="s">
        <v>290</v>
      </c>
      <c r="F41" t="s">
        <v>331</v>
      </c>
      <c r="G41">
        <v>1</v>
      </c>
      <c r="H41">
        <v>1807</v>
      </c>
      <c r="I41">
        <v>1807</v>
      </c>
      <c r="O41">
        <v>40</v>
      </c>
      <c r="P41" t="s">
        <v>292</v>
      </c>
      <c r="Q41" t="s">
        <v>312</v>
      </c>
      <c r="R41">
        <v>1</v>
      </c>
      <c r="S41">
        <v>2112</v>
      </c>
      <c r="T41">
        <v>2112</v>
      </c>
      <c r="Z41">
        <v>40</v>
      </c>
      <c r="AA41" t="s">
        <v>292</v>
      </c>
      <c r="AB41" t="s">
        <v>372</v>
      </c>
      <c r="AC41">
        <v>1</v>
      </c>
      <c r="AD41">
        <v>1618</v>
      </c>
      <c r="AE41">
        <v>1618</v>
      </c>
      <c r="AK41">
        <v>40</v>
      </c>
      <c r="AL41" t="s">
        <v>290</v>
      </c>
      <c r="AM41" t="s">
        <v>359</v>
      </c>
      <c r="AN41">
        <v>1</v>
      </c>
      <c r="AO41">
        <v>1546</v>
      </c>
      <c r="AP41">
        <v>1546</v>
      </c>
    </row>
    <row r="42" spans="4:42" x14ac:dyDescent="0.25">
      <c r="G42">
        <f>SUM(G2:G41)</f>
        <v>39</v>
      </c>
      <c r="I42">
        <f>SUM(I2:I41)</f>
        <v>83053</v>
      </c>
      <c r="R42" s="5">
        <f>SUM(R2:R41)</f>
        <v>31</v>
      </c>
      <c r="T42">
        <f>SUM(T2:T41)</f>
        <v>65699</v>
      </c>
      <c r="AC42" s="5">
        <f>SUM(AC2:AC41)</f>
        <v>38</v>
      </c>
      <c r="AE42">
        <f>SUM(AE2:AE41)</f>
        <v>79388</v>
      </c>
      <c r="AN42" s="2">
        <f>SUM(AN2:AN41)</f>
        <v>37</v>
      </c>
      <c r="AP42">
        <f>SUM(AP2:AP41)</f>
        <v>78228</v>
      </c>
    </row>
    <row r="44" spans="4:42" x14ac:dyDescent="0.25">
      <c r="I44" s="5">
        <f>I42/G42</f>
        <v>2129.5641025641025</v>
      </c>
      <c r="T44" s="5">
        <f>T42/R42</f>
        <v>2119.3225806451615</v>
      </c>
      <c r="AE44" s="5">
        <f>AE42/AC42</f>
        <v>2089.1578947368421</v>
      </c>
      <c r="AP44">
        <f>AP42/AN42</f>
        <v>2114.2702702702704</v>
      </c>
    </row>
    <row r="46" spans="4:42" x14ac:dyDescent="0.25">
      <c r="AP46">
        <v>2114.27</v>
      </c>
    </row>
    <row r="50" spans="1:23" x14ac:dyDescent="0.25">
      <c r="S50" s="26"/>
      <c r="T50" s="27" t="s">
        <v>490</v>
      </c>
      <c r="U50" s="27" t="s">
        <v>74</v>
      </c>
      <c r="V50" s="27" t="s">
        <v>104</v>
      </c>
      <c r="W50" s="28" t="s">
        <v>158</v>
      </c>
    </row>
    <row r="51" spans="1:23" x14ac:dyDescent="0.25">
      <c r="S51" s="29" t="s">
        <v>504</v>
      </c>
      <c r="T51" s="30">
        <v>2129.5641025641025</v>
      </c>
      <c r="U51" s="30">
        <v>2119.3225806451615</v>
      </c>
      <c r="V51" s="30">
        <v>2089.1578947368421</v>
      </c>
      <c r="W51" s="31">
        <v>2114.27</v>
      </c>
    </row>
    <row r="63" spans="1:23" x14ac:dyDescent="0.25">
      <c r="A63" s="26"/>
      <c r="B63" s="27" t="s">
        <v>490</v>
      </c>
      <c r="C63" s="27" t="s">
        <v>74</v>
      </c>
      <c r="D63" s="27" t="s">
        <v>104</v>
      </c>
      <c r="E63" s="28" t="s">
        <v>158</v>
      </c>
    </row>
    <row r="64" spans="1:23" x14ac:dyDescent="0.25">
      <c r="A64" s="29" t="s">
        <v>501</v>
      </c>
      <c r="B64" s="30">
        <v>39</v>
      </c>
      <c r="C64" s="30">
        <v>31</v>
      </c>
      <c r="D64" s="30">
        <v>38</v>
      </c>
      <c r="E64" s="31">
        <v>37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6"/>
  <sheetViews>
    <sheetView topLeftCell="Y1" workbookViewId="0">
      <selection activeCell="K56" sqref="K56"/>
    </sheetView>
  </sheetViews>
  <sheetFormatPr baseColWidth="10" defaultRowHeight="15" x14ac:dyDescent="0.25"/>
  <cols>
    <col min="1" max="1" width="25.42578125" customWidth="1"/>
    <col min="6" max="6" width="17.42578125" customWidth="1"/>
    <col min="8" max="8" width="22.140625" customWidth="1"/>
    <col min="9" max="9" width="24.140625" customWidth="1"/>
    <col min="13" max="13" width="20.85546875" customWidth="1"/>
    <col min="18" max="18" width="16.7109375" customWidth="1"/>
    <col min="21" max="21" width="22.5703125" customWidth="1"/>
    <col min="27" max="27" width="28.5703125" customWidth="1"/>
    <col min="32" max="32" width="18.140625" customWidth="1"/>
    <col min="35" max="35" width="17.85546875" customWidth="1"/>
    <col min="43" max="43" width="21.5703125" customWidth="1"/>
    <col min="44" max="44" width="74" customWidth="1"/>
    <col min="46" max="46" width="31.140625" customWidth="1"/>
  </cols>
  <sheetData>
    <row r="1" spans="1:46" ht="15.75" x14ac:dyDescent="0.25">
      <c r="A1" s="1" t="s">
        <v>264</v>
      </c>
      <c r="B1" s="2" t="s">
        <v>0</v>
      </c>
      <c r="C1" s="2" t="s">
        <v>1</v>
      </c>
      <c r="D1" s="2" t="s">
        <v>2</v>
      </c>
      <c r="E1" s="2" t="s">
        <v>27</v>
      </c>
      <c r="F1" s="2" t="s">
        <v>28</v>
      </c>
      <c r="G1" s="2" t="s">
        <v>12</v>
      </c>
      <c r="H1" s="2" t="s">
        <v>29</v>
      </c>
      <c r="I1" s="2" t="s">
        <v>30</v>
      </c>
      <c r="M1" s="1" t="s">
        <v>264</v>
      </c>
      <c r="N1" s="2" t="s">
        <v>0</v>
      </c>
      <c r="O1" s="2" t="s">
        <v>1</v>
      </c>
      <c r="P1" s="2" t="s">
        <v>2</v>
      </c>
      <c r="Q1" s="2" t="s">
        <v>27</v>
      </c>
      <c r="R1" s="2" t="s">
        <v>28</v>
      </c>
      <c r="S1" s="2" t="s">
        <v>12</v>
      </c>
      <c r="T1" s="2" t="s">
        <v>29</v>
      </c>
      <c r="U1" s="2" t="s">
        <v>30</v>
      </c>
      <c r="AA1" s="1" t="s">
        <v>33</v>
      </c>
      <c r="AB1" s="2" t="s">
        <v>0</v>
      </c>
      <c r="AC1" s="2" t="s">
        <v>1</v>
      </c>
      <c r="AD1" s="2" t="s">
        <v>2</v>
      </c>
      <c r="AE1" s="2" t="s">
        <v>27</v>
      </c>
      <c r="AF1" s="2" t="s">
        <v>28</v>
      </c>
      <c r="AG1" s="2" t="s">
        <v>12</v>
      </c>
      <c r="AH1" s="2" t="s">
        <v>29</v>
      </c>
      <c r="AI1" s="2" t="s">
        <v>30</v>
      </c>
      <c r="AL1" s="1" t="s">
        <v>33</v>
      </c>
      <c r="AM1" s="2" t="s">
        <v>0</v>
      </c>
      <c r="AN1" s="2" t="s">
        <v>1</v>
      </c>
      <c r="AO1" s="2" t="s">
        <v>2</v>
      </c>
      <c r="AP1" s="2" t="s">
        <v>27</v>
      </c>
      <c r="AQ1" s="2" t="s">
        <v>28</v>
      </c>
      <c r="AR1" s="2" t="s">
        <v>12</v>
      </c>
      <c r="AS1" s="2" t="s">
        <v>29</v>
      </c>
      <c r="AT1" s="2" t="s">
        <v>30</v>
      </c>
    </row>
    <row r="2" spans="1:46" ht="15.75" x14ac:dyDescent="0.25">
      <c r="A2" s="3" t="s">
        <v>6</v>
      </c>
      <c r="B2">
        <v>1</v>
      </c>
      <c r="C2">
        <v>1</v>
      </c>
      <c r="D2">
        <v>1</v>
      </c>
      <c r="E2" t="s">
        <v>408</v>
      </c>
      <c r="F2" t="s">
        <v>409</v>
      </c>
      <c r="M2" s="3" t="s">
        <v>74</v>
      </c>
      <c r="N2">
        <v>1</v>
      </c>
      <c r="O2">
        <v>2</v>
      </c>
      <c r="P2">
        <v>1</v>
      </c>
      <c r="Q2" t="s">
        <v>408</v>
      </c>
      <c r="R2" t="s">
        <v>415</v>
      </c>
      <c r="AA2" s="3" t="s">
        <v>104</v>
      </c>
      <c r="AB2">
        <v>2</v>
      </c>
      <c r="AC2">
        <v>3</v>
      </c>
      <c r="AD2">
        <v>1</v>
      </c>
      <c r="AE2" t="s">
        <v>292</v>
      </c>
      <c r="AF2" t="s">
        <v>450</v>
      </c>
      <c r="AL2" s="3" t="s">
        <v>158</v>
      </c>
      <c r="AM2">
        <v>2</v>
      </c>
      <c r="AN2">
        <v>3</v>
      </c>
      <c r="AO2">
        <v>1</v>
      </c>
      <c r="AP2" t="s">
        <v>292</v>
      </c>
      <c r="AQ2" t="s">
        <v>450</v>
      </c>
      <c r="AR2" t="s">
        <v>640</v>
      </c>
    </row>
    <row r="3" spans="1:46" ht="15.75" x14ac:dyDescent="0.25">
      <c r="A3" s="1" t="s">
        <v>26</v>
      </c>
      <c r="D3">
        <v>2</v>
      </c>
      <c r="E3" t="s">
        <v>292</v>
      </c>
      <c r="F3" t="s">
        <v>410</v>
      </c>
      <c r="M3" s="1" t="s">
        <v>26</v>
      </c>
      <c r="P3">
        <v>2</v>
      </c>
      <c r="Q3" t="s">
        <v>292</v>
      </c>
      <c r="R3" t="s">
        <v>446</v>
      </c>
      <c r="AA3" s="1" t="s">
        <v>26</v>
      </c>
      <c r="AD3">
        <v>2</v>
      </c>
      <c r="AE3" t="s">
        <v>292</v>
      </c>
      <c r="AF3" t="s">
        <v>451</v>
      </c>
      <c r="AL3" s="1" t="s">
        <v>26</v>
      </c>
      <c r="AO3">
        <v>2</v>
      </c>
      <c r="AP3" t="s">
        <v>292</v>
      </c>
      <c r="AQ3" t="s">
        <v>466</v>
      </c>
      <c r="AT3">
        <v>1</v>
      </c>
    </row>
    <row r="4" spans="1:46" ht="15.75" x14ac:dyDescent="0.25">
      <c r="A4" s="1" t="s">
        <v>72</v>
      </c>
      <c r="D4">
        <v>3</v>
      </c>
      <c r="E4" t="s">
        <v>292</v>
      </c>
      <c r="F4" t="s">
        <v>411</v>
      </c>
      <c r="I4">
        <v>1</v>
      </c>
      <c r="M4" s="1" t="s">
        <v>75</v>
      </c>
      <c r="P4">
        <v>3</v>
      </c>
      <c r="Q4" t="s">
        <v>292</v>
      </c>
      <c r="R4" t="s">
        <v>434</v>
      </c>
      <c r="AA4" s="1" t="s">
        <v>131</v>
      </c>
      <c r="AD4">
        <v>3</v>
      </c>
      <c r="AE4" t="s">
        <v>292</v>
      </c>
      <c r="AF4" t="s">
        <v>452</v>
      </c>
      <c r="AL4" s="1" t="s">
        <v>508</v>
      </c>
      <c r="AO4">
        <v>3</v>
      </c>
      <c r="AP4" t="s">
        <v>292</v>
      </c>
      <c r="AQ4" t="s">
        <v>485</v>
      </c>
      <c r="AR4" t="s">
        <v>641</v>
      </c>
    </row>
    <row r="5" spans="1:46" x14ac:dyDescent="0.25">
      <c r="D5">
        <v>4</v>
      </c>
      <c r="E5" t="s">
        <v>408</v>
      </c>
      <c r="F5" t="s">
        <v>412</v>
      </c>
      <c r="I5">
        <v>1</v>
      </c>
      <c r="P5">
        <v>4</v>
      </c>
      <c r="Q5" t="s">
        <v>408</v>
      </c>
      <c r="R5" t="s">
        <v>437</v>
      </c>
      <c r="AD5">
        <v>4</v>
      </c>
      <c r="AE5" t="s">
        <v>408</v>
      </c>
      <c r="AF5" t="s">
        <v>453</v>
      </c>
      <c r="AI5">
        <v>1</v>
      </c>
      <c r="AO5">
        <v>4</v>
      </c>
      <c r="AP5" t="s">
        <v>292</v>
      </c>
      <c r="AQ5" t="s">
        <v>478</v>
      </c>
      <c r="AR5" t="s">
        <v>642</v>
      </c>
    </row>
    <row r="6" spans="1:46" ht="15.75" x14ac:dyDescent="0.25">
      <c r="A6" s="1" t="s">
        <v>449</v>
      </c>
      <c r="D6">
        <v>5</v>
      </c>
      <c r="E6" t="s">
        <v>408</v>
      </c>
      <c r="F6" t="s">
        <v>413</v>
      </c>
      <c r="M6" s="1" t="s">
        <v>36</v>
      </c>
      <c r="P6">
        <v>5</v>
      </c>
      <c r="Q6" t="s">
        <v>408</v>
      </c>
      <c r="R6" t="s">
        <v>425</v>
      </c>
      <c r="AA6" s="1" t="s">
        <v>36</v>
      </c>
      <c r="AD6">
        <v>5</v>
      </c>
      <c r="AE6" t="s">
        <v>408</v>
      </c>
      <c r="AF6" t="s">
        <v>454</v>
      </c>
      <c r="AL6" s="1" t="s">
        <v>520</v>
      </c>
      <c r="AO6">
        <v>5</v>
      </c>
      <c r="AP6" t="s">
        <v>292</v>
      </c>
      <c r="AQ6" t="s">
        <v>481</v>
      </c>
      <c r="AR6" t="s">
        <v>643</v>
      </c>
    </row>
    <row r="7" spans="1:46" ht="15.75" x14ac:dyDescent="0.25">
      <c r="A7" s="1" t="s">
        <v>37</v>
      </c>
      <c r="D7">
        <v>6</v>
      </c>
      <c r="E7" t="s">
        <v>292</v>
      </c>
      <c r="F7" t="s">
        <v>414</v>
      </c>
      <c r="M7" s="1" t="s">
        <v>37</v>
      </c>
      <c r="P7">
        <v>6</v>
      </c>
      <c r="Q7" t="s">
        <v>292</v>
      </c>
      <c r="R7" t="s">
        <v>440</v>
      </c>
      <c r="AA7" s="1" t="s">
        <v>37</v>
      </c>
      <c r="AD7">
        <v>6</v>
      </c>
      <c r="AE7" t="s">
        <v>408</v>
      </c>
      <c r="AF7" t="s">
        <v>455</v>
      </c>
      <c r="AL7" s="1" t="s">
        <v>37</v>
      </c>
      <c r="AO7">
        <v>6</v>
      </c>
      <c r="AP7" t="s">
        <v>292</v>
      </c>
      <c r="AQ7" t="s">
        <v>469</v>
      </c>
      <c r="AR7" t="s">
        <v>644</v>
      </c>
    </row>
    <row r="8" spans="1:46" ht="15.75" x14ac:dyDescent="0.25">
      <c r="A8" s="1" t="s">
        <v>38</v>
      </c>
      <c r="D8">
        <v>7</v>
      </c>
      <c r="E8" t="s">
        <v>408</v>
      </c>
      <c r="F8" t="s">
        <v>415</v>
      </c>
      <c r="M8" s="1" t="s">
        <v>38</v>
      </c>
      <c r="P8">
        <v>7</v>
      </c>
      <c r="Q8" t="s">
        <v>408</v>
      </c>
      <c r="R8" t="s">
        <v>424</v>
      </c>
      <c r="AA8" s="1" t="s">
        <v>38</v>
      </c>
      <c r="AD8">
        <v>7</v>
      </c>
      <c r="AE8" t="s">
        <v>408</v>
      </c>
      <c r="AF8" t="s">
        <v>456</v>
      </c>
      <c r="AL8" s="1" t="s">
        <v>38</v>
      </c>
      <c r="AO8">
        <v>7</v>
      </c>
      <c r="AP8" t="s">
        <v>408</v>
      </c>
      <c r="AQ8" t="s">
        <v>473</v>
      </c>
      <c r="AR8" t="s">
        <v>645</v>
      </c>
    </row>
    <row r="9" spans="1:46" x14ac:dyDescent="0.25">
      <c r="D9">
        <v>8</v>
      </c>
      <c r="E9" t="s">
        <v>408</v>
      </c>
      <c r="F9" t="s">
        <v>416</v>
      </c>
      <c r="P9">
        <v>8</v>
      </c>
      <c r="Q9" t="s">
        <v>408</v>
      </c>
      <c r="R9" t="s">
        <v>419</v>
      </c>
      <c r="AD9">
        <v>8</v>
      </c>
      <c r="AE9" t="s">
        <v>408</v>
      </c>
      <c r="AF9" t="s">
        <v>457</v>
      </c>
      <c r="AO9">
        <v>8</v>
      </c>
      <c r="AP9" t="s">
        <v>408</v>
      </c>
      <c r="AQ9" t="s">
        <v>453</v>
      </c>
      <c r="AR9" t="s">
        <v>646</v>
      </c>
      <c r="AT9">
        <v>1</v>
      </c>
    </row>
    <row r="10" spans="1:46" x14ac:dyDescent="0.25">
      <c r="D10">
        <v>9</v>
      </c>
      <c r="E10" t="s">
        <v>408</v>
      </c>
      <c r="F10" t="s">
        <v>417</v>
      </c>
      <c r="I10">
        <v>1</v>
      </c>
      <c r="P10">
        <v>9</v>
      </c>
      <c r="Q10" t="s">
        <v>292</v>
      </c>
      <c r="R10" t="s">
        <v>441</v>
      </c>
      <c r="AD10">
        <v>9</v>
      </c>
      <c r="AE10" t="s">
        <v>408</v>
      </c>
      <c r="AF10" t="s">
        <v>458</v>
      </c>
      <c r="AO10">
        <v>9</v>
      </c>
      <c r="AP10" t="s">
        <v>292</v>
      </c>
      <c r="AQ10" t="s">
        <v>487</v>
      </c>
      <c r="AR10" t="s">
        <v>647</v>
      </c>
    </row>
    <row r="11" spans="1:46" x14ac:dyDescent="0.25">
      <c r="D11">
        <v>10</v>
      </c>
      <c r="E11" t="s">
        <v>408</v>
      </c>
      <c r="F11" t="s">
        <v>418</v>
      </c>
      <c r="P11">
        <v>10</v>
      </c>
      <c r="Q11" t="s">
        <v>292</v>
      </c>
      <c r="R11" t="s">
        <v>430</v>
      </c>
      <c r="U11">
        <v>1</v>
      </c>
      <c r="AD11">
        <v>10</v>
      </c>
      <c r="AE11" t="s">
        <v>292</v>
      </c>
      <c r="AF11" t="s">
        <v>459</v>
      </c>
      <c r="AO11">
        <v>10</v>
      </c>
      <c r="AP11" t="s">
        <v>292</v>
      </c>
      <c r="AQ11" t="s">
        <v>464</v>
      </c>
      <c r="AR11" t="s">
        <v>648</v>
      </c>
    </row>
    <row r="12" spans="1:46" x14ac:dyDescent="0.25">
      <c r="D12">
        <v>11</v>
      </c>
      <c r="E12" t="s">
        <v>408</v>
      </c>
      <c r="F12" t="s">
        <v>419</v>
      </c>
      <c r="P12">
        <v>11</v>
      </c>
      <c r="Q12" t="s">
        <v>292</v>
      </c>
      <c r="R12" t="s">
        <v>435</v>
      </c>
      <c r="AD12">
        <v>11</v>
      </c>
      <c r="AE12" t="s">
        <v>408</v>
      </c>
      <c r="AF12" t="s">
        <v>460</v>
      </c>
      <c r="AO12">
        <v>11</v>
      </c>
      <c r="AP12" t="s">
        <v>408</v>
      </c>
      <c r="AQ12" t="s">
        <v>470</v>
      </c>
      <c r="AR12" t="s">
        <v>649</v>
      </c>
    </row>
    <row r="13" spans="1:46" x14ac:dyDescent="0.25">
      <c r="D13">
        <v>12</v>
      </c>
      <c r="E13" t="s">
        <v>292</v>
      </c>
      <c r="F13" t="s">
        <v>420</v>
      </c>
      <c r="P13">
        <v>12</v>
      </c>
      <c r="Q13" t="s">
        <v>292</v>
      </c>
      <c r="R13" t="s">
        <v>438</v>
      </c>
      <c r="AD13">
        <v>12</v>
      </c>
      <c r="AE13" t="s">
        <v>408</v>
      </c>
      <c r="AF13" t="s">
        <v>461</v>
      </c>
      <c r="AO13">
        <v>12</v>
      </c>
      <c r="AP13" t="s">
        <v>292</v>
      </c>
      <c r="AQ13" t="s">
        <v>462</v>
      </c>
      <c r="AT13">
        <v>1</v>
      </c>
    </row>
    <row r="14" spans="1:46" x14ac:dyDescent="0.25">
      <c r="D14">
        <v>13</v>
      </c>
      <c r="E14" t="s">
        <v>408</v>
      </c>
      <c r="F14" t="s">
        <v>421</v>
      </c>
      <c r="P14">
        <v>13</v>
      </c>
      <c r="Q14" t="s">
        <v>292</v>
      </c>
      <c r="R14" t="s">
        <v>427</v>
      </c>
      <c r="U14">
        <v>1</v>
      </c>
      <c r="AD14">
        <v>13</v>
      </c>
      <c r="AE14" t="s">
        <v>292</v>
      </c>
      <c r="AF14" t="s">
        <v>462</v>
      </c>
      <c r="AI14">
        <v>1</v>
      </c>
      <c r="AO14">
        <v>13</v>
      </c>
      <c r="AP14" t="s">
        <v>292</v>
      </c>
      <c r="AQ14" t="s">
        <v>476</v>
      </c>
      <c r="AR14" t="s">
        <v>650</v>
      </c>
    </row>
    <row r="15" spans="1:46" x14ac:dyDescent="0.25">
      <c r="D15">
        <v>14</v>
      </c>
      <c r="E15" t="s">
        <v>292</v>
      </c>
      <c r="F15" t="s">
        <v>422</v>
      </c>
      <c r="P15">
        <v>14</v>
      </c>
      <c r="Q15" t="s">
        <v>408</v>
      </c>
      <c r="R15" t="s">
        <v>417</v>
      </c>
      <c r="AD15">
        <v>14</v>
      </c>
      <c r="AE15" t="s">
        <v>408</v>
      </c>
      <c r="AF15" t="s">
        <v>463</v>
      </c>
      <c r="AI15">
        <v>1</v>
      </c>
      <c r="AO15">
        <v>14</v>
      </c>
      <c r="AP15" t="s">
        <v>292</v>
      </c>
      <c r="AQ15" t="s">
        <v>467</v>
      </c>
      <c r="AR15" t="s">
        <v>651</v>
      </c>
    </row>
    <row r="16" spans="1:46" x14ac:dyDescent="0.25">
      <c r="D16">
        <v>15</v>
      </c>
      <c r="E16" t="s">
        <v>408</v>
      </c>
      <c r="F16" t="s">
        <v>423</v>
      </c>
      <c r="P16">
        <v>15</v>
      </c>
      <c r="Q16" t="s">
        <v>292</v>
      </c>
      <c r="R16" t="s">
        <v>447</v>
      </c>
      <c r="AD16">
        <v>15</v>
      </c>
      <c r="AE16" t="s">
        <v>292</v>
      </c>
      <c r="AF16" t="s">
        <v>464</v>
      </c>
      <c r="AO16">
        <v>15</v>
      </c>
      <c r="AP16" t="s">
        <v>292</v>
      </c>
      <c r="AQ16" t="s">
        <v>472</v>
      </c>
      <c r="AR16" t="s">
        <v>652</v>
      </c>
    </row>
    <row r="17" spans="4:46" x14ac:dyDescent="0.25">
      <c r="D17">
        <v>16</v>
      </c>
      <c r="E17" t="s">
        <v>408</v>
      </c>
      <c r="F17" t="s">
        <v>424</v>
      </c>
      <c r="P17">
        <v>16</v>
      </c>
      <c r="Q17" t="s">
        <v>408</v>
      </c>
      <c r="R17" t="s">
        <v>442</v>
      </c>
      <c r="U17">
        <v>1</v>
      </c>
      <c r="AD17">
        <v>16</v>
      </c>
      <c r="AE17" t="s">
        <v>408</v>
      </c>
      <c r="AF17" t="s">
        <v>465</v>
      </c>
      <c r="AO17">
        <v>16</v>
      </c>
      <c r="AP17" t="s">
        <v>408</v>
      </c>
      <c r="AQ17" t="s">
        <v>465</v>
      </c>
      <c r="AR17" t="s">
        <v>653</v>
      </c>
    </row>
    <row r="18" spans="4:46" x14ac:dyDescent="0.25">
      <c r="D18">
        <v>17</v>
      </c>
      <c r="E18" t="s">
        <v>408</v>
      </c>
      <c r="F18" t="s">
        <v>425</v>
      </c>
      <c r="P18">
        <v>17</v>
      </c>
      <c r="Q18" t="s">
        <v>408</v>
      </c>
      <c r="R18" t="s">
        <v>431</v>
      </c>
      <c r="AD18">
        <v>17</v>
      </c>
      <c r="AE18" t="s">
        <v>292</v>
      </c>
      <c r="AF18" t="s">
        <v>466</v>
      </c>
      <c r="AI18">
        <v>1</v>
      </c>
      <c r="AO18">
        <v>17</v>
      </c>
      <c r="AP18" t="s">
        <v>408</v>
      </c>
      <c r="AQ18" t="s">
        <v>486</v>
      </c>
      <c r="AR18" t="s">
        <v>654</v>
      </c>
    </row>
    <row r="19" spans="4:46" x14ac:dyDescent="0.25">
      <c r="D19">
        <v>18</v>
      </c>
      <c r="E19" t="s">
        <v>292</v>
      </c>
      <c r="F19" t="s">
        <v>426</v>
      </c>
      <c r="I19">
        <v>1</v>
      </c>
      <c r="P19">
        <v>18</v>
      </c>
      <c r="Q19" t="s">
        <v>292</v>
      </c>
      <c r="R19" t="s">
        <v>445</v>
      </c>
      <c r="AD19">
        <v>18</v>
      </c>
      <c r="AE19" t="s">
        <v>292</v>
      </c>
      <c r="AF19" t="s">
        <v>467</v>
      </c>
      <c r="AO19">
        <v>18</v>
      </c>
      <c r="AP19" t="s">
        <v>292</v>
      </c>
      <c r="AQ19" t="s">
        <v>459</v>
      </c>
      <c r="AR19" t="s">
        <v>655</v>
      </c>
    </row>
    <row r="20" spans="4:46" x14ac:dyDescent="0.25">
      <c r="D20">
        <v>19</v>
      </c>
      <c r="E20" t="s">
        <v>292</v>
      </c>
      <c r="F20" t="s">
        <v>427</v>
      </c>
      <c r="I20">
        <v>1</v>
      </c>
      <c r="P20">
        <v>19</v>
      </c>
      <c r="Q20" t="s">
        <v>292</v>
      </c>
      <c r="R20" t="s">
        <v>411</v>
      </c>
      <c r="U20">
        <v>1</v>
      </c>
      <c r="AD20">
        <v>19</v>
      </c>
      <c r="AE20" t="s">
        <v>408</v>
      </c>
      <c r="AF20" t="s">
        <v>468</v>
      </c>
      <c r="AO20">
        <v>19</v>
      </c>
      <c r="AP20" t="s">
        <v>408</v>
      </c>
      <c r="AQ20" t="s">
        <v>463</v>
      </c>
      <c r="AT20">
        <v>1</v>
      </c>
    </row>
    <row r="21" spans="4:46" x14ac:dyDescent="0.25">
      <c r="D21">
        <v>20</v>
      </c>
      <c r="E21" t="s">
        <v>292</v>
      </c>
      <c r="F21" t="s">
        <v>428</v>
      </c>
      <c r="I21">
        <v>1</v>
      </c>
      <c r="P21">
        <v>20</v>
      </c>
      <c r="Q21" t="s">
        <v>408</v>
      </c>
      <c r="R21" t="s">
        <v>443</v>
      </c>
      <c r="U21">
        <v>1</v>
      </c>
      <c r="AD21">
        <v>20</v>
      </c>
      <c r="AE21" t="s">
        <v>292</v>
      </c>
      <c r="AF21" t="s">
        <v>469</v>
      </c>
      <c r="AO21">
        <v>20</v>
      </c>
      <c r="AP21" t="s">
        <v>408</v>
      </c>
      <c r="AQ21" t="s">
        <v>471</v>
      </c>
      <c r="AR21" t="s">
        <v>656</v>
      </c>
    </row>
    <row r="22" spans="4:46" x14ac:dyDescent="0.25">
      <c r="D22">
        <v>21</v>
      </c>
      <c r="E22" t="s">
        <v>408</v>
      </c>
      <c r="F22" t="s">
        <v>429</v>
      </c>
      <c r="P22">
        <v>21</v>
      </c>
      <c r="Q22" t="s">
        <v>292</v>
      </c>
      <c r="R22" t="s">
        <v>410</v>
      </c>
      <c r="AD22">
        <v>21</v>
      </c>
      <c r="AE22" t="s">
        <v>408</v>
      </c>
      <c r="AF22" t="s">
        <v>470</v>
      </c>
      <c r="AO22">
        <v>21</v>
      </c>
      <c r="AP22" t="s">
        <v>292</v>
      </c>
      <c r="AQ22" t="s">
        <v>451</v>
      </c>
      <c r="AR22" t="s">
        <v>657</v>
      </c>
    </row>
    <row r="23" spans="4:46" x14ac:dyDescent="0.25">
      <c r="D23">
        <v>22</v>
      </c>
      <c r="E23" t="s">
        <v>292</v>
      </c>
      <c r="F23" t="s">
        <v>430</v>
      </c>
      <c r="P23">
        <v>22</v>
      </c>
      <c r="Q23" t="s">
        <v>408</v>
      </c>
      <c r="R23" t="s">
        <v>421</v>
      </c>
      <c r="AD23">
        <v>22</v>
      </c>
      <c r="AE23" t="s">
        <v>408</v>
      </c>
      <c r="AF23" t="s">
        <v>471</v>
      </c>
      <c r="AO23">
        <v>22</v>
      </c>
      <c r="AP23" t="s">
        <v>408</v>
      </c>
      <c r="AQ23" t="s">
        <v>461</v>
      </c>
      <c r="AR23" t="s">
        <v>658</v>
      </c>
    </row>
    <row r="24" spans="4:46" x14ac:dyDescent="0.25">
      <c r="D24">
        <v>23</v>
      </c>
      <c r="E24" t="s">
        <v>408</v>
      </c>
      <c r="F24" t="s">
        <v>431</v>
      </c>
      <c r="P24">
        <v>23</v>
      </c>
      <c r="Q24" t="s">
        <v>408</v>
      </c>
      <c r="R24" t="s">
        <v>416</v>
      </c>
      <c r="AD24">
        <v>23</v>
      </c>
      <c r="AE24" t="s">
        <v>292</v>
      </c>
      <c r="AF24" t="s">
        <v>472</v>
      </c>
      <c r="AO24">
        <v>23</v>
      </c>
      <c r="AP24" t="s">
        <v>292</v>
      </c>
      <c r="AQ24" t="s">
        <v>484</v>
      </c>
      <c r="AR24" t="s">
        <v>659</v>
      </c>
    </row>
    <row r="25" spans="4:46" x14ac:dyDescent="0.25">
      <c r="D25">
        <v>24</v>
      </c>
      <c r="E25" t="s">
        <v>408</v>
      </c>
      <c r="F25" t="s">
        <v>432</v>
      </c>
      <c r="I25">
        <v>1</v>
      </c>
      <c r="P25">
        <v>24</v>
      </c>
      <c r="Q25" t="s">
        <v>292</v>
      </c>
      <c r="R25" t="s">
        <v>448</v>
      </c>
      <c r="AD25">
        <v>24</v>
      </c>
      <c r="AE25" t="s">
        <v>408</v>
      </c>
      <c r="AF25" t="s">
        <v>473</v>
      </c>
      <c r="AO25">
        <v>24</v>
      </c>
      <c r="AP25" t="s">
        <v>408</v>
      </c>
      <c r="AQ25" t="s">
        <v>489</v>
      </c>
      <c r="AR25" t="s">
        <v>660</v>
      </c>
    </row>
    <row r="26" spans="4:46" x14ac:dyDescent="0.25">
      <c r="D26">
        <v>25</v>
      </c>
      <c r="E26" t="s">
        <v>408</v>
      </c>
      <c r="F26" t="s">
        <v>433</v>
      </c>
      <c r="P26">
        <v>25</v>
      </c>
      <c r="Q26" t="s">
        <v>408</v>
      </c>
      <c r="R26" t="s">
        <v>409</v>
      </c>
      <c r="AD26">
        <v>25</v>
      </c>
      <c r="AE26" t="s">
        <v>292</v>
      </c>
      <c r="AF26" t="s">
        <v>474</v>
      </c>
      <c r="AO26">
        <v>25</v>
      </c>
      <c r="AP26" t="s">
        <v>292</v>
      </c>
      <c r="AQ26" t="s">
        <v>474</v>
      </c>
      <c r="AR26" t="s">
        <v>661</v>
      </c>
    </row>
    <row r="27" spans="4:46" x14ac:dyDescent="0.25">
      <c r="D27">
        <v>26</v>
      </c>
      <c r="E27" t="s">
        <v>292</v>
      </c>
      <c r="F27" t="s">
        <v>434</v>
      </c>
      <c r="P27">
        <v>26</v>
      </c>
      <c r="Q27" t="s">
        <v>408</v>
      </c>
      <c r="R27" t="s">
        <v>413</v>
      </c>
      <c r="U27">
        <v>1</v>
      </c>
      <c r="AD27">
        <v>26</v>
      </c>
      <c r="AE27" t="s">
        <v>292</v>
      </c>
      <c r="AF27" t="s">
        <v>475</v>
      </c>
      <c r="AI27">
        <v>1</v>
      </c>
      <c r="AO27">
        <v>26</v>
      </c>
      <c r="AP27" t="s">
        <v>292</v>
      </c>
      <c r="AQ27" t="s">
        <v>452</v>
      </c>
      <c r="AR27" t="s">
        <v>662</v>
      </c>
    </row>
    <row r="28" spans="4:46" x14ac:dyDescent="0.25">
      <c r="D28">
        <v>27</v>
      </c>
      <c r="E28" t="s">
        <v>292</v>
      </c>
      <c r="F28" t="s">
        <v>435</v>
      </c>
      <c r="P28">
        <v>27</v>
      </c>
      <c r="Q28" t="s">
        <v>408</v>
      </c>
      <c r="R28" t="s">
        <v>433</v>
      </c>
      <c r="AD28">
        <v>27</v>
      </c>
      <c r="AE28" t="s">
        <v>292</v>
      </c>
      <c r="AF28" t="s">
        <v>476</v>
      </c>
      <c r="AO28">
        <v>27</v>
      </c>
      <c r="AP28" t="s">
        <v>408</v>
      </c>
      <c r="AQ28" t="s">
        <v>460</v>
      </c>
      <c r="AR28" t="s">
        <v>663</v>
      </c>
    </row>
    <row r="29" spans="4:46" x14ac:dyDescent="0.25">
      <c r="D29">
        <v>28</v>
      </c>
      <c r="E29" t="s">
        <v>292</v>
      </c>
      <c r="F29" t="s">
        <v>436</v>
      </c>
      <c r="P29">
        <v>28</v>
      </c>
      <c r="Q29" t="s">
        <v>292</v>
      </c>
      <c r="R29" t="s">
        <v>414</v>
      </c>
      <c r="AD29">
        <v>28</v>
      </c>
      <c r="AE29" t="s">
        <v>408</v>
      </c>
      <c r="AF29" t="s">
        <v>477</v>
      </c>
      <c r="AO29">
        <v>28</v>
      </c>
      <c r="AP29" t="s">
        <v>408</v>
      </c>
      <c r="AQ29" t="s">
        <v>454</v>
      </c>
      <c r="AR29" t="s">
        <v>664</v>
      </c>
      <c r="AT29">
        <v>1</v>
      </c>
    </row>
    <row r="30" spans="4:46" x14ac:dyDescent="0.25">
      <c r="D30">
        <v>29</v>
      </c>
      <c r="E30" t="s">
        <v>408</v>
      </c>
      <c r="F30" t="s">
        <v>437</v>
      </c>
      <c r="P30">
        <v>29</v>
      </c>
      <c r="Q30" t="s">
        <v>292</v>
      </c>
      <c r="R30" t="s">
        <v>444</v>
      </c>
      <c r="AD30">
        <v>29</v>
      </c>
      <c r="AE30" t="s">
        <v>292</v>
      </c>
      <c r="AF30" t="s">
        <v>478</v>
      </c>
      <c r="AO30">
        <v>29</v>
      </c>
      <c r="AP30" t="s">
        <v>408</v>
      </c>
      <c r="AQ30" t="s">
        <v>482</v>
      </c>
      <c r="AR30" t="s">
        <v>665</v>
      </c>
    </row>
    <row r="31" spans="4:46" x14ac:dyDescent="0.25">
      <c r="D31">
        <v>30</v>
      </c>
      <c r="E31" t="s">
        <v>292</v>
      </c>
      <c r="F31" t="s">
        <v>438</v>
      </c>
      <c r="P31">
        <v>30</v>
      </c>
      <c r="Q31" t="s">
        <v>292</v>
      </c>
      <c r="R31" t="s">
        <v>422</v>
      </c>
      <c r="AD31">
        <v>30</v>
      </c>
      <c r="AE31" t="s">
        <v>408</v>
      </c>
      <c r="AF31" t="s">
        <v>479</v>
      </c>
      <c r="AO31">
        <v>30</v>
      </c>
      <c r="AP31" t="s">
        <v>408</v>
      </c>
      <c r="AQ31" t="s">
        <v>455</v>
      </c>
      <c r="AR31" t="s">
        <v>666</v>
      </c>
    </row>
    <row r="32" spans="4:46" x14ac:dyDescent="0.25">
      <c r="D32">
        <v>31</v>
      </c>
      <c r="E32" t="s">
        <v>408</v>
      </c>
      <c r="F32" t="s">
        <v>439</v>
      </c>
      <c r="P32">
        <v>31</v>
      </c>
      <c r="Q32" t="s">
        <v>408</v>
      </c>
      <c r="R32" t="s">
        <v>412</v>
      </c>
      <c r="U32">
        <v>1</v>
      </c>
      <c r="AD32">
        <v>31</v>
      </c>
      <c r="AE32" t="s">
        <v>408</v>
      </c>
      <c r="AF32" t="s">
        <v>480</v>
      </c>
      <c r="AI32">
        <v>1</v>
      </c>
      <c r="AO32">
        <v>31</v>
      </c>
      <c r="AP32" t="s">
        <v>408</v>
      </c>
      <c r="AQ32" t="s">
        <v>456</v>
      </c>
      <c r="AR32" t="s">
        <v>667</v>
      </c>
    </row>
    <row r="33" spans="2:46" x14ac:dyDescent="0.25">
      <c r="D33">
        <v>32</v>
      </c>
      <c r="E33" t="s">
        <v>292</v>
      </c>
      <c r="F33" t="s">
        <v>440</v>
      </c>
      <c r="P33">
        <v>32</v>
      </c>
      <c r="Q33" t="s">
        <v>408</v>
      </c>
      <c r="R33" t="s">
        <v>418</v>
      </c>
      <c r="U33">
        <v>1</v>
      </c>
      <c r="AD33">
        <v>32</v>
      </c>
      <c r="AE33" t="s">
        <v>292</v>
      </c>
      <c r="AF33" t="s">
        <v>481</v>
      </c>
      <c r="AO33">
        <v>32</v>
      </c>
      <c r="AP33" t="s">
        <v>408</v>
      </c>
      <c r="AQ33" t="s">
        <v>479</v>
      </c>
      <c r="AR33" t="s">
        <v>668</v>
      </c>
    </row>
    <row r="34" spans="2:46" x14ac:dyDescent="0.25">
      <c r="D34">
        <v>33</v>
      </c>
      <c r="E34" t="s">
        <v>292</v>
      </c>
      <c r="F34" t="s">
        <v>441</v>
      </c>
      <c r="P34">
        <v>33</v>
      </c>
      <c r="Q34" t="s">
        <v>408</v>
      </c>
      <c r="R34" t="s">
        <v>423</v>
      </c>
      <c r="AD34">
        <v>33</v>
      </c>
      <c r="AE34" t="s">
        <v>408</v>
      </c>
      <c r="AF34" t="s">
        <v>482</v>
      </c>
      <c r="AO34">
        <v>33</v>
      </c>
      <c r="AP34" t="s">
        <v>408</v>
      </c>
      <c r="AQ34" t="s">
        <v>457</v>
      </c>
      <c r="AR34" t="s">
        <v>669</v>
      </c>
    </row>
    <row r="35" spans="2:46" x14ac:dyDescent="0.25">
      <c r="D35">
        <v>34</v>
      </c>
      <c r="E35" t="s">
        <v>408</v>
      </c>
      <c r="F35" t="s">
        <v>442</v>
      </c>
      <c r="I35">
        <v>1</v>
      </c>
      <c r="P35">
        <v>34</v>
      </c>
      <c r="Q35" t="s">
        <v>408</v>
      </c>
      <c r="R35" t="s">
        <v>429</v>
      </c>
      <c r="U35">
        <v>1</v>
      </c>
      <c r="AD35">
        <v>34</v>
      </c>
      <c r="AE35" t="s">
        <v>292</v>
      </c>
      <c r="AF35" t="s">
        <v>483</v>
      </c>
      <c r="AO35">
        <v>34</v>
      </c>
      <c r="AP35" t="s">
        <v>408</v>
      </c>
      <c r="AQ35" t="s">
        <v>458</v>
      </c>
      <c r="AR35" t="s">
        <v>670</v>
      </c>
    </row>
    <row r="36" spans="2:46" x14ac:dyDescent="0.25">
      <c r="D36">
        <v>35</v>
      </c>
      <c r="E36" t="s">
        <v>408</v>
      </c>
      <c r="F36" t="s">
        <v>443</v>
      </c>
      <c r="I36">
        <v>1</v>
      </c>
      <c r="P36">
        <v>35</v>
      </c>
      <c r="Q36" t="s">
        <v>408</v>
      </c>
      <c r="R36" t="s">
        <v>439</v>
      </c>
      <c r="U36">
        <v>1</v>
      </c>
      <c r="AD36">
        <v>35</v>
      </c>
      <c r="AE36" t="s">
        <v>292</v>
      </c>
      <c r="AF36" t="s">
        <v>484</v>
      </c>
      <c r="AO36">
        <v>35</v>
      </c>
      <c r="AP36" t="s">
        <v>408</v>
      </c>
      <c r="AQ36" t="s">
        <v>468</v>
      </c>
      <c r="AR36" t="s">
        <v>671</v>
      </c>
    </row>
    <row r="37" spans="2:46" x14ac:dyDescent="0.25">
      <c r="D37">
        <v>36</v>
      </c>
      <c r="E37" t="s">
        <v>292</v>
      </c>
      <c r="F37" t="s">
        <v>444</v>
      </c>
      <c r="P37">
        <v>36</v>
      </c>
      <c r="Q37" t="s">
        <v>408</v>
      </c>
      <c r="R37" t="s">
        <v>432</v>
      </c>
      <c r="AD37">
        <v>36</v>
      </c>
      <c r="AE37" t="s">
        <v>292</v>
      </c>
      <c r="AF37" t="s">
        <v>485</v>
      </c>
      <c r="AO37">
        <v>36</v>
      </c>
      <c r="AP37" t="s">
        <v>408</v>
      </c>
      <c r="AQ37" t="s">
        <v>480</v>
      </c>
      <c r="AR37" t="s">
        <v>672</v>
      </c>
    </row>
    <row r="38" spans="2:46" x14ac:dyDescent="0.25">
      <c r="D38">
        <v>37</v>
      </c>
      <c r="E38" t="s">
        <v>292</v>
      </c>
      <c r="F38" t="s">
        <v>445</v>
      </c>
      <c r="P38">
        <v>37</v>
      </c>
      <c r="Q38" t="s">
        <v>292</v>
      </c>
      <c r="R38" t="s">
        <v>436</v>
      </c>
      <c r="AD38">
        <v>37</v>
      </c>
      <c r="AE38" t="s">
        <v>408</v>
      </c>
      <c r="AF38" t="s">
        <v>486</v>
      </c>
      <c r="AO38">
        <v>37</v>
      </c>
      <c r="AP38" t="s">
        <v>292</v>
      </c>
      <c r="AQ38" t="s">
        <v>483</v>
      </c>
      <c r="AR38" t="s">
        <v>673</v>
      </c>
      <c r="AT38">
        <v>1</v>
      </c>
    </row>
    <row r="39" spans="2:46" x14ac:dyDescent="0.25">
      <c r="D39">
        <v>38</v>
      </c>
      <c r="E39" t="s">
        <v>292</v>
      </c>
      <c r="F39" t="s">
        <v>446</v>
      </c>
      <c r="P39">
        <v>38</v>
      </c>
      <c r="Q39" t="s">
        <v>292</v>
      </c>
      <c r="R39" t="s">
        <v>426</v>
      </c>
      <c r="AD39">
        <v>38</v>
      </c>
      <c r="AE39" t="s">
        <v>292</v>
      </c>
      <c r="AF39" t="s">
        <v>487</v>
      </c>
      <c r="AO39">
        <v>38</v>
      </c>
      <c r="AP39" t="s">
        <v>408</v>
      </c>
      <c r="AQ39" t="s">
        <v>477</v>
      </c>
      <c r="AR39" t="s">
        <v>674</v>
      </c>
    </row>
    <row r="40" spans="2:46" x14ac:dyDescent="0.25">
      <c r="D40">
        <v>39</v>
      </c>
      <c r="E40" t="s">
        <v>292</v>
      </c>
      <c r="F40" t="s">
        <v>447</v>
      </c>
      <c r="P40">
        <v>39</v>
      </c>
      <c r="Q40" t="s">
        <v>292</v>
      </c>
      <c r="R40" t="s">
        <v>428</v>
      </c>
      <c r="AD40">
        <v>39</v>
      </c>
      <c r="AE40" t="s">
        <v>292</v>
      </c>
      <c r="AF40" t="s">
        <v>488</v>
      </c>
      <c r="AO40">
        <v>39</v>
      </c>
      <c r="AP40" t="s">
        <v>292</v>
      </c>
      <c r="AQ40" t="s">
        <v>475</v>
      </c>
      <c r="AT40">
        <v>1</v>
      </c>
    </row>
    <row r="41" spans="2:46" x14ac:dyDescent="0.25">
      <c r="D41">
        <v>40</v>
      </c>
      <c r="E41" t="s">
        <v>292</v>
      </c>
      <c r="F41" t="s">
        <v>448</v>
      </c>
      <c r="P41">
        <v>40</v>
      </c>
      <c r="Q41" t="s">
        <v>292</v>
      </c>
      <c r="R41" t="s">
        <v>420</v>
      </c>
      <c r="AD41">
        <v>40</v>
      </c>
      <c r="AE41" t="s">
        <v>408</v>
      </c>
      <c r="AF41" t="s">
        <v>489</v>
      </c>
      <c r="AO41">
        <v>40</v>
      </c>
      <c r="AP41" t="s">
        <v>292</v>
      </c>
      <c r="AQ41" t="s">
        <v>488</v>
      </c>
      <c r="AR41" t="s">
        <v>675</v>
      </c>
    </row>
    <row r="42" spans="2:46" x14ac:dyDescent="0.25">
      <c r="I42" s="5">
        <f>SUM(I2:I41)</f>
        <v>9</v>
      </c>
      <c r="U42" s="5">
        <f>SUM(U2:U41)</f>
        <v>10</v>
      </c>
      <c r="AI42" s="5">
        <f>SUM(AI2:AI41)</f>
        <v>6</v>
      </c>
    </row>
    <row r="43" spans="2:46" x14ac:dyDescent="0.25">
      <c r="AT43">
        <f>SUM(AT2:AT42)</f>
        <v>7</v>
      </c>
    </row>
    <row r="45" spans="2:46" x14ac:dyDescent="0.25">
      <c r="B45" s="26"/>
      <c r="C45" s="27" t="s">
        <v>490</v>
      </c>
      <c r="D45" s="27" t="s">
        <v>74</v>
      </c>
      <c r="E45" s="27" t="s">
        <v>104</v>
      </c>
      <c r="F45" s="28" t="s">
        <v>158</v>
      </c>
    </row>
    <row r="46" spans="2:46" x14ac:dyDescent="0.25">
      <c r="B46" s="29" t="s">
        <v>502</v>
      </c>
      <c r="C46" s="30">
        <v>9</v>
      </c>
      <c r="D46" s="30">
        <v>10</v>
      </c>
      <c r="E46" s="30">
        <v>6</v>
      </c>
      <c r="F46" s="31">
        <v>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7"/>
  <sheetViews>
    <sheetView workbookViewId="0">
      <selection sqref="A1:H46"/>
    </sheetView>
  </sheetViews>
  <sheetFormatPr baseColWidth="10" defaultRowHeight="15" x14ac:dyDescent="0.25"/>
  <cols>
    <col min="1" max="1" width="17" customWidth="1"/>
    <col min="10" max="10" width="22.5703125" customWidth="1"/>
    <col min="15" max="15" width="15.140625" customWidth="1"/>
    <col min="19" max="19" width="19.85546875" customWidth="1"/>
    <col min="28" max="28" width="20" customWidth="1"/>
    <col min="32" max="32" width="17.7109375" customWidth="1"/>
    <col min="33" max="33" width="16.5703125" customWidth="1"/>
    <col min="36" max="36" width="22.7109375" customWidth="1"/>
  </cols>
  <sheetData>
    <row r="1" spans="1:35" ht="15.75" x14ac:dyDescent="0.25">
      <c r="A1" s="1" t="s">
        <v>264</v>
      </c>
      <c r="B1" s="2" t="s">
        <v>0</v>
      </c>
      <c r="C1" s="2" t="s">
        <v>1</v>
      </c>
      <c r="D1" s="2" t="s">
        <v>2</v>
      </c>
      <c r="E1" s="2" t="s">
        <v>27</v>
      </c>
      <c r="F1" s="2" t="s">
        <v>28</v>
      </c>
      <c r="G1" s="2" t="s">
        <v>12</v>
      </c>
      <c r="H1" s="2" t="s">
        <v>521</v>
      </c>
      <c r="J1" s="1" t="s">
        <v>264</v>
      </c>
      <c r="K1" s="2" t="s">
        <v>0</v>
      </c>
      <c r="L1" s="2" t="s">
        <v>1</v>
      </c>
      <c r="M1" s="2" t="s">
        <v>2</v>
      </c>
      <c r="N1" s="2" t="s">
        <v>27</v>
      </c>
      <c r="O1" s="2" t="s">
        <v>28</v>
      </c>
      <c r="P1" s="2" t="s">
        <v>12</v>
      </c>
      <c r="Q1" s="2" t="s">
        <v>521</v>
      </c>
      <c r="S1" s="1" t="s">
        <v>264</v>
      </c>
      <c r="T1" s="2" t="s">
        <v>0</v>
      </c>
      <c r="U1" s="2" t="s">
        <v>1</v>
      </c>
      <c r="V1" s="2" t="s">
        <v>2</v>
      </c>
      <c r="W1" s="2" t="s">
        <v>27</v>
      </c>
      <c r="X1" s="2" t="s">
        <v>28</v>
      </c>
      <c r="Y1" s="2" t="s">
        <v>12</v>
      </c>
      <c r="Z1" s="2" t="s">
        <v>521</v>
      </c>
      <c r="AB1" s="1" t="s">
        <v>264</v>
      </c>
      <c r="AC1" s="2" t="s">
        <v>0</v>
      </c>
      <c r="AD1" s="2" t="s">
        <v>1</v>
      </c>
      <c r="AE1" s="2" t="s">
        <v>2</v>
      </c>
      <c r="AF1" s="2" t="s">
        <v>27</v>
      </c>
      <c r="AG1" s="2" t="s">
        <v>28</v>
      </c>
      <c r="AH1" s="2" t="s">
        <v>12</v>
      </c>
      <c r="AI1" s="2" t="s">
        <v>521</v>
      </c>
    </row>
    <row r="2" spans="1:35" ht="15.75" x14ac:dyDescent="0.25">
      <c r="A2" s="3" t="s">
        <v>6</v>
      </c>
      <c r="B2">
        <v>1</v>
      </c>
      <c r="C2">
        <v>1</v>
      </c>
      <c r="D2">
        <v>1</v>
      </c>
      <c r="E2" t="s">
        <v>522</v>
      </c>
      <c r="F2" t="s">
        <v>525</v>
      </c>
      <c r="G2">
        <v>1</v>
      </c>
      <c r="J2" s="3" t="s">
        <v>74</v>
      </c>
      <c r="K2">
        <v>1</v>
      </c>
      <c r="L2">
        <v>2</v>
      </c>
      <c r="M2">
        <v>1</v>
      </c>
      <c r="N2" t="s">
        <v>522</v>
      </c>
      <c r="O2" t="s">
        <v>534</v>
      </c>
      <c r="P2">
        <v>1</v>
      </c>
      <c r="S2" s="3" t="s">
        <v>104</v>
      </c>
      <c r="T2">
        <v>2</v>
      </c>
      <c r="U2">
        <v>3</v>
      </c>
      <c r="V2">
        <v>1</v>
      </c>
      <c r="W2" t="s">
        <v>523</v>
      </c>
      <c r="X2" t="s">
        <v>579</v>
      </c>
      <c r="Y2">
        <v>1</v>
      </c>
      <c r="AB2" s="3" t="s">
        <v>158</v>
      </c>
      <c r="AC2">
        <v>2</v>
      </c>
      <c r="AD2">
        <v>4</v>
      </c>
      <c r="AE2">
        <v>1</v>
      </c>
      <c r="AF2" t="s">
        <v>524</v>
      </c>
      <c r="AG2" t="s">
        <v>603</v>
      </c>
      <c r="AH2">
        <v>1</v>
      </c>
    </row>
    <row r="3" spans="1:35" ht="15.75" x14ac:dyDescent="0.25">
      <c r="A3" s="1" t="s">
        <v>31</v>
      </c>
      <c r="D3">
        <v>2</v>
      </c>
      <c r="E3" t="s">
        <v>523</v>
      </c>
      <c r="F3" t="s">
        <v>326</v>
      </c>
      <c r="G3">
        <v>0</v>
      </c>
      <c r="H3" s="13" t="s">
        <v>568</v>
      </c>
      <c r="J3" s="1" t="s">
        <v>31</v>
      </c>
      <c r="M3">
        <v>2</v>
      </c>
      <c r="N3" t="s">
        <v>523</v>
      </c>
      <c r="O3" t="s">
        <v>552</v>
      </c>
      <c r="P3">
        <v>1</v>
      </c>
      <c r="S3" s="1" t="s">
        <v>31</v>
      </c>
      <c r="V3">
        <v>2</v>
      </c>
      <c r="W3" t="s">
        <v>522</v>
      </c>
      <c r="X3" t="s">
        <v>580</v>
      </c>
      <c r="Y3">
        <v>0</v>
      </c>
      <c r="Z3" t="s">
        <v>624</v>
      </c>
      <c r="AB3" s="1" t="s">
        <v>31</v>
      </c>
      <c r="AE3">
        <v>2</v>
      </c>
      <c r="AF3" t="s">
        <v>522</v>
      </c>
      <c r="AG3" t="s">
        <v>613</v>
      </c>
      <c r="AH3">
        <v>1</v>
      </c>
    </row>
    <row r="4" spans="1:35" ht="15.75" x14ac:dyDescent="0.25">
      <c r="A4" s="1" t="s">
        <v>72</v>
      </c>
      <c r="D4">
        <v>3</v>
      </c>
      <c r="E4" t="s">
        <v>524</v>
      </c>
      <c r="F4" t="s">
        <v>526</v>
      </c>
      <c r="G4">
        <v>1</v>
      </c>
      <c r="J4" s="1" t="s">
        <v>75</v>
      </c>
      <c r="M4">
        <v>3</v>
      </c>
      <c r="N4" t="s">
        <v>523</v>
      </c>
      <c r="O4" t="s">
        <v>326</v>
      </c>
      <c r="P4">
        <v>1</v>
      </c>
      <c r="S4" s="1" t="s">
        <v>131</v>
      </c>
      <c r="V4">
        <v>3</v>
      </c>
      <c r="W4" t="s">
        <v>522</v>
      </c>
      <c r="X4" t="s">
        <v>581</v>
      </c>
      <c r="Y4">
        <v>1</v>
      </c>
      <c r="AB4" s="1" t="s">
        <v>508</v>
      </c>
      <c r="AE4">
        <v>3</v>
      </c>
      <c r="AF4" t="s">
        <v>522</v>
      </c>
      <c r="AG4" t="s">
        <v>586</v>
      </c>
      <c r="AH4">
        <v>1</v>
      </c>
    </row>
    <row r="5" spans="1:35" ht="15.75" x14ac:dyDescent="0.25">
      <c r="A5" s="1" t="s">
        <v>573</v>
      </c>
      <c r="D5">
        <v>4</v>
      </c>
      <c r="E5" t="s">
        <v>523</v>
      </c>
      <c r="F5" t="s">
        <v>527</v>
      </c>
      <c r="G5">
        <v>1</v>
      </c>
      <c r="M5">
        <v>4</v>
      </c>
      <c r="N5" t="s">
        <v>524</v>
      </c>
      <c r="O5" t="s">
        <v>536</v>
      </c>
      <c r="P5">
        <v>0</v>
      </c>
      <c r="Q5" t="s">
        <v>569</v>
      </c>
      <c r="S5" s="1" t="s">
        <v>633</v>
      </c>
      <c r="V5">
        <v>4</v>
      </c>
      <c r="W5" t="s">
        <v>524</v>
      </c>
      <c r="X5" t="s">
        <v>582</v>
      </c>
      <c r="Y5">
        <v>0</v>
      </c>
      <c r="Z5" s="13" t="s">
        <v>625</v>
      </c>
      <c r="AB5" s="1" t="s">
        <v>639</v>
      </c>
      <c r="AE5">
        <v>4</v>
      </c>
      <c r="AF5" t="s">
        <v>524</v>
      </c>
      <c r="AG5" t="s">
        <v>585</v>
      </c>
      <c r="AH5">
        <v>1</v>
      </c>
    </row>
    <row r="6" spans="1:35" x14ac:dyDescent="0.25">
      <c r="D6">
        <v>5</v>
      </c>
      <c r="E6" t="s">
        <v>524</v>
      </c>
      <c r="F6" t="s">
        <v>528</v>
      </c>
      <c r="G6">
        <v>1</v>
      </c>
      <c r="M6">
        <v>5</v>
      </c>
      <c r="N6" t="s">
        <v>523</v>
      </c>
      <c r="O6" t="s">
        <v>551</v>
      </c>
      <c r="P6">
        <v>1</v>
      </c>
      <c r="V6">
        <v>5</v>
      </c>
      <c r="W6" t="s">
        <v>522</v>
      </c>
      <c r="X6" t="s">
        <v>583</v>
      </c>
      <c r="Y6">
        <v>1</v>
      </c>
      <c r="AE6">
        <v>5</v>
      </c>
      <c r="AF6" t="s">
        <v>524</v>
      </c>
      <c r="AG6" t="s">
        <v>606</v>
      </c>
      <c r="AH6">
        <v>1</v>
      </c>
    </row>
    <row r="7" spans="1:35" x14ac:dyDescent="0.25">
      <c r="D7">
        <v>6</v>
      </c>
      <c r="E7" t="s">
        <v>522</v>
      </c>
      <c r="F7" t="s">
        <v>529</v>
      </c>
      <c r="G7">
        <v>1</v>
      </c>
      <c r="M7">
        <v>6</v>
      </c>
      <c r="N7" t="s">
        <v>523</v>
      </c>
      <c r="O7" t="s">
        <v>544</v>
      </c>
      <c r="P7">
        <v>1</v>
      </c>
      <c r="V7">
        <v>6</v>
      </c>
      <c r="W7" t="s">
        <v>523</v>
      </c>
      <c r="X7" t="s">
        <v>584</v>
      </c>
      <c r="Y7">
        <v>1</v>
      </c>
      <c r="AE7">
        <v>6</v>
      </c>
      <c r="AF7" t="s">
        <v>523</v>
      </c>
      <c r="AG7" t="s">
        <v>609</v>
      </c>
      <c r="AH7">
        <v>1</v>
      </c>
    </row>
    <row r="8" spans="1:35" x14ac:dyDescent="0.25">
      <c r="D8">
        <v>7</v>
      </c>
      <c r="E8" t="s">
        <v>523</v>
      </c>
      <c r="F8" t="s">
        <v>294</v>
      </c>
      <c r="G8">
        <v>1</v>
      </c>
      <c r="M8">
        <v>7</v>
      </c>
      <c r="N8" t="s">
        <v>523</v>
      </c>
      <c r="O8" t="s">
        <v>546</v>
      </c>
      <c r="P8">
        <v>1</v>
      </c>
      <c r="V8">
        <v>7</v>
      </c>
      <c r="W8" t="s">
        <v>524</v>
      </c>
      <c r="X8" t="s">
        <v>585</v>
      </c>
      <c r="Y8">
        <v>1</v>
      </c>
      <c r="AE8">
        <v>7</v>
      </c>
      <c r="AF8" t="s">
        <v>523</v>
      </c>
      <c r="AG8" t="s">
        <v>597</v>
      </c>
      <c r="AH8">
        <v>1</v>
      </c>
    </row>
    <row r="9" spans="1:35" x14ac:dyDescent="0.25">
      <c r="D9">
        <v>8</v>
      </c>
      <c r="E9" t="s">
        <v>522</v>
      </c>
      <c r="F9" t="s">
        <v>530</v>
      </c>
      <c r="G9">
        <v>1</v>
      </c>
      <c r="M9">
        <v>8</v>
      </c>
      <c r="N9" t="s">
        <v>523</v>
      </c>
      <c r="O9" t="s">
        <v>527</v>
      </c>
      <c r="P9">
        <v>1</v>
      </c>
      <c r="V9">
        <v>8</v>
      </c>
      <c r="W9" t="s">
        <v>522</v>
      </c>
      <c r="X9" t="s">
        <v>586</v>
      </c>
      <c r="Y9">
        <v>1</v>
      </c>
      <c r="AE9">
        <v>8</v>
      </c>
      <c r="AF9" t="s">
        <v>524</v>
      </c>
      <c r="AG9" t="s">
        <v>614</v>
      </c>
      <c r="AH9">
        <v>1</v>
      </c>
    </row>
    <row r="10" spans="1:35" x14ac:dyDescent="0.25">
      <c r="D10">
        <v>9</v>
      </c>
      <c r="E10" t="s">
        <v>524</v>
      </c>
      <c r="F10" t="s">
        <v>531</v>
      </c>
      <c r="G10">
        <v>1</v>
      </c>
      <c r="M10">
        <v>9</v>
      </c>
      <c r="N10" t="s">
        <v>522</v>
      </c>
      <c r="O10" t="s">
        <v>548</v>
      </c>
      <c r="P10">
        <v>1</v>
      </c>
      <c r="V10">
        <v>9</v>
      </c>
      <c r="W10" t="s">
        <v>524</v>
      </c>
      <c r="X10" t="s">
        <v>587</v>
      </c>
      <c r="Y10">
        <v>1</v>
      </c>
      <c r="AE10">
        <v>9</v>
      </c>
      <c r="AF10" t="s">
        <v>524</v>
      </c>
      <c r="AG10" t="s">
        <v>601</v>
      </c>
      <c r="AH10">
        <v>1</v>
      </c>
    </row>
    <row r="11" spans="1:35" x14ac:dyDescent="0.25">
      <c r="D11">
        <v>10</v>
      </c>
      <c r="E11" t="s">
        <v>522</v>
      </c>
      <c r="F11" t="s">
        <v>532</v>
      </c>
      <c r="G11">
        <v>1</v>
      </c>
      <c r="M11">
        <v>10</v>
      </c>
      <c r="N11" t="s">
        <v>524</v>
      </c>
      <c r="O11" t="s">
        <v>553</v>
      </c>
      <c r="P11">
        <v>0</v>
      </c>
      <c r="Q11" t="s">
        <v>570</v>
      </c>
      <c r="V11">
        <v>10</v>
      </c>
      <c r="W11" t="s">
        <v>524</v>
      </c>
      <c r="X11" t="s">
        <v>588</v>
      </c>
      <c r="Y11">
        <v>1</v>
      </c>
      <c r="AE11">
        <v>10</v>
      </c>
      <c r="AF11" t="s">
        <v>522</v>
      </c>
      <c r="AG11" t="s">
        <v>583</v>
      </c>
      <c r="AH11">
        <v>1</v>
      </c>
    </row>
    <row r="12" spans="1:35" x14ac:dyDescent="0.25">
      <c r="D12">
        <v>11</v>
      </c>
      <c r="E12" t="s">
        <v>522</v>
      </c>
      <c r="F12" t="s">
        <v>533</v>
      </c>
      <c r="G12">
        <v>1</v>
      </c>
      <c r="M12">
        <v>11</v>
      </c>
      <c r="N12" t="s">
        <v>522</v>
      </c>
      <c r="O12" t="s">
        <v>566</v>
      </c>
      <c r="P12">
        <v>1</v>
      </c>
      <c r="V12">
        <v>11</v>
      </c>
      <c r="W12" t="s">
        <v>522</v>
      </c>
      <c r="X12" t="s">
        <v>589</v>
      </c>
      <c r="Y12">
        <v>1</v>
      </c>
      <c r="AE12">
        <v>11</v>
      </c>
      <c r="AF12" t="s">
        <v>522</v>
      </c>
      <c r="AG12" t="s">
        <v>589</v>
      </c>
      <c r="AH12">
        <v>1</v>
      </c>
    </row>
    <row r="13" spans="1:35" x14ac:dyDescent="0.25">
      <c r="D13">
        <v>12</v>
      </c>
      <c r="E13" t="s">
        <v>522</v>
      </c>
      <c r="F13" t="s">
        <v>534</v>
      </c>
      <c r="G13">
        <v>1</v>
      </c>
      <c r="M13">
        <v>12</v>
      </c>
      <c r="N13" t="s">
        <v>522</v>
      </c>
      <c r="O13" t="s">
        <v>533</v>
      </c>
      <c r="P13">
        <v>1</v>
      </c>
      <c r="V13">
        <v>12</v>
      </c>
      <c r="W13" t="s">
        <v>523</v>
      </c>
      <c r="X13" t="s">
        <v>590</v>
      </c>
      <c r="Y13">
        <v>1</v>
      </c>
      <c r="AE13">
        <v>12</v>
      </c>
      <c r="AF13" t="s">
        <v>522</v>
      </c>
      <c r="AG13" t="s">
        <v>622</v>
      </c>
      <c r="AH13">
        <v>1</v>
      </c>
    </row>
    <row r="14" spans="1:35" x14ac:dyDescent="0.25">
      <c r="D14">
        <v>13</v>
      </c>
      <c r="E14" t="s">
        <v>524</v>
      </c>
      <c r="F14" t="s">
        <v>535</v>
      </c>
      <c r="G14">
        <v>1</v>
      </c>
      <c r="M14">
        <v>13</v>
      </c>
      <c r="N14" t="s">
        <v>524</v>
      </c>
      <c r="O14" t="s">
        <v>565</v>
      </c>
      <c r="P14">
        <v>1</v>
      </c>
      <c r="V14">
        <v>13</v>
      </c>
      <c r="W14" t="s">
        <v>524</v>
      </c>
      <c r="X14" t="s">
        <v>591</v>
      </c>
      <c r="Y14">
        <v>0</v>
      </c>
      <c r="Z14" t="s">
        <v>626</v>
      </c>
      <c r="AE14">
        <v>13</v>
      </c>
      <c r="AF14" t="s">
        <v>523</v>
      </c>
      <c r="AG14" t="s">
        <v>595</v>
      </c>
      <c r="AH14">
        <v>0</v>
      </c>
      <c r="AI14" t="s">
        <v>634</v>
      </c>
    </row>
    <row r="15" spans="1:35" x14ac:dyDescent="0.25">
      <c r="D15">
        <v>14</v>
      </c>
      <c r="E15" t="s">
        <v>524</v>
      </c>
      <c r="F15" t="s">
        <v>536</v>
      </c>
      <c r="G15">
        <v>0</v>
      </c>
      <c r="H15" t="s">
        <v>569</v>
      </c>
      <c r="M15">
        <v>14</v>
      </c>
      <c r="N15" t="s">
        <v>522</v>
      </c>
      <c r="O15" t="s">
        <v>541</v>
      </c>
      <c r="P15">
        <v>1</v>
      </c>
      <c r="V15">
        <v>14</v>
      </c>
      <c r="W15" t="s">
        <v>523</v>
      </c>
      <c r="X15" t="s">
        <v>592</v>
      </c>
      <c r="Y15">
        <v>1</v>
      </c>
      <c r="AE15">
        <v>14</v>
      </c>
      <c r="AF15" t="s">
        <v>523</v>
      </c>
      <c r="AG15" t="s">
        <v>608</v>
      </c>
      <c r="AH15">
        <v>1</v>
      </c>
    </row>
    <row r="16" spans="1:35" x14ac:dyDescent="0.25">
      <c r="D16">
        <v>15</v>
      </c>
      <c r="E16" t="s">
        <v>523</v>
      </c>
      <c r="F16" t="s">
        <v>537</v>
      </c>
      <c r="G16">
        <v>1</v>
      </c>
      <c r="M16">
        <v>15</v>
      </c>
      <c r="N16" t="s">
        <v>524</v>
      </c>
      <c r="O16" t="s">
        <v>561</v>
      </c>
      <c r="P16">
        <v>0</v>
      </c>
      <c r="Q16" t="s">
        <v>572</v>
      </c>
      <c r="V16">
        <v>15</v>
      </c>
      <c r="W16" t="s">
        <v>523</v>
      </c>
      <c r="X16" t="s">
        <v>593</v>
      </c>
      <c r="Y16">
        <v>1</v>
      </c>
      <c r="AE16">
        <v>15</v>
      </c>
      <c r="AF16" t="s">
        <v>524</v>
      </c>
      <c r="AG16" t="s">
        <v>621</v>
      </c>
      <c r="AH16">
        <v>0</v>
      </c>
      <c r="AI16" t="s">
        <v>631</v>
      </c>
    </row>
    <row r="17" spans="4:35" x14ac:dyDescent="0.25">
      <c r="D17">
        <v>16</v>
      </c>
      <c r="E17" t="s">
        <v>523</v>
      </c>
      <c r="F17" t="s">
        <v>538</v>
      </c>
      <c r="G17">
        <v>1</v>
      </c>
      <c r="M17">
        <v>16</v>
      </c>
      <c r="N17" t="s">
        <v>524</v>
      </c>
      <c r="O17" t="s">
        <v>539</v>
      </c>
      <c r="P17">
        <v>1</v>
      </c>
      <c r="V17">
        <v>16</v>
      </c>
      <c r="W17" t="s">
        <v>522</v>
      </c>
      <c r="X17" t="s">
        <v>594</v>
      </c>
      <c r="Y17">
        <v>0</v>
      </c>
      <c r="Z17" t="s">
        <v>627</v>
      </c>
      <c r="AE17">
        <v>16</v>
      </c>
      <c r="AF17" t="s">
        <v>523</v>
      </c>
      <c r="AG17" t="s">
        <v>593</v>
      </c>
      <c r="AH17">
        <v>1</v>
      </c>
    </row>
    <row r="18" spans="4:35" x14ac:dyDescent="0.25">
      <c r="D18">
        <v>17</v>
      </c>
      <c r="E18" t="s">
        <v>524</v>
      </c>
      <c r="F18" t="s">
        <v>539</v>
      </c>
      <c r="G18">
        <v>1</v>
      </c>
      <c r="M18">
        <v>17</v>
      </c>
      <c r="N18" t="s">
        <v>522</v>
      </c>
      <c r="O18" t="s">
        <v>563</v>
      </c>
      <c r="P18">
        <v>1</v>
      </c>
      <c r="V18">
        <v>17</v>
      </c>
      <c r="W18" t="s">
        <v>523</v>
      </c>
      <c r="X18" t="s">
        <v>595</v>
      </c>
      <c r="Y18">
        <v>1</v>
      </c>
      <c r="AE18">
        <v>17</v>
      </c>
      <c r="AF18" t="s">
        <v>522</v>
      </c>
      <c r="AG18" t="s">
        <v>594</v>
      </c>
      <c r="AH18">
        <v>1</v>
      </c>
    </row>
    <row r="19" spans="4:35" x14ac:dyDescent="0.25">
      <c r="D19">
        <v>18</v>
      </c>
      <c r="E19" t="s">
        <v>524</v>
      </c>
      <c r="F19" t="s">
        <v>540</v>
      </c>
      <c r="G19">
        <v>1</v>
      </c>
      <c r="M19">
        <v>18</v>
      </c>
      <c r="N19" t="s">
        <v>522</v>
      </c>
      <c r="O19" t="s">
        <v>564</v>
      </c>
      <c r="P19">
        <v>0</v>
      </c>
      <c r="Q19" t="s">
        <v>574</v>
      </c>
      <c r="V19">
        <v>18</v>
      </c>
      <c r="W19" t="s">
        <v>524</v>
      </c>
      <c r="X19" t="s">
        <v>596</v>
      </c>
      <c r="Y19">
        <v>1</v>
      </c>
      <c r="AE19">
        <v>18</v>
      </c>
      <c r="AF19" t="s">
        <v>522</v>
      </c>
      <c r="AG19" t="s">
        <v>598</v>
      </c>
      <c r="AH19">
        <v>1</v>
      </c>
    </row>
    <row r="20" spans="4:35" x14ac:dyDescent="0.25">
      <c r="D20">
        <v>19</v>
      </c>
      <c r="E20" t="s">
        <v>522</v>
      </c>
      <c r="F20" t="s">
        <v>541</v>
      </c>
      <c r="G20">
        <v>1</v>
      </c>
      <c r="M20">
        <v>19</v>
      </c>
      <c r="N20" t="s">
        <v>524</v>
      </c>
      <c r="O20" t="s">
        <v>542</v>
      </c>
      <c r="P20">
        <v>1</v>
      </c>
      <c r="V20">
        <v>19</v>
      </c>
      <c r="W20" t="s">
        <v>523</v>
      </c>
      <c r="X20" t="s">
        <v>597</v>
      </c>
      <c r="Y20">
        <v>1</v>
      </c>
      <c r="AE20">
        <v>19</v>
      </c>
      <c r="AF20" t="s">
        <v>523</v>
      </c>
      <c r="AG20" t="s">
        <v>616</v>
      </c>
      <c r="AH20">
        <v>0</v>
      </c>
      <c r="AI20" t="s">
        <v>635</v>
      </c>
    </row>
    <row r="21" spans="4:35" x14ac:dyDescent="0.25">
      <c r="D21">
        <v>20</v>
      </c>
      <c r="E21" t="s">
        <v>524</v>
      </c>
      <c r="F21" t="s">
        <v>542</v>
      </c>
      <c r="G21">
        <v>1</v>
      </c>
      <c r="M21">
        <v>20</v>
      </c>
      <c r="N21" t="s">
        <v>523</v>
      </c>
      <c r="O21" t="s">
        <v>545</v>
      </c>
      <c r="P21">
        <v>1</v>
      </c>
      <c r="V21">
        <v>20</v>
      </c>
      <c r="W21" t="s">
        <v>522</v>
      </c>
      <c r="X21" t="s">
        <v>598</v>
      </c>
      <c r="Y21">
        <v>1</v>
      </c>
      <c r="AE21">
        <v>20</v>
      </c>
      <c r="AF21" t="s">
        <v>524</v>
      </c>
      <c r="AG21" t="s">
        <v>582</v>
      </c>
      <c r="AH21">
        <v>0</v>
      </c>
      <c r="AI21" s="13" t="s">
        <v>636</v>
      </c>
    </row>
    <row r="22" spans="4:35" x14ac:dyDescent="0.25">
      <c r="D22">
        <v>21</v>
      </c>
      <c r="E22" t="s">
        <v>523</v>
      </c>
      <c r="F22" t="s">
        <v>543</v>
      </c>
      <c r="G22">
        <v>1</v>
      </c>
      <c r="M22">
        <v>21</v>
      </c>
      <c r="N22" t="s">
        <v>524</v>
      </c>
      <c r="O22" t="s">
        <v>555</v>
      </c>
      <c r="P22">
        <v>0</v>
      </c>
      <c r="Q22" s="13" t="s">
        <v>571</v>
      </c>
      <c r="V22">
        <v>21</v>
      </c>
      <c r="W22" t="s">
        <v>524</v>
      </c>
      <c r="X22" t="s">
        <v>599</v>
      </c>
      <c r="Y22">
        <v>1</v>
      </c>
      <c r="AE22">
        <v>21</v>
      </c>
      <c r="AF22" t="s">
        <v>523</v>
      </c>
      <c r="AG22" t="s">
        <v>579</v>
      </c>
      <c r="AH22">
        <v>1</v>
      </c>
    </row>
    <row r="23" spans="4:35" x14ac:dyDescent="0.25">
      <c r="D23">
        <v>22</v>
      </c>
      <c r="E23" t="s">
        <v>523</v>
      </c>
      <c r="F23" t="s">
        <v>544</v>
      </c>
      <c r="G23">
        <v>1</v>
      </c>
      <c r="M23">
        <v>22</v>
      </c>
      <c r="N23" t="s">
        <v>523</v>
      </c>
      <c r="O23" t="s">
        <v>538</v>
      </c>
      <c r="P23">
        <v>1</v>
      </c>
      <c r="V23">
        <v>22</v>
      </c>
      <c r="W23" t="s">
        <v>524</v>
      </c>
      <c r="X23" t="s">
        <v>600</v>
      </c>
      <c r="Y23">
        <v>1</v>
      </c>
      <c r="AE23">
        <v>22</v>
      </c>
      <c r="AF23" t="s">
        <v>524</v>
      </c>
      <c r="AG23" t="s">
        <v>599</v>
      </c>
      <c r="AH23">
        <v>1</v>
      </c>
    </row>
    <row r="24" spans="4:35" x14ac:dyDescent="0.25">
      <c r="D24">
        <v>23</v>
      </c>
      <c r="E24" t="s">
        <v>523</v>
      </c>
      <c r="F24" t="s">
        <v>545</v>
      </c>
      <c r="G24">
        <v>1</v>
      </c>
      <c r="M24">
        <v>23</v>
      </c>
      <c r="N24" t="s">
        <v>524</v>
      </c>
      <c r="O24" t="s">
        <v>535</v>
      </c>
      <c r="P24">
        <v>1</v>
      </c>
      <c r="V24">
        <v>23</v>
      </c>
      <c r="W24" t="s">
        <v>524</v>
      </c>
      <c r="X24" t="s">
        <v>601</v>
      </c>
      <c r="Y24">
        <v>1</v>
      </c>
      <c r="AE24">
        <v>23</v>
      </c>
      <c r="AF24" t="s">
        <v>523</v>
      </c>
      <c r="AG24" t="s">
        <v>612</v>
      </c>
      <c r="AH24">
        <v>1</v>
      </c>
    </row>
    <row r="25" spans="4:35" x14ac:dyDescent="0.25">
      <c r="D25">
        <v>24</v>
      </c>
      <c r="E25" t="s">
        <v>523</v>
      </c>
      <c r="F25" t="s">
        <v>546</v>
      </c>
      <c r="G25">
        <v>1</v>
      </c>
      <c r="M25">
        <v>24</v>
      </c>
      <c r="N25" t="s">
        <v>522</v>
      </c>
      <c r="O25" t="s">
        <v>558</v>
      </c>
      <c r="P25">
        <v>1</v>
      </c>
      <c r="V25">
        <v>24</v>
      </c>
      <c r="W25" t="s">
        <v>523</v>
      </c>
      <c r="X25" t="s">
        <v>602</v>
      </c>
      <c r="Y25">
        <v>1</v>
      </c>
      <c r="AE25">
        <v>24</v>
      </c>
      <c r="AF25" t="s">
        <v>523</v>
      </c>
      <c r="AG25" t="s">
        <v>617</v>
      </c>
      <c r="AH25">
        <v>1</v>
      </c>
    </row>
    <row r="26" spans="4:35" x14ac:dyDescent="0.25">
      <c r="D26">
        <v>25</v>
      </c>
      <c r="E26" t="s">
        <v>523</v>
      </c>
      <c r="F26" t="s">
        <v>547</v>
      </c>
      <c r="G26">
        <v>1</v>
      </c>
      <c r="M26">
        <v>25</v>
      </c>
      <c r="N26" t="s">
        <v>522</v>
      </c>
      <c r="O26" t="s">
        <v>532</v>
      </c>
      <c r="P26">
        <v>1</v>
      </c>
      <c r="V26">
        <v>25</v>
      </c>
      <c r="W26" t="s">
        <v>524</v>
      </c>
      <c r="X26" t="s">
        <v>603</v>
      </c>
      <c r="Y26">
        <v>0</v>
      </c>
      <c r="Z26" t="s">
        <v>628</v>
      </c>
      <c r="AE26">
        <v>25</v>
      </c>
      <c r="AF26" t="s">
        <v>523</v>
      </c>
      <c r="AG26" t="s">
        <v>592</v>
      </c>
      <c r="AH26">
        <v>1</v>
      </c>
    </row>
    <row r="27" spans="4:35" x14ac:dyDescent="0.25">
      <c r="D27">
        <v>26</v>
      </c>
      <c r="E27" t="s">
        <v>522</v>
      </c>
      <c r="F27" t="s">
        <v>548</v>
      </c>
      <c r="G27">
        <v>1</v>
      </c>
      <c r="M27">
        <v>26</v>
      </c>
      <c r="N27" t="s">
        <v>524</v>
      </c>
      <c r="O27" t="s">
        <v>549</v>
      </c>
      <c r="P27">
        <v>1</v>
      </c>
      <c r="V27">
        <v>26</v>
      </c>
      <c r="W27" t="s">
        <v>522</v>
      </c>
      <c r="X27" t="s">
        <v>604</v>
      </c>
      <c r="Y27">
        <v>1</v>
      </c>
      <c r="AE27">
        <v>26</v>
      </c>
      <c r="AF27" t="s">
        <v>523</v>
      </c>
      <c r="AG27" t="s">
        <v>584</v>
      </c>
      <c r="AH27">
        <v>1</v>
      </c>
    </row>
    <row r="28" spans="4:35" x14ac:dyDescent="0.25">
      <c r="D28">
        <v>27</v>
      </c>
      <c r="E28" t="s">
        <v>524</v>
      </c>
      <c r="F28" t="s">
        <v>549</v>
      </c>
      <c r="G28">
        <v>1</v>
      </c>
      <c r="M28">
        <v>27</v>
      </c>
      <c r="N28" t="s">
        <v>522</v>
      </c>
      <c r="O28" t="s">
        <v>530</v>
      </c>
      <c r="P28">
        <v>1</v>
      </c>
      <c r="V28">
        <v>27</v>
      </c>
      <c r="W28" t="s">
        <v>522</v>
      </c>
      <c r="X28" t="s">
        <v>605</v>
      </c>
      <c r="Y28">
        <v>0</v>
      </c>
      <c r="Z28" t="s">
        <v>629</v>
      </c>
      <c r="AE28">
        <v>27</v>
      </c>
      <c r="AF28" t="s">
        <v>522</v>
      </c>
      <c r="AG28" t="s">
        <v>615</v>
      </c>
      <c r="AH28">
        <v>1</v>
      </c>
    </row>
    <row r="29" spans="4:35" x14ac:dyDescent="0.25">
      <c r="D29">
        <v>28</v>
      </c>
      <c r="E29" t="s">
        <v>522</v>
      </c>
      <c r="F29" t="s">
        <v>550</v>
      </c>
      <c r="G29">
        <v>1</v>
      </c>
      <c r="M29">
        <v>28</v>
      </c>
      <c r="N29" t="s">
        <v>522</v>
      </c>
      <c r="O29" t="s">
        <v>560</v>
      </c>
      <c r="P29">
        <v>1</v>
      </c>
      <c r="V29">
        <v>28</v>
      </c>
      <c r="W29" t="s">
        <v>524</v>
      </c>
      <c r="X29" t="s">
        <v>606</v>
      </c>
      <c r="Y29">
        <v>1</v>
      </c>
      <c r="AE29">
        <v>28</v>
      </c>
      <c r="AF29" t="s">
        <v>524</v>
      </c>
      <c r="AG29" t="s">
        <v>591</v>
      </c>
      <c r="AH29">
        <v>1</v>
      </c>
    </row>
    <row r="30" spans="4:35" x14ac:dyDescent="0.25">
      <c r="D30">
        <v>29</v>
      </c>
      <c r="E30" t="s">
        <v>523</v>
      </c>
      <c r="F30" t="s">
        <v>551</v>
      </c>
      <c r="G30">
        <v>1</v>
      </c>
      <c r="M30">
        <v>29</v>
      </c>
      <c r="N30" t="s">
        <v>523</v>
      </c>
      <c r="O30" t="s">
        <v>557</v>
      </c>
      <c r="P30">
        <v>1</v>
      </c>
      <c r="V30">
        <v>29</v>
      </c>
      <c r="W30" t="s">
        <v>523</v>
      </c>
      <c r="X30" t="s">
        <v>607</v>
      </c>
      <c r="Y30">
        <v>1</v>
      </c>
      <c r="AE30">
        <v>29</v>
      </c>
      <c r="AF30" t="s">
        <v>522</v>
      </c>
      <c r="AG30" t="s">
        <v>604</v>
      </c>
      <c r="AH30">
        <v>1</v>
      </c>
    </row>
    <row r="31" spans="4:35" x14ac:dyDescent="0.25">
      <c r="D31">
        <v>30</v>
      </c>
      <c r="E31" t="s">
        <v>523</v>
      </c>
      <c r="F31" t="s">
        <v>552</v>
      </c>
      <c r="G31">
        <v>1</v>
      </c>
      <c r="M31">
        <v>30</v>
      </c>
      <c r="N31" t="s">
        <v>522</v>
      </c>
      <c r="O31" t="s">
        <v>562</v>
      </c>
      <c r="P31">
        <v>1</v>
      </c>
      <c r="V31">
        <v>30</v>
      </c>
      <c r="W31" t="s">
        <v>523</v>
      </c>
      <c r="X31" t="s">
        <v>608</v>
      </c>
      <c r="Y31">
        <v>1</v>
      </c>
      <c r="AE31">
        <v>30</v>
      </c>
      <c r="AF31" t="s">
        <v>522</v>
      </c>
      <c r="AG31" t="s">
        <v>618</v>
      </c>
      <c r="AH31">
        <v>1</v>
      </c>
    </row>
    <row r="32" spans="4:35" x14ac:dyDescent="0.25">
      <c r="D32">
        <v>31</v>
      </c>
      <c r="E32" t="s">
        <v>524</v>
      </c>
      <c r="F32" t="s">
        <v>553</v>
      </c>
      <c r="G32">
        <v>0</v>
      </c>
      <c r="H32" t="s">
        <v>570</v>
      </c>
      <c r="M32">
        <v>31</v>
      </c>
      <c r="N32" t="s">
        <v>522</v>
      </c>
      <c r="O32" t="s">
        <v>550</v>
      </c>
      <c r="P32">
        <v>1</v>
      </c>
      <c r="V32">
        <v>31</v>
      </c>
      <c r="W32" t="s">
        <v>523</v>
      </c>
      <c r="X32" t="s">
        <v>609</v>
      </c>
      <c r="Y32">
        <v>1</v>
      </c>
      <c r="AE32">
        <v>31</v>
      </c>
      <c r="AF32" t="s">
        <v>524</v>
      </c>
      <c r="AG32" t="s">
        <v>600</v>
      </c>
      <c r="AH32">
        <v>1</v>
      </c>
    </row>
    <row r="33" spans="4:36" x14ac:dyDescent="0.25">
      <c r="D33">
        <v>32</v>
      </c>
      <c r="E33" t="s">
        <v>523</v>
      </c>
      <c r="F33" t="s">
        <v>554</v>
      </c>
      <c r="G33">
        <v>1</v>
      </c>
      <c r="M33">
        <v>32</v>
      </c>
      <c r="N33" t="s">
        <v>523</v>
      </c>
      <c r="O33" t="s">
        <v>559</v>
      </c>
      <c r="P33">
        <v>1</v>
      </c>
      <c r="V33">
        <v>32</v>
      </c>
      <c r="W33" t="s">
        <v>522</v>
      </c>
      <c r="X33" t="s">
        <v>610</v>
      </c>
      <c r="Y33">
        <v>1</v>
      </c>
      <c r="AE33">
        <v>32</v>
      </c>
      <c r="AF33" t="s">
        <v>524</v>
      </c>
      <c r="AG33" t="s">
        <v>596</v>
      </c>
      <c r="AH33">
        <v>1</v>
      </c>
    </row>
    <row r="34" spans="4:36" x14ac:dyDescent="0.25">
      <c r="D34">
        <v>33</v>
      </c>
      <c r="E34" t="s">
        <v>524</v>
      </c>
      <c r="F34" t="s">
        <v>555</v>
      </c>
      <c r="G34">
        <v>0</v>
      </c>
      <c r="H34" s="13" t="s">
        <v>571</v>
      </c>
      <c r="M34">
        <v>33</v>
      </c>
      <c r="N34" t="s">
        <v>523</v>
      </c>
      <c r="O34" t="s">
        <v>554</v>
      </c>
      <c r="P34">
        <v>1</v>
      </c>
      <c r="V34">
        <v>33</v>
      </c>
      <c r="W34" t="s">
        <v>522</v>
      </c>
      <c r="X34" t="s">
        <v>611</v>
      </c>
      <c r="Y34">
        <v>1</v>
      </c>
      <c r="AE34">
        <v>33</v>
      </c>
      <c r="AF34" t="s">
        <v>522</v>
      </c>
      <c r="AG34" t="s">
        <v>610</v>
      </c>
      <c r="AH34">
        <v>1</v>
      </c>
    </row>
    <row r="35" spans="4:36" x14ac:dyDescent="0.25">
      <c r="D35">
        <v>34</v>
      </c>
      <c r="E35" t="s">
        <v>524</v>
      </c>
      <c r="F35" t="s">
        <v>556</v>
      </c>
      <c r="G35">
        <v>1</v>
      </c>
      <c r="M35">
        <v>34</v>
      </c>
      <c r="N35" t="s">
        <v>524</v>
      </c>
      <c r="O35" t="s">
        <v>567</v>
      </c>
      <c r="P35">
        <v>0</v>
      </c>
      <c r="Q35" t="s">
        <v>575</v>
      </c>
      <c r="V35">
        <v>34</v>
      </c>
      <c r="W35" t="s">
        <v>523</v>
      </c>
      <c r="X35" t="s">
        <v>612</v>
      </c>
      <c r="Y35">
        <v>1</v>
      </c>
      <c r="AE35">
        <v>34</v>
      </c>
      <c r="AF35" t="s">
        <v>523</v>
      </c>
      <c r="AG35" t="s">
        <v>590</v>
      </c>
      <c r="AH35">
        <v>0</v>
      </c>
      <c r="AI35" t="s">
        <v>637</v>
      </c>
      <c r="AJ35" t="s">
        <v>638</v>
      </c>
    </row>
    <row r="36" spans="4:36" x14ac:dyDescent="0.25">
      <c r="D36">
        <v>35</v>
      </c>
      <c r="E36" t="s">
        <v>523</v>
      </c>
      <c r="F36" t="s">
        <v>557</v>
      </c>
      <c r="G36">
        <v>1</v>
      </c>
      <c r="M36">
        <v>35</v>
      </c>
      <c r="N36" t="s">
        <v>523</v>
      </c>
      <c r="O36" t="s">
        <v>294</v>
      </c>
      <c r="P36">
        <v>1</v>
      </c>
      <c r="V36">
        <v>35</v>
      </c>
      <c r="W36" t="s">
        <v>522</v>
      </c>
      <c r="X36" t="s">
        <v>613</v>
      </c>
      <c r="Y36">
        <v>1</v>
      </c>
      <c r="AE36">
        <v>35</v>
      </c>
      <c r="AF36" t="s">
        <v>522</v>
      </c>
      <c r="AG36" t="s">
        <v>581</v>
      </c>
      <c r="AH36">
        <v>1</v>
      </c>
    </row>
    <row r="37" spans="4:36" x14ac:dyDescent="0.25">
      <c r="D37">
        <v>36</v>
      </c>
      <c r="E37" t="s">
        <v>522</v>
      </c>
      <c r="F37" t="s">
        <v>558</v>
      </c>
      <c r="G37">
        <v>1</v>
      </c>
      <c r="M37">
        <v>36</v>
      </c>
      <c r="N37" t="s">
        <v>523</v>
      </c>
      <c r="O37" t="s">
        <v>537</v>
      </c>
      <c r="P37">
        <v>1</v>
      </c>
      <c r="V37">
        <v>36</v>
      </c>
      <c r="W37" t="s">
        <v>524</v>
      </c>
      <c r="X37" t="s">
        <v>614</v>
      </c>
      <c r="Y37">
        <v>1</v>
      </c>
      <c r="AE37">
        <v>36</v>
      </c>
      <c r="AF37" t="s">
        <v>522</v>
      </c>
      <c r="AG37" t="s">
        <v>611</v>
      </c>
      <c r="AH37">
        <v>1</v>
      </c>
    </row>
    <row r="38" spans="4:36" x14ac:dyDescent="0.25">
      <c r="D38">
        <v>37</v>
      </c>
      <c r="E38" t="s">
        <v>523</v>
      </c>
      <c r="F38" t="s">
        <v>559</v>
      </c>
      <c r="G38">
        <v>1</v>
      </c>
      <c r="M38">
        <v>37</v>
      </c>
      <c r="N38" t="s">
        <v>524</v>
      </c>
      <c r="O38" t="s">
        <v>531</v>
      </c>
      <c r="P38">
        <v>1</v>
      </c>
      <c r="V38">
        <v>37</v>
      </c>
      <c r="W38" t="s">
        <v>522</v>
      </c>
      <c r="X38" t="s">
        <v>615</v>
      </c>
      <c r="Y38">
        <v>1</v>
      </c>
      <c r="AE38">
        <v>37</v>
      </c>
      <c r="AF38" t="s">
        <v>524</v>
      </c>
      <c r="AG38" t="s">
        <v>623</v>
      </c>
      <c r="AH38">
        <v>1</v>
      </c>
    </row>
    <row r="39" spans="4:36" x14ac:dyDescent="0.25">
      <c r="D39">
        <v>38</v>
      </c>
      <c r="E39" t="s">
        <v>522</v>
      </c>
      <c r="F39" t="s">
        <v>560</v>
      </c>
      <c r="G39">
        <v>1</v>
      </c>
      <c r="M39">
        <v>38</v>
      </c>
      <c r="N39" t="s">
        <v>524</v>
      </c>
      <c r="O39" t="s">
        <v>540</v>
      </c>
      <c r="P39">
        <v>0</v>
      </c>
      <c r="Q39" t="s">
        <v>576</v>
      </c>
      <c r="V39">
        <v>38</v>
      </c>
      <c r="W39" t="s">
        <v>523</v>
      </c>
      <c r="X39" t="s">
        <v>616</v>
      </c>
      <c r="Y39">
        <v>1</v>
      </c>
      <c r="AE39">
        <v>38</v>
      </c>
      <c r="AF39" t="s">
        <v>524</v>
      </c>
      <c r="AG39" t="s">
        <v>588</v>
      </c>
      <c r="AH39">
        <v>1</v>
      </c>
    </row>
    <row r="40" spans="4:36" x14ac:dyDescent="0.25">
      <c r="D40">
        <v>39</v>
      </c>
      <c r="E40" t="s">
        <v>524</v>
      </c>
      <c r="F40" t="s">
        <v>561</v>
      </c>
      <c r="G40">
        <v>0</v>
      </c>
      <c r="H40" t="s">
        <v>572</v>
      </c>
      <c r="M40">
        <v>39</v>
      </c>
      <c r="N40" t="s">
        <v>523</v>
      </c>
      <c r="O40" t="s">
        <v>547</v>
      </c>
      <c r="P40">
        <v>1</v>
      </c>
      <c r="V40">
        <v>39</v>
      </c>
      <c r="W40" t="s">
        <v>523</v>
      </c>
      <c r="X40" t="s">
        <v>617</v>
      </c>
      <c r="Y40">
        <v>1</v>
      </c>
      <c r="AE40">
        <v>39</v>
      </c>
      <c r="AF40" t="s">
        <v>523</v>
      </c>
      <c r="AG40" t="s">
        <v>602</v>
      </c>
      <c r="AH40">
        <v>1</v>
      </c>
    </row>
    <row r="41" spans="4:36" x14ac:dyDescent="0.25">
      <c r="D41">
        <v>40</v>
      </c>
      <c r="E41" t="s">
        <v>522</v>
      </c>
      <c r="F41" t="s">
        <v>562</v>
      </c>
      <c r="G41">
        <v>1</v>
      </c>
      <c r="M41">
        <v>40</v>
      </c>
      <c r="N41" t="s">
        <v>523</v>
      </c>
      <c r="O41" t="s">
        <v>543</v>
      </c>
      <c r="P41">
        <v>1</v>
      </c>
      <c r="V41">
        <v>40</v>
      </c>
      <c r="W41" t="s">
        <v>522</v>
      </c>
      <c r="X41" t="s">
        <v>618</v>
      </c>
      <c r="Y41">
        <v>1</v>
      </c>
      <c r="AE41">
        <v>40</v>
      </c>
      <c r="AF41" t="s">
        <v>524</v>
      </c>
      <c r="AG41" t="s">
        <v>587</v>
      </c>
      <c r="AH41">
        <v>1</v>
      </c>
    </row>
    <row r="42" spans="4:36" x14ac:dyDescent="0.25">
      <c r="D42">
        <v>41</v>
      </c>
      <c r="E42" t="s">
        <v>522</v>
      </c>
      <c r="F42" t="s">
        <v>563</v>
      </c>
      <c r="G42">
        <v>1</v>
      </c>
      <c r="M42">
        <v>41</v>
      </c>
      <c r="N42" t="s">
        <v>522</v>
      </c>
      <c r="O42" t="s">
        <v>529</v>
      </c>
      <c r="P42">
        <v>1</v>
      </c>
      <c r="V42">
        <v>41</v>
      </c>
      <c r="W42" t="s">
        <v>523</v>
      </c>
      <c r="X42" t="s">
        <v>619</v>
      </c>
      <c r="Y42">
        <v>1</v>
      </c>
      <c r="AE42">
        <v>41</v>
      </c>
      <c r="AF42" t="s">
        <v>523</v>
      </c>
      <c r="AG42" t="s">
        <v>607</v>
      </c>
      <c r="AH42">
        <v>1</v>
      </c>
    </row>
    <row r="43" spans="4:36" x14ac:dyDescent="0.25">
      <c r="D43">
        <v>42</v>
      </c>
      <c r="E43" t="s">
        <v>522</v>
      </c>
      <c r="F43" t="s">
        <v>564</v>
      </c>
      <c r="G43">
        <v>1</v>
      </c>
      <c r="M43">
        <v>42</v>
      </c>
      <c r="N43" t="s">
        <v>524</v>
      </c>
      <c r="O43" t="s">
        <v>528</v>
      </c>
      <c r="P43">
        <v>1</v>
      </c>
      <c r="V43">
        <v>42</v>
      </c>
      <c r="W43" t="s">
        <v>524</v>
      </c>
      <c r="X43" t="s">
        <v>620</v>
      </c>
      <c r="Y43">
        <v>0</v>
      </c>
      <c r="Z43" t="s">
        <v>630</v>
      </c>
      <c r="AE43">
        <v>42</v>
      </c>
      <c r="AF43" t="s">
        <v>522</v>
      </c>
      <c r="AG43" t="s">
        <v>605</v>
      </c>
      <c r="AH43">
        <v>1</v>
      </c>
    </row>
    <row r="44" spans="4:36" x14ac:dyDescent="0.25">
      <c r="D44">
        <v>43</v>
      </c>
      <c r="E44" t="s">
        <v>524</v>
      </c>
      <c r="F44" t="s">
        <v>565</v>
      </c>
      <c r="G44">
        <v>1</v>
      </c>
      <c r="M44">
        <v>43</v>
      </c>
      <c r="N44" t="s">
        <v>524</v>
      </c>
      <c r="O44" t="s">
        <v>526</v>
      </c>
      <c r="P44">
        <v>1</v>
      </c>
      <c r="V44">
        <v>43</v>
      </c>
      <c r="W44" t="s">
        <v>524</v>
      </c>
      <c r="X44" t="s">
        <v>621</v>
      </c>
      <c r="Y44">
        <v>0</v>
      </c>
      <c r="Z44" t="s">
        <v>631</v>
      </c>
      <c r="AE44">
        <v>43</v>
      </c>
      <c r="AF44" t="s">
        <v>522</v>
      </c>
      <c r="AG44" t="s">
        <v>580</v>
      </c>
      <c r="AH44">
        <v>1</v>
      </c>
    </row>
    <row r="45" spans="4:36" x14ac:dyDescent="0.25">
      <c r="D45">
        <v>44</v>
      </c>
      <c r="E45" t="s">
        <v>522</v>
      </c>
      <c r="F45" t="s">
        <v>566</v>
      </c>
      <c r="G45">
        <v>1</v>
      </c>
      <c r="M45">
        <v>44</v>
      </c>
      <c r="N45" t="s">
        <v>522</v>
      </c>
      <c r="O45" t="s">
        <v>525</v>
      </c>
      <c r="P45">
        <v>0</v>
      </c>
      <c r="Q45" t="s">
        <v>577</v>
      </c>
      <c r="V45">
        <v>44</v>
      </c>
      <c r="W45" t="s">
        <v>522</v>
      </c>
      <c r="X45" t="s">
        <v>622</v>
      </c>
      <c r="Y45">
        <v>0</v>
      </c>
      <c r="Z45" t="s">
        <v>632</v>
      </c>
      <c r="AE45">
        <v>44</v>
      </c>
      <c r="AF45" t="s">
        <v>524</v>
      </c>
      <c r="AG45" t="s">
        <v>620</v>
      </c>
      <c r="AH45">
        <v>0</v>
      </c>
      <c r="AI45" t="s">
        <v>630</v>
      </c>
    </row>
    <row r="46" spans="4:36" x14ac:dyDescent="0.25">
      <c r="D46">
        <v>45</v>
      </c>
      <c r="E46" t="s">
        <v>524</v>
      </c>
      <c r="F46" t="s">
        <v>567</v>
      </c>
      <c r="G46">
        <v>1</v>
      </c>
      <c r="M46">
        <v>45</v>
      </c>
      <c r="N46" t="s">
        <v>524</v>
      </c>
      <c r="O46" t="s">
        <v>556</v>
      </c>
      <c r="P46">
        <v>0</v>
      </c>
      <c r="Q46" s="13" t="s">
        <v>578</v>
      </c>
      <c r="V46">
        <v>45</v>
      </c>
      <c r="W46" t="s">
        <v>524</v>
      </c>
      <c r="X46" t="s">
        <v>623</v>
      </c>
      <c r="Y46">
        <v>1</v>
      </c>
      <c r="AE46">
        <v>45</v>
      </c>
      <c r="AF46" t="s">
        <v>523</v>
      </c>
      <c r="AG46" t="s">
        <v>619</v>
      </c>
      <c r="AH46">
        <v>1</v>
      </c>
    </row>
    <row r="47" spans="4:36" x14ac:dyDescent="0.25">
      <c r="G47" s="7">
        <f>SUM(G2:G46)</f>
        <v>40</v>
      </c>
      <c r="Y47" s="7">
        <f>SUM(Y2:Y46)</f>
        <v>36</v>
      </c>
      <c r="AH47" s="9">
        <f>SUM(AH2:AH46)</f>
        <v>39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tabSelected="1" workbookViewId="0">
      <selection activeCell="H24" sqref="H24:L25"/>
    </sheetView>
  </sheetViews>
  <sheetFormatPr baseColWidth="10" defaultRowHeight="15" x14ac:dyDescent="0.25"/>
  <cols>
    <col min="1" max="1" width="17.5703125" customWidth="1"/>
    <col min="5" max="5" width="15.7109375" customWidth="1"/>
    <col min="6" max="6" width="17" customWidth="1"/>
    <col min="10" max="10" width="15.5703125" customWidth="1"/>
    <col min="15" max="15" width="17.5703125" customWidth="1"/>
  </cols>
  <sheetData>
    <row r="1" spans="1:34" ht="15.75" x14ac:dyDescent="0.25">
      <c r="A1" s="1" t="s">
        <v>264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J1" s="1" t="s">
        <v>264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/>
      <c r="S1" s="1" t="s">
        <v>264</v>
      </c>
      <c r="T1" s="2" t="s">
        <v>0</v>
      </c>
      <c r="U1" s="2" t="s">
        <v>1</v>
      </c>
      <c r="V1" s="2" t="s">
        <v>2</v>
      </c>
      <c r="W1" s="2" t="s">
        <v>3</v>
      </c>
      <c r="X1" s="2" t="s">
        <v>4</v>
      </c>
      <c r="Y1" s="2" t="s">
        <v>5</v>
      </c>
      <c r="AB1" s="1" t="s">
        <v>264</v>
      </c>
      <c r="AC1" s="2" t="s">
        <v>0</v>
      </c>
      <c r="AD1" s="2" t="s">
        <v>1</v>
      </c>
      <c r="AE1" s="2" t="s">
        <v>2</v>
      </c>
      <c r="AF1" s="2" t="s">
        <v>3</v>
      </c>
      <c r="AG1" s="2" t="s">
        <v>4</v>
      </c>
      <c r="AH1" t="s">
        <v>5</v>
      </c>
    </row>
    <row r="2" spans="1:34" ht="15.75" x14ac:dyDescent="0.25">
      <c r="A2" s="3" t="s">
        <v>6</v>
      </c>
      <c r="B2">
        <v>1</v>
      </c>
      <c r="C2">
        <v>1</v>
      </c>
      <c r="D2">
        <v>1</v>
      </c>
      <c r="E2" t="s">
        <v>373</v>
      </c>
      <c r="F2" t="s">
        <v>379</v>
      </c>
      <c r="G2">
        <v>1</v>
      </c>
      <c r="J2" s="3" t="s">
        <v>74</v>
      </c>
      <c r="K2">
        <v>1</v>
      </c>
      <c r="L2">
        <v>2</v>
      </c>
      <c r="M2">
        <v>1</v>
      </c>
      <c r="N2" t="s">
        <v>373</v>
      </c>
      <c r="O2" t="s">
        <v>388</v>
      </c>
      <c r="P2">
        <v>1</v>
      </c>
      <c r="S2" s="3" t="s">
        <v>104</v>
      </c>
      <c r="T2">
        <v>2</v>
      </c>
      <c r="U2">
        <v>3</v>
      </c>
      <c r="V2">
        <v>1</v>
      </c>
      <c r="W2" t="s">
        <v>374</v>
      </c>
      <c r="X2" t="s">
        <v>394</v>
      </c>
      <c r="Y2">
        <v>1</v>
      </c>
      <c r="AB2" s="3" t="s">
        <v>158</v>
      </c>
      <c r="AC2">
        <v>2</v>
      </c>
      <c r="AD2">
        <v>4</v>
      </c>
      <c r="AE2">
        <v>1</v>
      </c>
      <c r="AF2" t="s">
        <v>373</v>
      </c>
      <c r="AG2" t="s">
        <v>406</v>
      </c>
      <c r="AH2">
        <v>1</v>
      </c>
    </row>
    <row r="3" spans="1:34" ht="15.75" x14ac:dyDescent="0.25">
      <c r="A3" s="1" t="s">
        <v>32</v>
      </c>
      <c r="D3">
        <v>2</v>
      </c>
      <c r="E3" t="s">
        <v>374</v>
      </c>
      <c r="F3" t="s">
        <v>380</v>
      </c>
      <c r="G3">
        <v>1</v>
      </c>
      <c r="J3" s="1" t="s">
        <v>32</v>
      </c>
      <c r="M3">
        <v>2</v>
      </c>
      <c r="N3" t="s">
        <v>377</v>
      </c>
      <c r="O3" t="s">
        <v>387</v>
      </c>
      <c r="P3">
        <v>0</v>
      </c>
      <c r="S3" s="1" t="s">
        <v>32</v>
      </c>
      <c r="V3">
        <v>2</v>
      </c>
      <c r="W3" t="s">
        <v>377</v>
      </c>
      <c r="X3" t="s">
        <v>395</v>
      </c>
      <c r="Y3">
        <v>1</v>
      </c>
      <c r="AB3" s="1" t="s">
        <v>32</v>
      </c>
      <c r="AE3">
        <v>2</v>
      </c>
      <c r="AF3" t="s">
        <v>378</v>
      </c>
      <c r="AG3" t="s">
        <v>401</v>
      </c>
      <c r="AH3">
        <v>0</v>
      </c>
    </row>
    <row r="4" spans="1:34" ht="15.75" x14ac:dyDescent="0.25">
      <c r="A4" s="1" t="s">
        <v>72</v>
      </c>
      <c r="D4">
        <v>3</v>
      </c>
      <c r="E4" t="s">
        <v>375</v>
      </c>
      <c r="F4" t="s">
        <v>381</v>
      </c>
      <c r="G4">
        <v>0</v>
      </c>
      <c r="J4" s="1" t="s">
        <v>75</v>
      </c>
      <c r="M4">
        <v>3</v>
      </c>
      <c r="N4" t="s">
        <v>376</v>
      </c>
      <c r="O4" t="s">
        <v>383</v>
      </c>
      <c r="P4">
        <v>1</v>
      </c>
      <c r="S4" s="1" t="s">
        <v>131</v>
      </c>
      <c r="V4">
        <v>3</v>
      </c>
      <c r="W4" t="s">
        <v>375</v>
      </c>
      <c r="X4" t="s">
        <v>396</v>
      </c>
      <c r="Y4">
        <v>1</v>
      </c>
      <c r="AB4" s="1" t="s">
        <v>508</v>
      </c>
      <c r="AE4">
        <v>3</v>
      </c>
      <c r="AF4" t="s">
        <v>373</v>
      </c>
      <c r="AG4" t="s">
        <v>397</v>
      </c>
      <c r="AH4">
        <v>1</v>
      </c>
    </row>
    <row r="5" spans="1:34" ht="15.75" x14ac:dyDescent="0.25">
      <c r="A5" s="1" t="s">
        <v>39</v>
      </c>
      <c r="D5">
        <v>4</v>
      </c>
      <c r="E5" t="s">
        <v>373</v>
      </c>
      <c r="F5" t="s">
        <v>382</v>
      </c>
      <c r="G5">
        <v>1</v>
      </c>
      <c r="J5" s="1" t="s">
        <v>39</v>
      </c>
      <c r="M5">
        <v>4</v>
      </c>
      <c r="N5" t="s">
        <v>378</v>
      </c>
      <c r="O5" t="s">
        <v>392</v>
      </c>
      <c r="P5">
        <v>1</v>
      </c>
      <c r="S5" s="1" t="s">
        <v>39</v>
      </c>
      <c r="V5">
        <v>4</v>
      </c>
      <c r="W5" t="s">
        <v>373</v>
      </c>
      <c r="X5" t="s">
        <v>397</v>
      </c>
      <c r="Y5">
        <v>1</v>
      </c>
      <c r="AB5" s="1" t="s">
        <v>39</v>
      </c>
      <c r="AE5">
        <v>4</v>
      </c>
      <c r="AF5" t="s">
        <v>374</v>
      </c>
      <c r="AG5" t="s">
        <v>394</v>
      </c>
      <c r="AH5">
        <v>1</v>
      </c>
    </row>
    <row r="6" spans="1:34" ht="15.75" x14ac:dyDescent="0.25">
      <c r="A6" s="1" t="s">
        <v>40</v>
      </c>
      <c r="D6">
        <v>5</v>
      </c>
      <c r="E6" t="s">
        <v>376</v>
      </c>
      <c r="F6" t="s">
        <v>383</v>
      </c>
      <c r="G6">
        <v>0</v>
      </c>
      <c r="J6" s="1" t="s">
        <v>40</v>
      </c>
      <c r="M6">
        <v>5</v>
      </c>
      <c r="N6" t="s">
        <v>374</v>
      </c>
      <c r="O6" t="s">
        <v>380</v>
      </c>
      <c r="P6">
        <v>1</v>
      </c>
      <c r="S6" s="1" t="s">
        <v>40</v>
      </c>
      <c r="V6">
        <v>5</v>
      </c>
      <c r="W6" t="s">
        <v>376</v>
      </c>
      <c r="X6" t="s">
        <v>398</v>
      </c>
      <c r="Y6">
        <v>1</v>
      </c>
      <c r="AB6" s="1" t="s">
        <v>40</v>
      </c>
      <c r="AE6">
        <v>5</v>
      </c>
      <c r="AF6" t="s">
        <v>376</v>
      </c>
      <c r="AG6" t="s">
        <v>398</v>
      </c>
      <c r="AH6">
        <v>1</v>
      </c>
    </row>
    <row r="7" spans="1:34" x14ac:dyDescent="0.25">
      <c r="D7">
        <v>6</v>
      </c>
      <c r="E7" t="s">
        <v>376</v>
      </c>
      <c r="F7" t="s">
        <v>384</v>
      </c>
      <c r="G7">
        <v>0</v>
      </c>
      <c r="M7">
        <v>6</v>
      </c>
      <c r="N7" t="s">
        <v>376</v>
      </c>
      <c r="O7" t="s">
        <v>389</v>
      </c>
      <c r="P7">
        <v>1</v>
      </c>
      <c r="V7">
        <v>6</v>
      </c>
      <c r="W7" t="s">
        <v>374</v>
      </c>
      <c r="X7" t="s">
        <v>399</v>
      </c>
      <c r="Y7">
        <v>0</v>
      </c>
      <c r="AE7">
        <v>6</v>
      </c>
      <c r="AF7" t="s">
        <v>374</v>
      </c>
      <c r="AG7" t="s">
        <v>402</v>
      </c>
      <c r="AH7">
        <v>0</v>
      </c>
    </row>
    <row r="8" spans="1:34" x14ac:dyDescent="0.25">
      <c r="D8">
        <v>7</v>
      </c>
      <c r="E8" t="s">
        <v>376</v>
      </c>
      <c r="F8" t="s">
        <v>385</v>
      </c>
      <c r="G8">
        <v>0</v>
      </c>
      <c r="M8">
        <v>7</v>
      </c>
      <c r="N8" t="s">
        <v>373</v>
      </c>
      <c r="O8" t="s">
        <v>379</v>
      </c>
      <c r="P8">
        <v>0</v>
      </c>
      <c r="V8">
        <v>7</v>
      </c>
      <c r="W8" t="s">
        <v>376</v>
      </c>
      <c r="X8" t="s">
        <v>400</v>
      </c>
      <c r="Y8">
        <v>0</v>
      </c>
      <c r="AE8">
        <v>7</v>
      </c>
      <c r="AF8" t="s">
        <v>377</v>
      </c>
      <c r="AG8" t="s">
        <v>395</v>
      </c>
      <c r="AH8">
        <v>0</v>
      </c>
    </row>
    <row r="9" spans="1:34" x14ac:dyDescent="0.25">
      <c r="D9">
        <v>8</v>
      </c>
      <c r="E9" t="s">
        <v>374</v>
      </c>
      <c r="F9" t="s">
        <v>386</v>
      </c>
      <c r="G9">
        <v>1</v>
      </c>
      <c r="M9">
        <v>8</v>
      </c>
      <c r="N9" t="s">
        <v>376</v>
      </c>
      <c r="O9" t="s">
        <v>385</v>
      </c>
      <c r="P9">
        <v>0</v>
      </c>
      <c r="V9">
        <v>8</v>
      </c>
      <c r="W9" t="s">
        <v>378</v>
      </c>
      <c r="X9" t="s">
        <v>401</v>
      </c>
      <c r="Y9">
        <v>0</v>
      </c>
      <c r="AE9">
        <v>8</v>
      </c>
      <c r="AF9" t="s">
        <v>373</v>
      </c>
      <c r="AG9" t="s">
        <v>404</v>
      </c>
      <c r="AH9">
        <v>1</v>
      </c>
    </row>
    <row r="10" spans="1:34" x14ac:dyDescent="0.25">
      <c r="D10">
        <v>9</v>
      </c>
      <c r="E10" t="s">
        <v>377</v>
      </c>
      <c r="F10" t="s">
        <v>387</v>
      </c>
      <c r="G10">
        <v>0</v>
      </c>
      <c r="M10">
        <v>9</v>
      </c>
      <c r="N10" t="s">
        <v>373</v>
      </c>
      <c r="O10" t="s">
        <v>382</v>
      </c>
      <c r="P10">
        <v>0</v>
      </c>
      <c r="V10">
        <v>9</v>
      </c>
      <c r="W10" t="s">
        <v>374</v>
      </c>
      <c r="X10" t="s">
        <v>402</v>
      </c>
      <c r="Y10">
        <v>0</v>
      </c>
      <c r="AE10">
        <v>9</v>
      </c>
      <c r="AF10" t="s">
        <v>376</v>
      </c>
      <c r="AG10" t="s">
        <v>405</v>
      </c>
      <c r="AH10">
        <v>1</v>
      </c>
    </row>
    <row r="11" spans="1:34" x14ac:dyDescent="0.25">
      <c r="D11">
        <v>10</v>
      </c>
      <c r="E11" t="s">
        <v>373</v>
      </c>
      <c r="F11" t="s">
        <v>388</v>
      </c>
      <c r="G11">
        <v>1</v>
      </c>
      <c r="M11">
        <v>10</v>
      </c>
      <c r="N11" t="s">
        <v>374</v>
      </c>
      <c r="O11" t="s">
        <v>386</v>
      </c>
      <c r="P11">
        <v>0</v>
      </c>
      <c r="V11">
        <v>10</v>
      </c>
      <c r="W11" t="s">
        <v>376</v>
      </c>
      <c r="X11" t="s">
        <v>403</v>
      </c>
      <c r="Y11">
        <v>1</v>
      </c>
      <c r="AE11">
        <v>10</v>
      </c>
      <c r="AF11" t="s">
        <v>375</v>
      </c>
      <c r="AG11" t="s">
        <v>396</v>
      </c>
      <c r="AH11">
        <v>1</v>
      </c>
    </row>
    <row r="12" spans="1:34" x14ac:dyDescent="0.25">
      <c r="D12">
        <v>11</v>
      </c>
      <c r="E12" t="s">
        <v>376</v>
      </c>
      <c r="F12" t="s">
        <v>389</v>
      </c>
      <c r="G12">
        <v>0</v>
      </c>
      <c r="M12">
        <v>11</v>
      </c>
      <c r="N12" t="s">
        <v>373</v>
      </c>
      <c r="O12" t="s">
        <v>390</v>
      </c>
      <c r="P12">
        <v>1</v>
      </c>
      <c r="V12">
        <v>11</v>
      </c>
      <c r="W12" t="s">
        <v>373</v>
      </c>
      <c r="X12" t="s">
        <v>404</v>
      </c>
      <c r="Y12">
        <v>0</v>
      </c>
      <c r="AE12">
        <v>11</v>
      </c>
      <c r="AF12" t="s">
        <v>376</v>
      </c>
      <c r="AG12" t="s">
        <v>403</v>
      </c>
      <c r="AH12">
        <v>1</v>
      </c>
    </row>
    <row r="13" spans="1:34" x14ac:dyDescent="0.25">
      <c r="D13">
        <v>12</v>
      </c>
      <c r="E13" t="s">
        <v>373</v>
      </c>
      <c r="F13" t="s">
        <v>390</v>
      </c>
      <c r="G13">
        <v>0</v>
      </c>
      <c r="M13">
        <v>12</v>
      </c>
      <c r="N13" t="s">
        <v>375</v>
      </c>
      <c r="O13" t="s">
        <v>381</v>
      </c>
      <c r="P13">
        <v>1</v>
      </c>
      <c r="V13">
        <v>12</v>
      </c>
      <c r="W13" t="s">
        <v>376</v>
      </c>
      <c r="X13" t="s">
        <v>405</v>
      </c>
      <c r="Y13">
        <v>0</v>
      </c>
      <c r="AE13">
        <v>12</v>
      </c>
      <c r="AF13" t="s">
        <v>376</v>
      </c>
      <c r="AG13" t="s">
        <v>400</v>
      </c>
      <c r="AH13">
        <v>0</v>
      </c>
    </row>
    <row r="14" spans="1:34" x14ac:dyDescent="0.25">
      <c r="D14">
        <v>13</v>
      </c>
      <c r="E14" t="s">
        <v>378</v>
      </c>
      <c r="F14" t="s">
        <v>391</v>
      </c>
      <c r="G14">
        <v>1</v>
      </c>
      <c r="M14">
        <v>13</v>
      </c>
      <c r="N14" t="s">
        <v>378</v>
      </c>
      <c r="O14" t="s">
        <v>391</v>
      </c>
      <c r="P14">
        <v>1</v>
      </c>
      <c r="V14">
        <v>13</v>
      </c>
      <c r="W14" t="s">
        <v>373</v>
      </c>
      <c r="X14" t="s">
        <v>406</v>
      </c>
      <c r="Y14">
        <v>0</v>
      </c>
      <c r="AE14">
        <v>13</v>
      </c>
      <c r="AF14" t="s">
        <v>374</v>
      </c>
      <c r="AG14" t="s">
        <v>399</v>
      </c>
      <c r="AH14">
        <v>1</v>
      </c>
    </row>
    <row r="15" spans="1:34" x14ac:dyDescent="0.25">
      <c r="D15">
        <v>14</v>
      </c>
      <c r="E15" t="s">
        <v>378</v>
      </c>
      <c r="F15" t="s">
        <v>392</v>
      </c>
      <c r="G15">
        <v>1</v>
      </c>
      <c r="M15">
        <v>14</v>
      </c>
      <c r="N15" t="s">
        <v>376</v>
      </c>
      <c r="O15" t="s">
        <v>384</v>
      </c>
      <c r="P15">
        <v>1</v>
      </c>
      <c r="V15">
        <v>14</v>
      </c>
      <c r="W15" t="s">
        <v>393</v>
      </c>
      <c r="X15" t="s">
        <v>407</v>
      </c>
      <c r="Y15">
        <v>0</v>
      </c>
      <c r="AE15">
        <v>14</v>
      </c>
      <c r="AF15" t="s">
        <v>393</v>
      </c>
      <c r="AG15" t="s">
        <v>407</v>
      </c>
      <c r="AH15">
        <v>0</v>
      </c>
    </row>
    <row r="16" spans="1:34" x14ac:dyDescent="0.25">
      <c r="G16" s="5">
        <f>SUM(G2:G15)</f>
        <v>7</v>
      </c>
      <c r="P16" s="5">
        <f>SUM(P2:P15)</f>
        <v>9</v>
      </c>
      <c r="Y16" s="5">
        <f>SUM(Y2:Y15)</f>
        <v>6</v>
      </c>
      <c r="AH16" s="5">
        <f>SUM(AH2:AH15)</f>
        <v>9</v>
      </c>
    </row>
    <row r="24" spans="8:12" x14ac:dyDescent="0.25">
      <c r="H24" s="26"/>
      <c r="I24" s="27" t="s">
        <v>490</v>
      </c>
      <c r="J24" s="27" t="s">
        <v>74</v>
      </c>
      <c r="K24" s="27" t="s">
        <v>104</v>
      </c>
      <c r="L24" s="28" t="s">
        <v>158</v>
      </c>
    </row>
    <row r="25" spans="8:12" x14ac:dyDescent="0.25">
      <c r="H25" s="29" t="s">
        <v>503</v>
      </c>
      <c r="I25" s="30">
        <v>7</v>
      </c>
      <c r="J25" s="30">
        <v>9</v>
      </c>
      <c r="K25" s="30">
        <v>6</v>
      </c>
      <c r="L25" s="31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2023-02-09T09:35:57Z</dcterms:modified>
</cp:coreProperties>
</file>