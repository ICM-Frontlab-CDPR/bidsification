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3" activeTab="4"/>
  </bookViews>
  <sheets>
    <sheet name="Patient" sheetId="11" r:id="rId1"/>
    <sheet name="AS verbale" sheetId="1" r:id="rId2"/>
    <sheet name="AS visuelle" sheetId="2" r:id="rId3"/>
    <sheet name="EXE verb." sheetId="3" r:id="rId4"/>
    <sheet name="EXE visu." sheetId="4" r:id="rId5"/>
    <sheet name="FLUENCE cat." sheetId="5" r:id="rId6"/>
    <sheet name="FLUENCE verb." sheetId="6" r:id="rId7"/>
    <sheet name="DC cat." sheetId="7" r:id="rId8"/>
    <sheet name="DENO" sheetId="8" r:id="rId9"/>
    <sheet name="LECTURE" sheetId="9" r:id="rId10"/>
    <sheet name="BIP" sheetId="10" r:id="rId11"/>
  </sheets>
  <calcPr calcId="152511"/>
</workbook>
</file>

<file path=xl/calcChain.xml><?xml version="1.0" encoding="utf-8"?>
<calcChain xmlns="http://schemas.openxmlformats.org/spreadsheetml/2006/main">
  <c r="AL30" i="2" l="1"/>
  <c r="AM28" i="2"/>
  <c r="AK30" i="1"/>
  <c r="AL28" i="1"/>
  <c r="AT42" i="8"/>
  <c r="AG42" i="8"/>
  <c r="U42" i="8"/>
  <c r="I42" i="8"/>
  <c r="AB11" i="6" l="1"/>
  <c r="T10" i="6"/>
  <c r="K10" i="6"/>
  <c r="AM16" i="10"/>
  <c r="AP42" i="7"/>
  <c r="AD42" i="7"/>
  <c r="R42" i="7"/>
  <c r="G42" i="7"/>
  <c r="V28" i="4"/>
  <c r="AD28" i="4"/>
  <c r="AF28" i="3"/>
  <c r="AK28" i="2"/>
  <c r="AJ28" i="1"/>
  <c r="AK48" i="9"/>
  <c r="AA48" i="9"/>
  <c r="Q48" i="9"/>
  <c r="G48" i="9"/>
  <c r="AW28" i="4"/>
  <c r="AV28" i="2"/>
  <c r="BF28" i="2"/>
  <c r="BE28" i="1"/>
  <c r="AY28" i="3"/>
  <c r="AP28" i="3"/>
  <c r="AN28" i="4"/>
  <c r="G28" i="4"/>
  <c r="F28" i="4"/>
  <c r="H28" i="3"/>
  <c r="G28" i="3"/>
  <c r="H52" i="2"/>
  <c r="I51" i="2"/>
  <c r="R52" i="2"/>
  <c r="S51" i="2"/>
  <c r="AB51" i="2"/>
  <c r="AC50" i="2"/>
  <c r="AB28" i="2"/>
  <c r="R28" i="2"/>
  <c r="H28" i="2"/>
  <c r="AA47" i="1"/>
  <c r="AB46" i="1"/>
  <c r="R41" i="1"/>
  <c r="Q41" i="1"/>
  <c r="G46" i="1"/>
  <c r="H45" i="1"/>
  <c r="AA28" i="1"/>
  <c r="Q28" i="1"/>
  <c r="G28" i="1"/>
  <c r="AB16" i="10"/>
  <c r="R16" i="10"/>
  <c r="H16" i="10"/>
</calcChain>
</file>

<file path=xl/comments1.xml><?xml version="1.0" encoding="utf-8"?>
<comments xmlns="http://schemas.openxmlformats.org/spreadsheetml/2006/main">
  <authors>
    <author>Auteur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Anna: les scores proviennent d'une analyse ultérieure. Fichier excel join ( dossier patient)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 xml:space="preserve">Anna </t>
        </r>
        <r>
          <rPr>
            <sz val="9"/>
            <color indexed="81"/>
            <rFont val="Tahoma"/>
            <family val="2"/>
          </rPr>
          <t>: Le bilan de septembre était un complément du bilan HDJ réalisé le 30 janvier 2018.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<sst xmlns="http://schemas.openxmlformats.org/spreadsheetml/2006/main" count="2944" uniqueCount="894">
  <si>
    <t>Version</t>
  </si>
  <si>
    <t>Session</t>
  </si>
  <si>
    <t>Trial</t>
  </si>
  <si>
    <t>Profession</t>
  </si>
  <si>
    <t>Nom</t>
  </si>
  <si>
    <t>Personnalités reconnues</t>
  </si>
  <si>
    <t>BIP.ACC</t>
  </si>
  <si>
    <t>BIP.RT</t>
  </si>
  <si>
    <t>Prétraitement</t>
  </si>
  <si>
    <t>Acteur</t>
  </si>
  <si>
    <t>Gérard Depardieu</t>
  </si>
  <si>
    <t>BIP</t>
  </si>
  <si>
    <t>Actrice</t>
  </si>
  <si>
    <t>Romy Schneider</t>
  </si>
  <si>
    <t>Chanteur</t>
  </si>
  <si>
    <t>Renaud</t>
  </si>
  <si>
    <t>Presentateur TV</t>
  </si>
  <si>
    <t>Jean Pierre Foulcault</t>
  </si>
  <si>
    <t>Yves Montand</t>
  </si>
  <si>
    <t>Bourvil</t>
  </si>
  <si>
    <t>Présentateur TV</t>
  </si>
  <si>
    <t>Pascal Sevran</t>
  </si>
  <si>
    <t>Politique</t>
  </si>
  <si>
    <t>Edouard Balladur</t>
  </si>
  <si>
    <t>Juliette Greco</t>
  </si>
  <si>
    <t>Sylvie Vartan</t>
  </si>
  <si>
    <t>Charles Aznavour</t>
  </si>
  <si>
    <t>Miou Miou</t>
  </si>
  <si>
    <t>Pierre Richard</t>
  </si>
  <si>
    <t>Jacques Chirac</t>
  </si>
  <si>
    <t>PAT001-006-CV</t>
  </si>
  <si>
    <t>11.09.18</t>
  </si>
  <si>
    <t>Score rec  /14</t>
  </si>
  <si>
    <t>Score prof 8 /14</t>
  </si>
  <si>
    <t>01.10.18</t>
  </si>
  <si>
    <t>Score prof  8 /14</t>
  </si>
  <si>
    <t>11.10.18</t>
  </si>
  <si>
    <t>Présentatrice TV</t>
  </si>
  <si>
    <t>Fernandel</t>
  </si>
  <si>
    <t>Johnny Halliday</t>
  </si>
  <si>
    <t>Georges Brassens</t>
  </si>
  <si>
    <t xml:space="preserve">Catherine Deneuve </t>
  </si>
  <si>
    <t>Arlette Laguiller</t>
  </si>
  <si>
    <t>Daniel Auteuil</t>
  </si>
  <si>
    <t>PPDA</t>
  </si>
  <si>
    <t>Sean Connery</t>
  </si>
  <si>
    <t>Danièle Gilbert</t>
  </si>
  <si>
    <t>Jeanne Moreau</t>
  </si>
  <si>
    <t>Michel Drucker</t>
  </si>
  <si>
    <t>Thierry Lhermitte</t>
  </si>
  <si>
    <t>Brigitte Bardot</t>
  </si>
  <si>
    <t>Serge Gainsbourg</t>
  </si>
  <si>
    <t>Score prof  6 /14</t>
  </si>
  <si>
    <t>Target</t>
  </si>
  <si>
    <t>Condition target</t>
  </si>
  <si>
    <t>Réponse ?</t>
  </si>
  <si>
    <t>ImageDisplay2.ACC</t>
  </si>
  <si>
    <t>ImageDisplay2.RT</t>
  </si>
  <si>
    <t>nonviv.mot17.bmp</t>
  </si>
  <si>
    <t>non vivant</t>
  </si>
  <si>
    <t>AS verbale</t>
  </si>
  <si>
    <t>nonviv.mot8.bmp</t>
  </si>
  <si>
    <t>nonviv.mot11.bmp</t>
  </si>
  <si>
    <t>viv.mot5.bmp</t>
  </si>
  <si>
    <t>vivant</t>
  </si>
  <si>
    <t>viv.mot11.bmp</t>
  </si>
  <si>
    <t>viv.mot24.bmp</t>
  </si>
  <si>
    <t>nonviv.mot16.bmp</t>
  </si>
  <si>
    <t>nonviv.mot13.bmp</t>
  </si>
  <si>
    <t>nonviv.mot7.bmp</t>
  </si>
  <si>
    <t>viv.mot6.bmp</t>
  </si>
  <si>
    <t>nonviv.mot10.bmp</t>
  </si>
  <si>
    <t>viv.mot9.bmp</t>
  </si>
  <si>
    <t>nonviv.mot15.bmp</t>
  </si>
  <si>
    <t>nonviv.mot18.bmp</t>
  </si>
  <si>
    <t>nonviv.mot19.bmp</t>
  </si>
  <si>
    <t>viv.mot26.bmp</t>
  </si>
  <si>
    <t>viv.mot14.bmp</t>
  </si>
  <si>
    <t>viv.mot8.bmp</t>
  </si>
  <si>
    <t>viv.mot25.bmp</t>
  </si>
  <si>
    <t>viv.mot17.bmp</t>
  </si>
  <si>
    <t>viv.mot7.bmp</t>
  </si>
  <si>
    <t>viv.mot15.bmp</t>
  </si>
  <si>
    <t>nonviv.mot12.bmp</t>
  </si>
  <si>
    <t>nonviv.mot9.bmp</t>
  </si>
  <si>
    <t>nonviv.mot14.bmp</t>
  </si>
  <si>
    <t>viv.mot18.bmp</t>
  </si>
  <si>
    <t>11.10.2018</t>
  </si>
  <si>
    <t>11.09.2018</t>
  </si>
  <si>
    <t>01.10.2018</t>
  </si>
  <si>
    <t>viv.mot3.bmp</t>
  </si>
  <si>
    <t>nonviv.mot21.bmp</t>
  </si>
  <si>
    <t>nonviv.mot26.bmp</t>
  </si>
  <si>
    <t>viv.mot2.bmp</t>
  </si>
  <si>
    <t>viv.mot19.bmp</t>
  </si>
  <si>
    <t>nonviv.mot24.bmp</t>
  </si>
  <si>
    <t>nonviv.mot23.bmp</t>
  </si>
  <si>
    <t>nonviv.mot22.bmp</t>
  </si>
  <si>
    <t>viv.mot16.bmp</t>
  </si>
  <si>
    <t>viv.mot20.bmp</t>
  </si>
  <si>
    <t>nonviv.mot4.bmp</t>
  </si>
  <si>
    <t>nonviv.mot6.bmp</t>
  </si>
  <si>
    <t>viv.mot23.bmp</t>
  </si>
  <si>
    <t>nonviv.mot5.bmp</t>
  </si>
  <si>
    <t>viv.mot4.bmp</t>
  </si>
  <si>
    <t>nonviv.mot3.bmp</t>
  </si>
  <si>
    <t>nonviv.mot1.bmp</t>
  </si>
  <si>
    <t>viv.mot1.bmp</t>
  </si>
  <si>
    <t>viv.mot10.bmp</t>
  </si>
  <si>
    <t>viv.mot22.bmp</t>
  </si>
  <si>
    <t>viv.mot21.bmp</t>
  </si>
  <si>
    <t>viv.mot13.bmp</t>
  </si>
  <si>
    <t>nonviv.mot20.bmp</t>
  </si>
  <si>
    <t>viv.mot12.bmp</t>
  </si>
  <si>
    <t>nonviv.mot2.bmp</t>
  </si>
  <si>
    <t>nonviv.mot25.bmp</t>
  </si>
  <si>
    <t>INC</t>
  </si>
  <si>
    <t>Post 1</t>
  </si>
  <si>
    <t>Post 2</t>
  </si>
  <si>
    <t>Post 3</t>
  </si>
  <si>
    <t>réponse</t>
  </si>
  <si>
    <t xml:space="preserve"> AS verb 01-006CV</t>
  </si>
  <si>
    <t xml:space="preserve"> AS verb 01-006V</t>
  </si>
  <si>
    <t>viv17.bmp</t>
  </si>
  <si>
    <t>nonviv12.bmp</t>
  </si>
  <si>
    <t>viv6.bmp</t>
  </si>
  <si>
    <t>nonviv18.bmp</t>
  </si>
  <si>
    <t>viv26.bmp</t>
  </si>
  <si>
    <t>nonviv13.bmp</t>
  </si>
  <si>
    <t>nonviv19.bmp</t>
  </si>
  <si>
    <t>viv18.bmp</t>
  </si>
  <si>
    <t>viv8.bmp</t>
  </si>
  <si>
    <t>nonviv16.bmp</t>
  </si>
  <si>
    <t>viv7.bmp</t>
  </si>
  <si>
    <t>viv5.bmp</t>
  </si>
  <si>
    <t>nonviv14.bmp</t>
  </si>
  <si>
    <t>nonviv15.bmp</t>
  </si>
  <si>
    <t>viv11.bmp</t>
  </si>
  <si>
    <t>nonviv17.bmp</t>
  </si>
  <si>
    <t>nonviv7.bmp</t>
  </si>
  <si>
    <t>viv24.bmp</t>
  </si>
  <si>
    <t>nonviv9.bmp</t>
  </si>
  <si>
    <t>nonviv11.bmp</t>
  </si>
  <si>
    <t>nonviv10.bmp</t>
  </si>
  <si>
    <t>viv9.bmp</t>
  </si>
  <si>
    <t>viv14.bmp</t>
  </si>
  <si>
    <t>viv25.bmp</t>
  </si>
  <si>
    <t>viv15.bmp</t>
  </si>
  <si>
    <t>nonviv8.bmp</t>
  </si>
  <si>
    <t>Post 1 (BILAN 2)</t>
  </si>
  <si>
    <t>nonviv23.bmp</t>
  </si>
  <si>
    <t>viv16.bmp</t>
  </si>
  <si>
    <t>nonviv1.bmp</t>
  </si>
  <si>
    <t>viv23.bmp</t>
  </si>
  <si>
    <t>viv10.bmp</t>
  </si>
  <si>
    <t>nonviv22.bmp</t>
  </si>
  <si>
    <t>viv20.bmp</t>
  </si>
  <si>
    <t>viv13.bmp</t>
  </si>
  <si>
    <t>nonviv21.bmp</t>
  </si>
  <si>
    <t>viv3.bmp</t>
  </si>
  <si>
    <t>nonviv3.bmp</t>
  </si>
  <si>
    <t>nonviv20.bmp</t>
  </si>
  <si>
    <t>viv12.bmp</t>
  </si>
  <si>
    <t>nonviv2.bmp</t>
  </si>
  <si>
    <t>viv2.bmp</t>
  </si>
  <si>
    <t>viv4.bmp</t>
  </si>
  <si>
    <t>nonviv5.bmp</t>
  </si>
  <si>
    <t>viv1.bmp</t>
  </si>
  <si>
    <t>nonviv6.bmp</t>
  </si>
  <si>
    <t>viv21.bmp</t>
  </si>
  <si>
    <t>nonviv26.bmp</t>
  </si>
  <si>
    <t>nonviv25.bmp</t>
  </si>
  <si>
    <t>nonviv4.bmp</t>
  </si>
  <si>
    <t>viv19.bmp</t>
  </si>
  <si>
    <t>nonviv24.bmp</t>
  </si>
  <si>
    <t>viv22.bmp</t>
  </si>
  <si>
    <t>Post 2 (BILAN 3)</t>
  </si>
  <si>
    <t>Réponse</t>
  </si>
  <si>
    <t>TR</t>
  </si>
  <si>
    <t>01-004CV</t>
  </si>
  <si>
    <t xml:space="preserve">Fluences </t>
  </si>
  <si>
    <t xml:space="preserve">BIP </t>
  </si>
  <si>
    <t>professions</t>
  </si>
  <si>
    <t>EXE verb</t>
  </si>
  <si>
    <t>Mot10v1.tif</t>
  </si>
  <si>
    <t>Mot3v1.tif</t>
  </si>
  <si>
    <t>Mot20v1.tif</t>
  </si>
  <si>
    <t>Mot11v1.tif</t>
  </si>
  <si>
    <t>Mot13v1.tif</t>
  </si>
  <si>
    <t>Mot17v1.tif</t>
  </si>
  <si>
    <t>Mot15v1.tif</t>
  </si>
  <si>
    <t>Mot22v1.tif</t>
  </si>
  <si>
    <t>Mot14v1.tif</t>
  </si>
  <si>
    <t>Mot19v1.tif</t>
  </si>
  <si>
    <t>Mot9v1.tif</t>
  </si>
  <si>
    <t>Mot12v1.tif</t>
  </si>
  <si>
    <t>Mot2v1.tif</t>
  </si>
  <si>
    <t>Mot23v1.tif</t>
  </si>
  <si>
    <t>Mot8v1.tif</t>
  </si>
  <si>
    <t>Mot7v1.tif</t>
  </si>
  <si>
    <t>Mot5v1.tif</t>
  </si>
  <si>
    <t>Mot1v1.tif</t>
  </si>
  <si>
    <t>Mot6v1.tif</t>
  </si>
  <si>
    <t>Mot18v1.tif</t>
  </si>
  <si>
    <t>Mot24v1.tif</t>
  </si>
  <si>
    <t>Mot4v1.tif</t>
  </si>
  <si>
    <t>Mot26v1.tif</t>
  </si>
  <si>
    <t>Mot16v1.tif</t>
  </si>
  <si>
    <t>Mot25v1.tif</t>
  </si>
  <si>
    <t>Mot21v1.tif</t>
  </si>
  <si>
    <t>EXE visu</t>
  </si>
  <si>
    <t>Fig25v1.tif</t>
  </si>
  <si>
    <t>Fig4v1.tif</t>
  </si>
  <si>
    <t>Fig8v1.tif</t>
  </si>
  <si>
    <t>Fig18v1.tif</t>
  </si>
  <si>
    <t>Fig7v1.tif</t>
  </si>
  <si>
    <t>Fig16v1.tif</t>
  </si>
  <si>
    <t>Fig6v1.tif</t>
  </si>
  <si>
    <t>Fig24v1.tif</t>
  </si>
  <si>
    <t>Fig2v1.tif</t>
  </si>
  <si>
    <t>Fig19v1.tif</t>
  </si>
  <si>
    <t>Fig21v1.tif</t>
  </si>
  <si>
    <t>Fig22v1.tif</t>
  </si>
  <si>
    <t>Fig20v1.tif</t>
  </si>
  <si>
    <t>Fig1v1.tif</t>
  </si>
  <si>
    <t>Fig15v1.tif</t>
  </si>
  <si>
    <t>Fig26v1.tif</t>
  </si>
  <si>
    <t>Fig14v1.tif</t>
  </si>
  <si>
    <t>Fig9v1.tif</t>
  </si>
  <si>
    <t>Fig17v1.tif</t>
  </si>
  <si>
    <t>Fig11v1.tif</t>
  </si>
  <si>
    <t>Fig5v1.tif</t>
  </si>
  <si>
    <t>Fig13v1.tif</t>
  </si>
  <si>
    <t>Fig3v1.tif</t>
  </si>
  <si>
    <t>Fig10v1.tif</t>
  </si>
  <si>
    <t>Fig23v1.tif</t>
  </si>
  <si>
    <t>Fig12v1.tif</t>
  </si>
  <si>
    <t>Items</t>
  </si>
  <si>
    <t>Nombre</t>
  </si>
  <si>
    <t>FLUENCE catégorielle</t>
  </si>
  <si>
    <t xml:space="preserve">Score </t>
  </si>
  <si>
    <t>11.09.2019</t>
  </si>
  <si>
    <t xml:space="preserve">Post 1 </t>
  </si>
  <si>
    <t>Mot17v2.tif</t>
  </si>
  <si>
    <t>Mot7v2.tif</t>
  </si>
  <si>
    <t>Mot2v2.tif</t>
  </si>
  <si>
    <t>Mot4v2.tif</t>
  </si>
  <si>
    <t>Mot19v2.tif</t>
  </si>
  <si>
    <t>Mot6v2.tif</t>
  </si>
  <si>
    <t>Mot18v2.tif</t>
  </si>
  <si>
    <t>Mot9v2.tif</t>
  </si>
  <si>
    <t>Mot26v2.tif</t>
  </si>
  <si>
    <t>Mot11v2.tif</t>
  </si>
  <si>
    <t>Mot16v2.tif</t>
  </si>
  <si>
    <t>Mot5v2.tif</t>
  </si>
  <si>
    <t>Mot23v2.tif</t>
  </si>
  <si>
    <t>Mot10v2.tif</t>
  </si>
  <si>
    <t>Mot15v2.tif</t>
  </si>
  <si>
    <t>Mot25v2.tif</t>
  </si>
  <si>
    <t>Mot13v2.tif</t>
  </si>
  <si>
    <t>Mot8v2.tif</t>
  </si>
  <si>
    <t>Mot1v2.tif</t>
  </si>
  <si>
    <t>Mot12v2.tif</t>
  </si>
  <si>
    <t>Mot20v2.tif</t>
  </si>
  <si>
    <t>Mot21v2.tif</t>
  </si>
  <si>
    <t>Mot22v2.tif</t>
  </si>
  <si>
    <t>Mot14v2.tif</t>
  </si>
  <si>
    <t>Mot3v2.tif</t>
  </si>
  <si>
    <t>Mot24v2.tif</t>
  </si>
  <si>
    <t>Fig10v2.tif</t>
  </si>
  <si>
    <t>Fig2v2.tif</t>
  </si>
  <si>
    <t>Fig17v2.tif</t>
  </si>
  <si>
    <t>Fig18v2.tif</t>
  </si>
  <si>
    <t>Fig26v2.tif</t>
  </si>
  <si>
    <t>Fig13v2.tif</t>
  </si>
  <si>
    <t>Fig14v2.tif</t>
  </si>
  <si>
    <t>Fig4v2.tif</t>
  </si>
  <si>
    <t>Fig9v2.tif</t>
  </si>
  <si>
    <t>Fig1v2.tif</t>
  </si>
  <si>
    <t>Fig11v2.tif</t>
  </si>
  <si>
    <t>Fig7v2.tif</t>
  </si>
  <si>
    <t>Fig20v2.tif</t>
  </si>
  <si>
    <t>Fig3v2.tif</t>
  </si>
  <si>
    <t>Fig25v2.tif</t>
  </si>
  <si>
    <t>Fig16v2.tif</t>
  </si>
  <si>
    <t>Fig19v2.tif</t>
  </si>
  <si>
    <t>Fig24v2.tif</t>
  </si>
  <si>
    <t>Fig8v2.tif</t>
  </si>
  <si>
    <t>Fig5v2.tif</t>
  </si>
  <si>
    <t>Fig6v2.tif</t>
  </si>
  <si>
    <t>Fig22v2.tif</t>
  </si>
  <si>
    <t>Fig23v2.tif</t>
  </si>
  <si>
    <t>Fig15v2.tif</t>
  </si>
  <si>
    <t>Fig12v2.tif</t>
  </si>
  <si>
    <t>Fig21v2.tif</t>
  </si>
  <si>
    <t>Suivi 5  (Naccache)</t>
  </si>
  <si>
    <t>AS visuelle</t>
  </si>
  <si>
    <t>bilan 5 (Naccache)</t>
  </si>
  <si>
    <t>Suivi 6  (Naccache)</t>
  </si>
  <si>
    <t>bilan 6 (Naccache)</t>
  </si>
  <si>
    <t>bilan 1 (naccache)</t>
  </si>
  <si>
    <t>bilan 2 (naccache)</t>
  </si>
  <si>
    <t>Bilan 1 (Naccache)</t>
  </si>
  <si>
    <t>Bilan 2 (Naccache)</t>
  </si>
  <si>
    <t>Satus</t>
  </si>
  <si>
    <t>Stimulus</t>
  </si>
  <si>
    <t>erreurs API</t>
  </si>
  <si>
    <t>irregulier</t>
  </si>
  <si>
    <t>monsieur</t>
  </si>
  <si>
    <t>non mot</t>
  </si>
  <si>
    <t>astrigon</t>
  </si>
  <si>
    <t>regulier</t>
  </si>
  <si>
    <t>pouliche</t>
  </si>
  <si>
    <t>locrume</t>
  </si>
  <si>
    <t>Lecture</t>
  </si>
  <si>
    <t>achupe</t>
  </si>
  <si>
    <r>
      <t>a</t>
    </r>
    <r>
      <rPr>
        <sz val="11"/>
        <color theme="1"/>
        <rFont val="Calibri"/>
        <family val="2"/>
      </rPr>
      <t>ʃyd</t>
    </r>
  </si>
  <si>
    <t>ubron</t>
  </si>
  <si>
    <t>paltice</t>
  </si>
  <si>
    <t>vakou</t>
  </si>
  <si>
    <t>chêne</t>
  </si>
  <si>
    <t>répoune</t>
  </si>
  <si>
    <r>
      <t>ʁepɔn</t>
    </r>
    <r>
      <rPr>
        <sz val="11"/>
        <color theme="1"/>
        <rFont val="Calibri"/>
        <family val="2"/>
      </rPr>
      <t>ə</t>
    </r>
  </si>
  <si>
    <t>volupté</t>
  </si>
  <si>
    <t>réflexion</t>
  </si>
  <si>
    <t>SCORE : 27/45</t>
  </si>
  <si>
    <t>hamac</t>
  </si>
  <si>
    <t>SCORE : 29/45</t>
  </si>
  <si>
    <t>izome</t>
  </si>
  <si>
    <t>dolcon</t>
  </si>
  <si>
    <t>SCORE : 28/45</t>
  </si>
  <si>
    <t>marecte</t>
  </si>
  <si>
    <r>
      <t>maʁ</t>
    </r>
    <r>
      <rPr>
        <sz val="11"/>
        <color theme="1"/>
        <rFont val="Calibri"/>
        <family val="2"/>
      </rPr>
      <t>εst</t>
    </r>
  </si>
  <si>
    <t>wagon</t>
  </si>
  <si>
    <t>coualte</t>
  </si>
  <si>
    <t>lecture</t>
  </si>
  <si>
    <t>laitue</t>
  </si>
  <si>
    <t>quartz</t>
  </si>
  <si>
    <t>kask</t>
  </si>
  <si>
    <t>pouls</t>
  </si>
  <si>
    <r>
      <t>pul</t>
    </r>
    <r>
      <rPr>
        <sz val="11"/>
        <color theme="1"/>
        <rFont val="Calibri"/>
        <family val="2"/>
      </rPr>
      <t>ə</t>
    </r>
  </si>
  <si>
    <t>aric</t>
  </si>
  <si>
    <t>aʁis</t>
  </si>
  <si>
    <t>colume</t>
  </si>
  <si>
    <t>bitume</t>
  </si>
  <si>
    <t>charisme</t>
  </si>
  <si>
    <t>ʃaʁismə</t>
  </si>
  <si>
    <t>légume</t>
  </si>
  <si>
    <r>
      <t>lekym</t>
    </r>
    <r>
      <rPr>
        <sz val="11"/>
        <color theme="1"/>
        <rFont val="Calibri"/>
        <family val="2"/>
      </rPr>
      <t>ə</t>
    </r>
  </si>
  <si>
    <t>pyla</t>
  </si>
  <si>
    <t>pentagone</t>
  </si>
  <si>
    <t>pᾰ</t>
  </si>
  <si>
    <t>instinct</t>
  </si>
  <si>
    <t>ɛ̃stɛ̃g</t>
  </si>
  <si>
    <t>figoir</t>
  </si>
  <si>
    <t>arkiton</t>
  </si>
  <si>
    <t>oignon</t>
  </si>
  <si>
    <t>waɲɔ̃</t>
  </si>
  <si>
    <t>ciel</t>
  </si>
  <si>
    <t>balcon</t>
  </si>
  <si>
    <t>emmenthal</t>
  </si>
  <si>
    <t>équation</t>
  </si>
  <si>
    <t>service</t>
  </si>
  <si>
    <t>jaguar</t>
  </si>
  <si>
    <t>ӡakaʁ</t>
  </si>
  <si>
    <t>iguane</t>
  </si>
  <si>
    <t>iguan</t>
  </si>
  <si>
    <t>sagon</t>
  </si>
  <si>
    <t>vulypte</t>
  </si>
  <si>
    <t>enclume</t>
  </si>
  <si>
    <t>pied</t>
  </si>
  <si>
    <t>covric</t>
  </si>
  <si>
    <r>
      <t>k</t>
    </r>
    <r>
      <rPr>
        <sz val="11"/>
        <color theme="1"/>
        <rFont val="Calibri"/>
        <family val="2"/>
      </rPr>
      <t>ᴐlʁis</t>
    </r>
  </si>
  <si>
    <t>sédiment</t>
  </si>
  <si>
    <t>saoul</t>
  </si>
  <si>
    <t>saul</t>
  </si>
  <si>
    <t>tronc</t>
  </si>
  <si>
    <t>pougo</t>
  </si>
  <si>
    <t>bloc</t>
  </si>
  <si>
    <t>flak</t>
  </si>
  <si>
    <t>mirsane</t>
  </si>
  <si>
    <t>s</t>
  </si>
  <si>
    <t>faisan</t>
  </si>
  <si>
    <r>
      <t>f</t>
    </r>
    <r>
      <rPr>
        <sz val="11"/>
        <color theme="1"/>
        <rFont val="Calibri"/>
        <family val="2"/>
      </rPr>
      <t>εzᾰ</t>
    </r>
  </si>
  <si>
    <t>dompteur</t>
  </si>
  <si>
    <t>amachile</t>
  </si>
  <si>
    <r>
      <t>p</t>
    </r>
    <r>
      <rPr>
        <sz val="11"/>
        <color theme="1"/>
        <rFont val="Calibri"/>
        <family val="2"/>
      </rPr>
      <t>εntagᴐn</t>
    </r>
  </si>
  <si>
    <t>respect</t>
  </si>
  <si>
    <t>gaʁts</t>
  </si>
  <si>
    <t>bec</t>
  </si>
  <si>
    <t>orchidée</t>
  </si>
  <si>
    <t>ᴐʁside</t>
  </si>
  <si>
    <t>couguar</t>
  </si>
  <si>
    <t>kugyaʁ</t>
  </si>
  <si>
    <t>languette</t>
  </si>
  <si>
    <r>
      <t>l</t>
    </r>
    <r>
      <rPr>
        <sz val="11"/>
        <color theme="1"/>
        <rFont val="Calibri"/>
        <family val="2"/>
      </rPr>
      <t>ᾰkεtə</t>
    </r>
  </si>
  <si>
    <t>ᴐʁʃide</t>
  </si>
  <si>
    <t>kiosque</t>
  </si>
  <si>
    <t>ochisse</t>
  </si>
  <si>
    <t>ᴐӠizə</t>
  </si>
  <si>
    <t>koumilié</t>
  </si>
  <si>
    <t>clef</t>
  </si>
  <si>
    <r>
      <t>kl</t>
    </r>
    <r>
      <rPr>
        <sz val="11"/>
        <color theme="1"/>
        <rFont val="Calibri"/>
        <family val="2"/>
      </rPr>
      <t>εf</t>
    </r>
  </si>
  <si>
    <t>chapelure</t>
  </si>
  <si>
    <t>consul</t>
  </si>
  <si>
    <t>lichen</t>
  </si>
  <si>
    <r>
      <t>li</t>
    </r>
    <r>
      <rPr>
        <sz val="11"/>
        <color theme="1"/>
        <rFont val="Calibri"/>
        <family val="2"/>
      </rPr>
      <t>ӡᾰ</t>
    </r>
  </si>
  <si>
    <t>estomac</t>
  </si>
  <si>
    <t>outil</t>
  </si>
  <si>
    <t>util</t>
  </si>
  <si>
    <r>
      <t>musj</t>
    </r>
    <r>
      <rPr>
        <sz val="11"/>
        <color theme="1"/>
        <rFont val="Calibri"/>
        <family val="2"/>
      </rPr>
      <t>ɶʁ</t>
    </r>
  </si>
  <si>
    <t>chlore</t>
  </si>
  <si>
    <t>ʃlᴐʁ</t>
  </si>
  <si>
    <t>reliquat</t>
  </si>
  <si>
    <r>
      <t>r</t>
    </r>
    <r>
      <rPr>
        <sz val="11"/>
        <color theme="1"/>
        <rFont val="Calibri"/>
        <family val="2"/>
      </rPr>
      <t>əlikwa</t>
    </r>
  </si>
  <si>
    <t>noumiste</t>
  </si>
  <si>
    <t>galop</t>
  </si>
  <si>
    <t>galᴐp</t>
  </si>
  <si>
    <t>caspau</t>
  </si>
  <si>
    <t>vapou</t>
  </si>
  <si>
    <t>vapɔ̃</t>
  </si>
  <si>
    <t>choeur</t>
  </si>
  <si>
    <t>ʃwɶʁ</t>
  </si>
  <si>
    <t>porche</t>
  </si>
  <si>
    <t>frɔ̃</t>
  </si>
  <si>
    <t>corrigé après coup</t>
  </si>
  <si>
    <t>tonguelle</t>
  </si>
  <si>
    <r>
      <t>tɔ̃ky</t>
    </r>
    <r>
      <rPr>
        <sz val="11"/>
        <color theme="1"/>
        <rFont val="Calibri"/>
        <family val="2"/>
      </rPr>
      <t>εl</t>
    </r>
  </si>
  <si>
    <t>ᾰmetal</t>
  </si>
  <si>
    <t>manioc</t>
  </si>
  <si>
    <r>
      <t>anj</t>
    </r>
    <r>
      <rPr>
        <sz val="11"/>
        <color theme="1"/>
        <rFont val="Calibri"/>
        <family val="2"/>
      </rPr>
      <t>ᴐk</t>
    </r>
  </si>
  <si>
    <r>
      <t>sal</t>
    </r>
    <r>
      <rPr>
        <sz val="11"/>
        <color theme="1"/>
        <rFont val="Calibri"/>
        <family val="2"/>
      </rPr>
      <t>ᴐn</t>
    </r>
  </si>
  <si>
    <t>crofilu</t>
  </si>
  <si>
    <t>square</t>
  </si>
  <si>
    <t>skaʁ</t>
  </si>
  <si>
    <t>vatreuil</t>
  </si>
  <si>
    <r>
      <t>vatr</t>
    </r>
    <r>
      <rPr>
        <sz val="11"/>
        <color theme="1"/>
        <rFont val="Calibri"/>
        <family val="2"/>
      </rPr>
      <t>εj</t>
    </r>
  </si>
  <si>
    <t>pendentif</t>
  </si>
  <si>
    <r>
      <t>p</t>
    </r>
    <r>
      <rPr>
        <sz val="11"/>
        <color theme="1"/>
        <rFont val="Calibri"/>
        <family val="2"/>
      </rPr>
      <t>ᾰdᾰtistə</t>
    </r>
  </si>
  <si>
    <t>flanc</t>
  </si>
  <si>
    <t>flɔ̃g</t>
  </si>
  <si>
    <r>
      <rPr>
        <sz val="11"/>
        <color theme="1"/>
        <rFont val="Calibri"/>
        <family val="2"/>
      </rPr>
      <t>ᴐʃ</t>
    </r>
    <r>
      <rPr>
        <sz val="11"/>
        <color theme="1"/>
        <rFont val="Calibri"/>
        <family val="2"/>
        <scheme val="minor"/>
      </rPr>
      <t>iz</t>
    </r>
    <r>
      <rPr>
        <sz val="11"/>
        <color theme="1"/>
        <rFont val="Calibri"/>
        <family val="2"/>
      </rPr>
      <t>ə</t>
    </r>
  </si>
  <si>
    <t>spune</t>
  </si>
  <si>
    <t>géranium</t>
  </si>
  <si>
    <t>oisillon</t>
  </si>
  <si>
    <t>wasijɔ̃</t>
  </si>
  <si>
    <t>sculpture</t>
  </si>
  <si>
    <t>igyan</t>
  </si>
  <si>
    <t>tabac</t>
  </si>
  <si>
    <t>contact</t>
  </si>
  <si>
    <t>ӡeʁaɳœ</t>
  </si>
  <si>
    <t>pintatine</t>
  </si>
  <si>
    <t>houle</t>
  </si>
  <si>
    <t>mythe</t>
  </si>
  <si>
    <r>
      <t>mi</t>
    </r>
    <r>
      <rPr>
        <sz val="11"/>
        <color theme="1"/>
        <rFont val="Calibri"/>
        <family val="2"/>
      </rPr>
      <t>ʃ</t>
    </r>
  </si>
  <si>
    <r>
      <t>ama</t>
    </r>
    <r>
      <rPr>
        <sz val="11"/>
        <color theme="1"/>
        <rFont val="Calibri"/>
        <family val="2"/>
      </rPr>
      <t>ӡil</t>
    </r>
  </si>
  <si>
    <r>
      <t>l</t>
    </r>
    <r>
      <rPr>
        <sz val="11"/>
        <color theme="1"/>
        <rFont val="Calibri"/>
        <family val="2"/>
      </rPr>
      <t>ᴐktrymə</t>
    </r>
  </si>
  <si>
    <r>
      <t>ʁ</t>
    </r>
    <r>
      <rPr>
        <sz val="11"/>
        <color theme="1"/>
        <rFont val="Calibri"/>
        <family val="2"/>
      </rPr>
      <t>εspε</t>
    </r>
    <r>
      <rPr>
        <sz val="11"/>
        <color theme="1"/>
        <rFont val="Calibri"/>
        <family val="2"/>
        <scheme val="minor"/>
      </rPr>
      <t>kt</t>
    </r>
  </si>
  <si>
    <r>
      <t>ʁepɔ̃d</t>
    </r>
    <r>
      <rPr>
        <sz val="11"/>
        <color theme="1"/>
        <rFont val="Calibri"/>
        <family val="2"/>
      </rPr>
      <t>ə</t>
    </r>
  </si>
  <si>
    <r>
      <t>li</t>
    </r>
    <r>
      <rPr>
        <sz val="11"/>
        <color theme="1"/>
        <rFont val="Calibri"/>
        <family val="2"/>
      </rPr>
      <t>ʃᾰ</t>
    </r>
  </si>
  <si>
    <r>
      <t>vadr</t>
    </r>
    <r>
      <rPr>
        <sz val="11"/>
        <color theme="1"/>
        <rFont val="Calibri"/>
        <family val="2"/>
      </rPr>
      <t>ɶj</t>
    </r>
  </si>
  <si>
    <r>
      <t>p</t>
    </r>
    <r>
      <rPr>
        <sz val="11"/>
        <color theme="1"/>
        <rFont val="Calibri"/>
        <family val="2"/>
      </rPr>
      <t>ᴐʁӡ</t>
    </r>
  </si>
  <si>
    <t>wazilɔ̃</t>
  </si>
  <si>
    <t>condtarget</t>
  </si>
  <si>
    <t>target</t>
  </si>
  <si>
    <t>RT</t>
  </si>
  <si>
    <t>status</t>
  </si>
  <si>
    <t>stimulus</t>
  </si>
  <si>
    <t>TextDisplay2.ACC</t>
  </si>
  <si>
    <t>TextDisplay2.RT</t>
  </si>
  <si>
    <t>Dénomination categorielle</t>
  </si>
  <si>
    <t>Score /40</t>
  </si>
  <si>
    <t>Post-1 skype</t>
  </si>
  <si>
    <t>Date 11/09/2018</t>
  </si>
  <si>
    <t>manmade</t>
  </si>
  <si>
    <t>bassine</t>
  </si>
  <si>
    <t>living</t>
  </si>
  <si>
    <t>buffle</t>
  </si>
  <si>
    <t>poisson</t>
  </si>
  <si>
    <t>boussole</t>
  </si>
  <si>
    <t>compas</t>
  </si>
  <si>
    <t>bocal</t>
  </si>
  <si>
    <t>cygne</t>
  </si>
  <si>
    <t>landau</t>
  </si>
  <si>
    <t>élan</t>
  </si>
  <si>
    <t xml:space="preserve">huître </t>
  </si>
  <si>
    <t>paon</t>
  </si>
  <si>
    <t>barbecue</t>
  </si>
  <si>
    <t>ballon</t>
  </si>
  <si>
    <t>cloche</t>
  </si>
  <si>
    <t>flèche</t>
  </si>
  <si>
    <t>accordéon</t>
  </si>
  <si>
    <t xml:space="preserve">colombe </t>
  </si>
  <si>
    <t>blatte</t>
  </si>
  <si>
    <t>balançoire</t>
  </si>
  <si>
    <t>éléphant</t>
  </si>
  <si>
    <t>cerf</t>
  </si>
  <si>
    <t>cymbales</t>
  </si>
  <si>
    <t>fourmilier</t>
  </si>
  <si>
    <t>hippopotame</t>
  </si>
  <si>
    <t xml:space="preserve">hérisson </t>
  </si>
  <si>
    <t xml:space="preserve">crevette </t>
  </si>
  <si>
    <t>éventail</t>
  </si>
  <si>
    <t>baleine</t>
  </si>
  <si>
    <t>parachute</t>
  </si>
  <si>
    <t>bouilloire</t>
  </si>
  <si>
    <t>entonnoir</t>
  </si>
  <si>
    <t>luge</t>
  </si>
  <si>
    <t>fourchette</t>
  </si>
  <si>
    <t>grenouille</t>
  </si>
  <si>
    <t>dauphin</t>
  </si>
  <si>
    <t>agneau</t>
  </si>
  <si>
    <t>hippocampe</t>
  </si>
  <si>
    <t xml:space="preserve">lionceau </t>
  </si>
  <si>
    <t>Date 01/10/2018</t>
  </si>
  <si>
    <t>Date 11/10/2018</t>
  </si>
  <si>
    <t xml:space="preserve">oie </t>
  </si>
  <si>
    <t>fouet</t>
  </si>
  <si>
    <t>chaîne</t>
  </si>
  <si>
    <t xml:space="preserve">taupe </t>
  </si>
  <si>
    <t xml:space="preserve">moustique </t>
  </si>
  <si>
    <t>pichet</t>
  </si>
  <si>
    <t>poêle</t>
  </si>
  <si>
    <t>koala</t>
  </si>
  <si>
    <t>hyène</t>
  </si>
  <si>
    <t>tambourin</t>
  </si>
  <si>
    <t>lime</t>
  </si>
  <si>
    <t>chèvre</t>
  </si>
  <si>
    <t>puits</t>
  </si>
  <si>
    <t>léopard</t>
  </si>
  <si>
    <t>méduse</t>
  </si>
  <si>
    <t xml:space="preserve">limace </t>
  </si>
  <si>
    <t>télescope</t>
  </si>
  <si>
    <t>tortue</t>
  </si>
  <si>
    <t xml:space="preserve">pigeon </t>
  </si>
  <si>
    <t>église</t>
  </si>
  <si>
    <t>spatule</t>
  </si>
  <si>
    <t>seringue</t>
  </si>
  <si>
    <t>autruche</t>
  </si>
  <si>
    <t>toucan</t>
  </si>
  <si>
    <t>rhinocéros</t>
  </si>
  <si>
    <t>mouche</t>
  </si>
  <si>
    <t xml:space="preserve">poussin </t>
  </si>
  <si>
    <t>coq</t>
  </si>
  <si>
    <t>sifflet</t>
  </si>
  <si>
    <t>sauterelle</t>
  </si>
  <si>
    <t>hélice</t>
  </si>
  <si>
    <t>panda</t>
  </si>
  <si>
    <t>igloo</t>
  </si>
  <si>
    <t>kangourou</t>
  </si>
  <si>
    <t>stéthoscope</t>
  </si>
  <si>
    <t>tondeuse</t>
  </si>
  <si>
    <t>microscope</t>
  </si>
  <si>
    <t>saxophone</t>
  </si>
  <si>
    <t>cor</t>
  </si>
  <si>
    <t>toupie</t>
  </si>
  <si>
    <t>Date 28/01/2019</t>
  </si>
  <si>
    <t>28.01.2019</t>
  </si>
  <si>
    <t>Category</t>
  </si>
  <si>
    <t>n°</t>
  </si>
  <si>
    <t>passe</t>
  </si>
  <si>
    <t>papa</t>
  </si>
  <si>
    <t>capé</t>
  </si>
  <si>
    <t>cours</t>
  </si>
  <si>
    <t>FLUENCE littérale</t>
  </si>
  <si>
    <t>prend</t>
  </si>
  <si>
    <t>celui</t>
  </si>
  <si>
    <t>casse</t>
  </si>
  <si>
    <t>penser</t>
  </si>
  <si>
    <t>bonjour</t>
  </si>
  <si>
    <t>cri</t>
  </si>
  <si>
    <t>Score 13</t>
  </si>
  <si>
    <t>puce</t>
  </si>
  <si>
    <t>Score 5</t>
  </si>
  <si>
    <t>privé</t>
  </si>
  <si>
    <t>cils</t>
  </si>
  <si>
    <t>Score 7</t>
  </si>
  <si>
    <t>canal</t>
  </si>
  <si>
    <t>pati</t>
  </si>
  <si>
    <t>Paul</t>
  </si>
  <si>
    <t>cube</t>
  </si>
  <si>
    <t>cheminé</t>
  </si>
  <si>
    <t>près</t>
  </si>
  <si>
    <t>passer</t>
  </si>
  <si>
    <t>calbi</t>
  </si>
  <si>
    <t>crosse</t>
  </si>
  <si>
    <t>parler</t>
  </si>
  <si>
    <t>prix</t>
  </si>
  <si>
    <t>calé</t>
  </si>
  <si>
    <t>cora</t>
  </si>
  <si>
    <t>pis</t>
  </si>
  <si>
    <t>cure</t>
  </si>
  <si>
    <t>Status</t>
  </si>
  <si>
    <t>Réponse après coup</t>
  </si>
  <si>
    <t>SCORE : bonne réponse</t>
  </si>
  <si>
    <t>non living</t>
  </si>
  <si>
    <t>AXE.bmp</t>
  </si>
  <si>
    <t xml:space="preserve">Dénomination </t>
  </si>
  <si>
    <t>OSTRICH.bmp</t>
  </si>
  <si>
    <t>TIGER.bmp</t>
  </si>
  <si>
    <t>WHISTLE.bmp</t>
  </si>
  <si>
    <t>HORSE.bmp</t>
  </si>
  <si>
    <t xml:space="preserve">absence de réponse : </t>
  </si>
  <si>
    <t>PEANUT.bmp</t>
  </si>
  <si>
    <t xml:space="preserve">erreurs : </t>
  </si>
  <si>
    <t>WHALE.bmp</t>
  </si>
  <si>
    <t>TABLE.bmp</t>
  </si>
  <si>
    <t>BINOCULA.bmp</t>
  </si>
  <si>
    <t>PYRAMID.bmp</t>
  </si>
  <si>
    <t>SCORPION.bmp</t>
  </si>
  <si>
    <t>HARP.bmp</t>
  </si>
  <si>
    <t>BROOM.bmp</t>
  </si>
  <si>
    <t>BEAR.bmp</t>
  </si>
  <si>
    <t>BRUSH.bmp</t>
  </si>
  <si>
    <t>FAUCET.bmp</t>
  </si>
  <si>
    <t>GIRAFFE.bmp</t>
  </si>
  <si>
    <t>RHINOCER.bmp</t>
  </si>
  <si>
    <t>SWING.bmp</t>
  </si>
  <si>
    <t>PIPE.bmp</t>
  </si>
  <si>
    <t>MUSHROOM.bmp</t>
  </si>
  <si>
    <t>APPLE.bmp</t>
  </si>
  <si>
    <t>CANDLE.bmp</t>
  </si>
  <si>
    <t>SWAN.bmp</t>
  </si>
  <si>
    <t>MOTORCYC.bmp</t>
  </si>
  <si>
    <t>SHARK.bmp</t>
  </si>
  <si>
    <t>CIGAR.bmp</t>
  </si>
  <si>
    <t>HIPPOPOT.bmp</t>
  </si>
  <si>
    <t>VIOLIN.bmp</t>
  </si>
  <si>
    <t>KANGAROO.bmp</t>
  </si>
  <si>
    <t>DEER.bmp</t>
  </si>
  <si>
    <t>CARROT.bmp</t>
  </si>
  <si>
    <t>CROWN.bmp</t>
  </si>
  <si>
    <t>HANGER.bmp</t>
  </si>
  <si>
    <t>PANTS.bmp</t>
  </si>
  <si>
    <t>ANCHOR.bmp</t>
  </si>
  <si>
    <t>PEAR.bmp</t>
  </si>
  <si>
    <t>GLASS.bmp</t>
  </si>
  <si>
    <t>RABBIT.bmp</t>
  </si>
  <si>
    <t>CRAB.bmp</t>
  </si>
  <si>
    <t>FISH.bmp</t>
  </si>
  <si>
    <t>GRAPES.bmp</t>
  </si>
  <si>
    <t>FLOWER.bmp</t>
  </si>
  <si>
    <t>KOALA.bmp</t>
  </si>
  <si>
    <t>IGLOO.bmp</t>
  </si>
  <si>
    <t>SNAIL.bmp</t>
  </si>
  <si>
    <t>HELICOPT.bmp</t>
  </si>
  <si>
    <t>GLASSES.bmp</t>
  </si>
  <si>
    <t>LION.bmp</t>
  </si>
  <si>
    <t>HAMMER.bmp</t>
  </si>
  <si>
    <t>PANDA.bmp</t>
  </si>
  <si>
    <t>PENGUIN.bmp</t>
  </si>
  <si>
    <t>PIANO.bmp</t>
  </si>
  <si>
    <t>SNAKE.bmp</t>
  </si>
  <si>
    <t>ZEBRA.bmp</t>
  </si>
  <si>
    <t>SAW.bmp</t>
  </si>
  <si>
    <t>SYRINGE.bmp</t>
  </si>
  <si>
    <t>TELEPHON.bmp</t>
  </si>
  <si>
    <t>PINEAPPL.bmp</t>
  </si>
  <si>
    <t>MICROSCO.bmp</t>
  </si>
  <si>
    <t>GARBAGEC.bmp</t>
  </si>
  <si>
    <t>LOCK.bmp</t>
  </si>
  <si>
    <t>SPIDER.bmp</t>
  </si>
  <si>
    <t>THERMOME.bmp</t>
  </si>
  <si>
    <t>WINDMILL.bmp</t>
  </si>
  <si>
    <t>TURTLE.bmp</t>
  </si>
  <si>
    <t>DOLPHIN.bmp</t>
  </si>
  <si>
    <t>BUTTERFL.bmp</t>
  </si>
  <si>
    <t>BOOK.bmp</t>
  </si>
  <si>
    <t>BELL.bmp</t>
  </si>
  <si>
    <t>SCALE.bmp</t>
  </si>
  <si>
    <t>LIGHTBUL.bmp</t>
  </si>
  <si>
    <t>CAT.bmp</t>
  </si>
  <si>
    <t>GUITAR.bmp</t>
  </si>
  <si>
    <t>CACTUS.bmp</t>
  </si>
  <si>
    <t>FORK.bmp</t>
  </si>
  <si>
    <t>SQUIRREL.bmp</t>
  </si>
  <si>
    <t>ARROW.bmp</t>
  </si>
  <si>
    <t>ARTICHOK.bmp</t>
  </si>
  <si>
    <t>ELEPHANT.bmp</t>
  </si>
  <si>
    <t xml:space="preserve">Identification : </t>
  </si>
  <si>
    <t>Examen Clinique :</t>
  </si>
  <si>
    <t>Langage :</t>
  </si>
  <si>
    <t xml:space="preserve">ECRF </t>
  </si>
  <si>
    <t>examen neurologique élémentaire</t>
  </si>
  <si>
    <t>Echelle de sévérité de l'aphasie (BDAE)</t>
  </si>
  <si>
    <t>base de données EXCEL</t>
  </si>
  <si>
    <t>praxies idéo-motrices</t>
  </si>
  <si>
    <t>anonimisation imagerie</t>
  </si>
  <si>
    <t>fonctions executives</t>
  </si>
  <si>
    <t>DO 80 Score</t>
  </si>
  <si>
    <t>mémoire épisodique</t>
  </si>
  <si>
    <t>paraphasie sémantiques</t>
  </si>
  <si>
    <t>sexe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</si>
  <si>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</si>
  <si>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</si>
  <si>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</si>
  <si>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</si>
  <si>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</si>
  <si>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</si>
  <si>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</si>
  <si>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</si>
  <si>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</si>
  <si>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</si>
  <si>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</si>
  <si>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</si>
  <si>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</si>
  <si>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</si>
  <si>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</si>
  <si>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</si>
  <si>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</si>
  <si>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Empans chiffres directs</t>
  </si>
  <si>
    <t>Pyramide and Palm test (PPTI) verbal</t>
  </si>
  <si>
    <t>niveau d'études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</si>
  <si>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</si>
  <si>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</si>
  <si>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</si>
  <si>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</si>
  <si>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</si>
  <si>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</si>
  <si>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</si>
  <si>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</si>
  <si>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TMT B</t>
  </si>
  <si>
    <t>Test des portes A</t>
  </si>
  <si>
    <t>antécédents familiaux</t>
  </si>
  <si>
    <t>Test des portes B</t>
  </si>
  <si>
    <t>Praxies Mahieux</t>
  </si>
  <si>
    <t>fleurs</t>
  </si>
  <si>
    <t>les oiseaux</t>
  </si>
  <si>
    <t>j'en ai énormement dans ma tête  mais je n'arrive pas</t>
  </si>
  <si>
    <t>en plus j'ai un pavillon</t>
  </si>
  <si>
    <t>légumes</t>
  </si>
  <si>
    <t xml:space="preserve">c'est des </t>
  </si>
  <si>
    <t>assiettes</t>
  </si>
  <si>
    <t>paire</t>
  </si>
  <si>
    <t>couteau</t>
  </si>
  <si>
    <t>verres</t>
  </si>
  <si>
    <t>chaussures</t>
  </si>
  <si>
    <t>plat</t>
  </si>
  <si>
    <t>pain</t>
  </si>
  <si>
    <t>bananes</t>
  </si>
  <si>
    <t>vin</t>
  </si>
  <si>
    <t>beurre</t>
  </si>
  <si>
    <t>lance</t>
  </si>
  <si>
    <t>pièce</t>
  </si>
  <si>
    <t>post 3</t>
  </si>
  <si>
    <t>un couteau... c'est pas un couteau</t>
  </si>
  <si>
    <t>une chaise, enfin des ... pratique</t>
  </si>
  <si>
    <t>pas des oli… des</t>
  </si>
  <si>
    <t>un… c'est à monter, non je ne crois pas…</t>
  </si>
  <si>
    <t>un…ah là là</t>
  </si>
  <si>
    <t>un, pareil, pour faire de la musique mais , ça s'appelle comment ça...</t>
  </si>
  <si>
    <t>euh…. Le couteau …le…</t>
  </si>
  <si>
    <t>un ours, peut être même pas un ours</t>
  </si>
  <si>
    <t>….</t>
  </si>
  <si>
    <t>non plus….</t>
  </si>
  <si>
    <t>…</t>
  </si>
  <si>
    <t>ah… non</t>
  </si>
  <si>
    <t>un…</t>
  </si>
  <si>
    <t xml:space="preserve">c'est… non non </t>
  </si>
  <si>
    <t>euh, stra, stras, un Strasbourg</t>
  </si>
  <si>
    <t>euh c'est pour fumer</t>
  </si>
  <si>
    <t>amande, non pas d'amande</t>
  </si>
  <si>
    <t xml:space="preserve">euh… </t>
  </si>
  <si>
    <t>un s, un s un signaux</t>
  </si>
  <si>
    <t>oiseau, oiseau c'est oiseau</t>
  </si>
  <si>
    <t>ça…</t>
  </si>
  <si>
    <t>cla un cati…</t>
  </si>
  <si>
    <t>une guitare</t>
  </si>
  <si>
    <t>un fra…</t>
  </si>
  <si>
    <t>des …</t>
  </si>
  <si>
    <t>un…. C'est pas le chien</t>
  </si>
  <si>
    <t xml:space="preserve">pas étiquette </t>
  </si>
  <si>
    <t xml:space="preserve">euh… un </t>
  </si>
  <si>
    <t>une pomme pas une pomme</t>
  </si>
  <si>
    <t>un chat un…</t>
  </si>
  <si>
    <r>
      <t>Score  :</t>
    </r>
    <r>
      <rPr>
        <b/>
        <sz val="12"/>
        <color rgb="FFFF0000"/>
        <rFont val="Calibri"/>
        <family val="2"/>
        <scheme val="minor"/>
      </rPr>
      <t xml:space="preserve"> 3</t>
    </r>
    <r>
      <rPr>
        <b/>
        <sz val="12"/>
        <color theme="1"/>
        <rFont val="Calibri"/>
        <family val="2"/>
        <scheme val="minor"/>
      </rPr>
      <t xml:space="preserve"> /40</t>
    </r>
  </si>
  <si>
    <t>001-006-CV</t>
  </si>
  <si>
    <t>homme</t>
  </si>
  <si>
    <t>droitier</t>
  </si>
  <si>
    <t>ND</t>
  </si>
  <si>
    <t>non</t>
  </si>
  <si>
    <t>normal</t>
  </si>
  <si>
    <t>troubles mineurs</t>
  </si>
  <si>
    <t>001-005-CV-P</t>
  </si>
  <si>
    <t>donc ça ( siffle) appareil pour la musique</t>
  </si>
  <si>
    <t>c'est un… incroyable</t>
  </si>
  <si>
    <t>un cuba… un co.. Un route…. Non plus</t>
  </si>
  <si>
    <t>un orto, un toro,  torosa</t>
  </si>
  <si>
    <t>une oufre, un oufre</t>
  </si>
  <si>
    <t>ça c'est pour la sèche</t>
  </si>
  <si>
    <t>euh, un …. Chop, échop</t>
  </si>
  <si>
    <t>un boullio….ah</t>
  </si>
  <si>
    <t>artugu…</t>
  </si>
  <si>
    <t>lion, pas un lion</t>
  </si>
  <si>
    <t>ça c'est un orth, un ortho…ah</t>
  </si>
  <si>
    <t>une table un chai… une tache</t>
  </si>
  <si>
    <t>une quantille quanta</t>
  </si>
  <si>
    <t>un tan, ton, non plus</t>
  </si>
  <si>
    <t>un bruit..</t>
  </si>
  <si>
    <t>c'est un ess, un ex</t>
  </si>
  <si>
    <t>une lon, une moule</t>
  </si>
  <si>
    <t>euh, …</t>
  </si>
  <si>
    <t>un sterpa, strefon, sterf</t>
  </si>
  <si>
    <t>fèche,fiche, fraiche</t>
  </si>
  <si>
    <t>d'amoul du moulou</t>
  </si>
  <si>
    <t>cet….</t>
  </si>
  <si>
    <t>pas chien, un poi…</t>
  </si>
  <si>
    <t>ça là… tiquet pour faire</t>
  </si>
  <si>
    <t>ça c'est un ….</t>
  </si>
  <si>
    <t>un caté, calé  non</t>
  </si>
  <si>
    <t>ah flis, la phrase…</t>
  </si>
  <si>
    <t>euh… football, fi, fils</t>
  </si>
  <si>
    <t>…a</t>
  </si>
  <si>
    <t>flèche, fesse, facie</t>
  </si>
  <si>
    <t>euh li, (charabia)</t>
  </si>
  <si>
    <t>alou, face</t>
  </si>
  <si>
    <t>euh fruit, tomato</t>
  </si>
  <si>
    <t>fi, maci, faci...</t>
  </si>
  <si>
    <t>chemise, veste, pas une veste</t>
  </si>
  <si>
    <r>
      <t>Score  :</t>
    </r>
    <r>
      <rPr>
        <b/>
        <sz val="12"/>
        <color rgb="FFFF0000"/>
        <rFont val="Calibri"/>
        <family val="2"/>
        <scheme val="minor"/>
      </rPr>
      <t xml:space="preserve"> 1 </t>
    </r>
    <r>
      <rPr>
        <b/>
        <sz val="12"/>
        <color theme="1"/>
        <rFont val="Calibri"/>
        <family val="2"/>
        <scheme val="minor"/>
      </rPr>
      <t xml:space="preserve"> /40</t>
    </r>
  </si>
  <si>
    <t>c'est un animal, ché pas.. Un ché….</t>
  </si>
  <si>
    <t>c'est des, des pommes, des plots, des pates… des….</t>
  </si>
  <si>
    <t>ce… ce sont des rouch… des rou, des bouches non , des fiches</t>
  </si>
  <si>
    <t>une euh maison, un kata, un katapon pas un…</t>
  </si>
  <si>
    <t>un …</t>
  </si>
  <si>
    <t>un l'oiseau un… faut prendre un train et…</t>
  </si>
  <si>
    <t>un para, partou, un man un ma un ma….</t>
  </si>
  <si>
    <t>un a, un lion, c'est pas un lion…un lion</t>
  </si>
  <si>
    <t>un ours, nounours, peut être pas un ours</t>
  </si>
  <si>
    <t>un face, glisse…</t>
  </si>
  <si>
    <t>texte, un, un liess, un pass…</t>
  </si>
  <si>
    <t>ça c'est un niech, pas… non</t>
  </si>
  <si>
    <t>euh… un stiker, pour couper un sti</t>
  </si>
  <si>
    <t>ça c'est un … calé, cat</t>
  </si>
  <si>
    <t>euh ça c'est bon, fruit…un</t>
  </si>
  <si>
    <t>ah là là, ach, réci…</t>
  </si>
  <si>
    <t>un sac, bouteille, pas bouteille</t>
  </si>
  <si>
    <t>euh ça c'est  fina…</t>
  </si>
  <si>
    <t>euh.. Un pi, un passo</t>
  </si>
  <si>
    <t xml:space="preserve">la ta, tabli, </t>
  </si>
  <si>
    <t>ça c'est arouti…</t>
  </si>
  <si>
    <t>le pis…</t>
  </si>
  <si>
    <t xml:space="preserve">c'est pas uin oiseau, un fleur… </t>
  </si>
  <si>
    <t>ça c'est un K, un sac…</t>
  </si>
  <si>
    <t>le pou…pignion</t>
  </si>
  <si>
    <t>un chat, un chien, c'est un chien</t>
  </si>
  <si>
    <t>une gu… gosaille…</t>
  </si>
  <si>
    <t xml:space="preserve">un axe, facie, </t>
  </si>
  <si>
    <t>une …. C'est…</t>
  </si>
  <si>
    <t xml:space="preserve">ça… </t>
  </si>
  <si>
    <t xml:space="preserve">c'est… </t>
  </si>
  <si>
    <t>…sss</t>
  </si>
  <si>
    <r>
      <t>Score  : 5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/40</t>
    </r>
  </si>
  <si>
    <t>Déno</t>
  </si>
  <si>
    <t>une maison à chat…</t>
  </si>
  <si>
    <t>pour l'éclairage, l'éclairage</t>
  </si>
  <si>
    <t>un château, un chalou</t>
  </si>
  <si>
    <t>un é, un ef, un alé, aleer-retrouR ah...</t>
  </si>
  <si>
    <t>chapi…</t>
  </si>
  <si>
    <t>c'est pour …</t>
  </si>
  <si>
    <t xml:space="preserve">un flou, un plomb, un thon, un chlon, </t>
  </si>
  <si>
    <t>télé, télévision, un télé, lé radio, la, pas la radio…</t>
  </si>
  <si>
    <t>pour écrire, pour lire… pour al</t>
  </si>
  <si>
    <t>une glisse, une rith….pas… (charabia)</t>
  </si>
  <si>
    <t>les almasa…</t>
  </si>
  <si>
    <t>un tiamon, un tir, un terrain, pas un terrain</t>
  </si>
  <si>
    <t>un oiseau, un oiseaun un avion, un avion, un avion</t>
  </si>
  <si>
    <t>un katé, kir…</t>
  </si>
  <si>
    <t xml:space="preserve">ça non plus ça </t>
  </si>
  <si>
    <t>la musique</t>
  </si>
  <si>
    <t>euh, un ail, … (charabia)</t>
  </si>
  <si>
    <t>une chien une chatte, une vache, un lien une va, pas un lien</t>
  </si>
  <si>
    <t>un plomb, un plis…ah… c'est fou</t>
  </si>
  <si>
    <t>l'appareil pour faire le li li...</t>
  </si>
  <si>
    <t>euh… un cou, couter</t>
  </si>
  <si>
    <t>les vaches, des chiens, kess les…</t>
  </si>
  <si>
    <t>(charabia)</t>
  </si>
  <si>
    <t>kes… fano…</t>
  </si>
  <si>
    <t>un oiseau, un poisson , c'est quoi comme type de poisson</t>
  </si>
  <si>
    <t>( charabia)</t>
  </si>
  <si>
    <t>télévision, la télé, c'est pas la télé…c’est…</t>
  </si>
  <si>
    <t>ça c'est un ma…</t>
  </si>
  <si>
    <t>euh… une ah c'est… ah</t>
  </si>
  <si>
    <t>li, une équille, non ….</t>
  </si>
  <si>
    <t xml:space="preserve">terminer, termé… </t>
  </si>
  <si>
    <t>passé, c'est un …</t>
  </si>
  <si>
    <t>les yeux, les vi...les fess.. Les lézars</t>
  </si>
  <si>
    <t>des man des fruit, des fri des fra</t>
  </si>
  <si>
    <t xml:space="preserve">des  </t>
  </si>
  <si>
    <t>des i ..</t>
  </si>
  <si>
    <t>c'est….</t>
  </si>
  <si>
    <t>c'est ….é at…</t>
  </si>
  <si>
    <r>
      <t>Score  :</t>
    </r>
    <r>
      <rPr>
        <b/>
        <sz val="12"/>
        <color rgb="FFFF0000"/>
        <rFont val="Calibri"/>
        <family val="2"/>
        <scheme val="minor"/>
      </rPr>
      <t xml:space="preserve"> 2</t>
    </r>
    <r>
      <rPr>
        <b/>
        <sz val="12"/>
        <color theme="1"/>
        <rFont val="Calibri"/>
        <family val="2"/>
        <scheme val="minor"/>
      </rPr>
      <t xml:space="preserve"> /40</t>
    </r>
  </si>
  <si>
    <t>RT 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</si>
</sst>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9" tint="0.79998168889431442"/>
      <name val="Cambria"/>
      <family val="1"/>
      <scheme val="major"/>
    </font>
    <font>
      <b/>
      <sz val="12"/>
      <color rgb="FF0070C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1" fillId="0" borderId="0" xfId="0" applyFont="1" applyFill="1"/>
    <xf numFmtId="0" fontId="2" fillId="2" borderId="0" xfId="0" applyFont="1" applyFill="1"/>
    <xf numFmtId="14" fontId="3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6" fillId="0" borderId="0" xfId="0" applyFont="1"/>
    <xf numFmtId="14" fontId="7" fillId="0" borderId="0" xfId="0" applyNumberFormat="1" applyFont="1" applyAlignment="1">
      <alignment horizontal="left"/>
    </xf>
    <xf numFmtId="14" fontId="3" fillId="0" borderId="0" xfId="0" applyNumberFormat="1" applyFont="1"/>
    <xf numFmtId="0" fontId="8" fillId="0" borderId="0" xfId="0" applyFont="1"/>
    <xf numFmtId="0" fontId="6" fillId="0" borderId="0" xfId="1" applyFont="1" applyAlignment="1" applyProtection="1"/>
    <xf numFmtId="0" fontId="10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5" fillId="3" borderId="0" xfId="0" applyFont="1" applyFill="1"/>
    <xf numFmtId="0" fontId="13" fillId="4" borderId="0" xfId="0" applyFont="1" applyFill="1"/>
    <xf numFmtId="0" fontId="14" fillId="4" borderId="0" xfId="0" applyFont="1" applyFill="1"/>
    <xf numFmtId="0" fontId="14" fillId="0" borderId="0" xfId="0" applyFont="1" applyFill="1"/>
    <xf numFmtId="14" fontId="14" fillId="0" borderId="0" xfId="0" applyNumberFormat="1" applyFont="1"/>
    <xf numFmtId="0" fontId="14" fillId="5" borderId="0" xfId="0" applyFont="1" applyFill="1"/>
    <xf numFmtId="0" fontId="13" fillId="0" borderId="0" xfId="0" applyFont="1" applyFill="1"/>
    <xf numFmtId="0" fontId="14" fillId="3" borderId="0" xfId="0" applyFont="1" applyFill="1"/>
    <xf numFmtId="17" fontId="14" fillId="0" borderId="0" xfId="0" applyNumberFormat="1" applyFont="1"/>
    <xf numFmtId="0" fontId="16" fillId="0" borderId="0" xfId="0" applyFont="1" applyFill="1"/>
    <xf numFmtId="0" fontId="16" fillId="0" borderId="0" xfId="0" applyFont="1"/>
    <xf numFmtId="0" fontId="12" fillId="0" borderId="0" xfId="0" applyFont="1"/>
    <xf numFmtId="0" fontId="19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Rép:</a:t>
            </a:r>
            <a:r>
              <a:rPr lang="fr-FR" baseline="0"/>
              <a:t> AS verbale</a:t>
            </a:r>
            <a:endParaRPr lang="fr-F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verbale'!$B$36</c:f>
              <c:strCache>
                <c:ptCount val="1"/>
                <c:pt idx="0">
                  <c:v>réponse</c:v>
                </c:pt>
              </c:strCache>
            </c:strRef>
          </c:tx>
          <c:cat>
            <c:strRef>
              <c:f>'AS verbale'!$C$35:$F$35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verbale'!$C$36:$F$36</c:f>
              <c:numCache>
                <c:formatCode>General</c:formatCode>
                <c:ptCount val="4"/>
                <c:pt idx="0">
                  <c:v>15</c:v>
                </c:pt>
                <c:pt idx="1">
                  <c:v>11</c:v>
                </c:pt>
                <c:pt idx="2">
                  <c:v>16</c:v>
                </c:pt>
                <c:pt idx="3">
                  <c:v>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52560"/>
        <c:axId val="259950208"/>
      </c:lineChart>
      <c:catAx>
        <c:axId val="259952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9950208"/>
        <c:crosses val="autoZero"/>
        <c:auto val="1"/>
        <c:lblAlgn val="ctr"/>
        <c:lblOffset val="100"/>
        <c:noMultiLvlLbl val="0"/>
      </c:catAx>
      <c:valAx>
        <c:axId val="259950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9952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TR</a:t>
            </a:r>
            <a:r>
              <a:rPr lang="fr-FR" baseline="0"/>
              <a:t> AS verbale</a:t>
            </a:r>
            <a:endParaRPr lang="fr-F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'AS verbale'!$B$44:$F$44</c:f>
              <c:strCache>
                <c:ptCount val="5"/>
                <c:pt idx="0">
                  <c:v> AS verb 01-006V</c:v>
                </c:pt>
                <c:pt idx="1">
                  <c:v>INC</c:v>
                </c:pt>
                <c:pt idx="2">
                  <c:v>Post 1</c:v>
                </c:pt>
                <c:pt idx="3">
                  <c:v>Post 2</c:v>
                </c:pt>
                <c:pt idx="4">
                  <c:v>Post 3</c:v>
                </c:pt>
              </c:strCache>
            </c:strRef>
          </c:cat>
          <c:val>
            <c:numRef>
              <c:f>'AS verbale'!$B$45:$F$45</c:f>
              <c:numCache>
                <c:formatCode>General</c:formatCode>
                <c:ptCount val="5"/>
                <c:pt idx="1">
                  <c:v>6653.4</c:v>
                </c:pt>
                <c:pt idx="2">
                  <c:v>5143</c:v>
                </c:pt>
                <c:pt idx="3">
                  <c:v>6469.8125</c:v>
                </c:pt>
                <c:pt idx="4">
                  <c:v>2117.8461538461538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55696"/>
        <c:axId val="259949816"/>
      </c:lineChart>
      <c:catAx>
        <c:axId val="259955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59949816"/>
        <c:crosses val="autoZero"/>
        <c:auto val="1"/>
        <c:lblAlgn val="ctr"/>
        <c:lblOffset val="100"/>
        <c:noMultiLvlLbl val="0"/>
      </c:catAx>
      <c:valAx>
        <c:axId val="2599498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59955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visuelle'!$B$41</c:f>
              <c:strCache>
                <c:ptCount val="1"/>
                <c:pt idx="0">
                  <c:v>Réponse</c:v>
                </c:pt>
              </c:strCache>
            </c:strRef>
          </c:tx>
          <c:cat>
            <c:strRef>
              <c:f>'AS visuelle'!$C$40:$F$40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visuelle'!$C$41:$F$41</c:f>
              <c:numCache>
                <c:formatCode>General</c:formatCode>
                <c:ptCount val="4"/>
                <c:pt idx="0">
                  <c:v>19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54520"/>
        <c:axId val="259953736"/>
      </c:lineChart>
      <c:catAx>
        <c:axId val="259954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59953736"/>
        <c:crosses val="autoZero"/>
        <c:auto val="1"/>
        <c:lblAlgn val="ctr"/>
        <c:lblOffset val="100"/>
        <c:noMultiLvlLbl val="0"/>
      </c:catAx>
      <c:valAx>
        <c:axId val="259953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954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visuelle'!$B$46</c:f>
              <c:strCache>
                <c:ptCount val="1"/>
                <c:pt idx="0">
                  <c:v>TR</c:v>
                </c:pt>
              </c:strCache>
            </c:strRef>
          </c:tx>
          <c:cat>
            <c:strRef>
              <c:f>'AS visuelle'!$C$45:$F$45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visuelle'!$C$46:$F$46</c:f>
              <c:numCache>
                <c:formatCode>General</c:formatCode>
                <c:ptCount val="4"/>
                <c:pt idx="0">
                  <c:v>6430.89</c:v>
                </c:pt>
                <c:pt idx="1">
                  <c:v>5281.6</c:v>
                </c:pt>
                <c:pt idx="2">
                  <c:v>5497.05</c:v>
                </c:pt>
                <c:pt idx="3">
                  <c:v>2583.9411764705883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49424"/>
        <c:axId val="259953344"/>
      </c:lineChart>
      <c:catAx>
        <c:axId val="259949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9953344"/>
        <c:crosses val="autoZero"/>
        <c:auto val="1"/>
        <c:lblAlgn val="ctr"/>
        <c:lblOffset val="100"/>
        <c:noMultiLvlLbl val="0"/>
      </c:catAx>
      <c:valAx>
        <c:axId val="259953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9949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BIP!$D$21</c:f>
              <c:strCache>
                <c:ptCount val="1"/>
                <c:pt idx="0">
                  <c:v>professions</c:v>
                </c:pt>
              </c:strCache>
            </c:strRef>
          </c:tx>
          <c:cat>
            <c:strRef>
              <c:f>BIP!$E$20:$H$20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BIP!$E$21:$H$21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55304"/>
        <c:axId val="264635504"/>
      </c:lineChart>
      <c:catAx>
        <c:axId val="259955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4635504"/>
        <c:crosses val="autoZero"/>
        <c:auto val="1"/>
        <c:lblAlgn val="ctr"/>
        <c:lblOffset val="100"/>
        <c:noMultiLvlLbl val="0"/>
      </c:catAx>
      <c:valAx>
        <c:axId val="26463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9955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1238250</xdr:colOff>
      <xdr:row>34</xdr:row>
      <xdr:rowOff>19050</xdr:rowOff>
    </xdr:from>
    <xdr:to>
      <xdr:col>15</xdr:col>
      <xdr:colOff>333375</xdr:colOff>
      <xdr:row>48</xdr:row>
      <xdr:rowOff>76200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876300</xdr:colOff>
      <xdr:row>46</xdr:row>
      <xdr:rowOff>76200</xdr:rowOff>
    </xdr:from>
    <xdr:to>
      <xdr:col>5</xdr:col>
      <xdr:colOff>0</xdr:colOff>
      <xdr:row>60</xdr:row>
      <xdr:rowOff>142875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37</xdr:row>
      <xdr:rowOff>114300</xdr:rowOff>
    </xdr:from>
    <xdr:to>
      <xdr:col>14</xdr:col>
      <xdr:colOff>352425</xdr:colOff>
      <xdr:row>52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1590675</xdr:colOff>
      <xdr:row>48</xdr:row>
      <xdr:rowOff>76200</xdr:rowOff>
    </xdr:from>
    <xdr:to>
      <xdr:col>6</xdr:col>
      <xdr:colOff>276225</xdr:colOff>
      <xdr:row>62</xdr:row>
      <xdr:rowOff>152400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22</xdr:row>
      <xdr:rowOff>161925</xdr:rowOff>
    </xdr:from>
    <xdr:to>
      <xdr:col>10</xdr:col>
      <xdr:colOff>66675</xdr:colOff>
      <xdr:row>37</xdr:row>
      <xdr:rowOff>47625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fr.wikipedia.org/wiki/API_%C9%9B%CC%83" TargetMode="External"/><Relationship Id="rId1" Type="http://schemas.openxmlformats.org/officeDocument/2006/relationships/hyperlink" Target="https://fr.wikipedia.org/wiki/API_%C9%9B%CC%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1"/>
  <sheetViews>
    <sheetView workbookViewId="0">
      <selection activeCell="B23" sqref="B23"/>
    </sheetView>
  </sheetViews>
  <sheetFormatPr baseColWidth="10" defaultRowHeight="15" x14ac:dyDescent="0.25"/>
  <cols>
    <col min="1" max="1" width="37.42578125" customWidth="1"/>
    <col min="2" max="3" width="22.28515625" customWidth="1"/>
    <col min="5" max="5" width="37.85546875" customWidth="1"/>
    <col min="6" max="6" width="21.42578125" customWidth="1"/>
    <col min="8" max="8" width="48.5703125" customWidth="1"/>
    <col min="9" max="9" width="30.5703125" customWidth="1"/>
  </cols>
  <sheetData>
    <row r="1" spans="1:9" ht="18.75" x14ac:dyDescent="0.25">
      <c r="A1" s="21" t="s">
        <v>679</v>
      </c>
      <c r="E1" s="21" t="s">
        <v>680</v>
      </c>
      <c r="H1" s="21" t="s">
        <v>681</v>
      </c>
    </row>
    <row r="2" spans="1:9" ht="15.75" x14ac:dyDescent="0.25">
      <c r="A2" s="22" t="s">
        <v>682</v>
      </c>
      <c r="B2" s="23" t="s">
        <v>776</v>
      </c>
      <c r="C2" s="23"/>
      <c r="D2" s="23"/>
      <c r="E2" s="23" t="s">
        <v>683</v>
      </c>
      <c r="F2" s="23" t="s">
        <v>781</v>
      </c>
      <c r="G2" s="23"/>
      <c r="H2" s="23" t="s">
        <v>684</v>
      </c>
      <c r="I2" s="23">
        <v>3</v>
      </c>
    </row>
    <row r="3" spans="1:9" ht="15.75" x14ac:dyDescent="0.25">
      <c r="A3" s="22" t="s">
        <v>685</v>
      </c>
      <c r="B3" s="23" t="s">
        <v>776</v>
      </c>
      <c r="C3" s="23"/>
      <c r="D3" s="23"/>
      <c r="E3" s="23" t="s">
        <v>686</v>
      </c>
      <c r="F3" s="23" t="s">
        <v>781</v>
      </c>
      <c r="G3" s="23"/>
      <c r="H3" s="24"/>
      <c r="I3" s="23"/>
    </row>
    <row r="4" spans="1:9" ht="15.75" x14ac:dyDescent="0.25">
      <c r="A4" s="22" t="s">
        <v>687</v>
      </c>
      <c r="B4" s="23" t="s">
        <v>783</v>
      </c>
      <c r="C4" s="23"/>
      <c r="D4" s="23"/>
      <c r="E4" s="23" t="s">
        <v>688</v>
      </c>
      <c r="F4" s="23" t="s">
        <v>782</v>
      </c>
      <c r="G4" s="23"/>
      <c r="H4" s="23" t="s">
        <v>689</v>
      </c>
      <c r="I4" s="23">
        <v>15</v>
      </c>
    </row>
    <row r="5" spans="1:9" ht="15.75" x14ac:dyDescent="0.25">
      <c r="A5" s="25"/>
      <c r="B5" s="26"/>
      <c r="C5" s="26"/>
      <c r="D5" s="27"/>
      <c r="E5" s="27" t="s">
        <v>690</v>
      </c>
      <c r="F5" s="27" t="s">
        <v>782</v>
      </c>
      <c r="G5" s="27"/>
      <c r="H5" s="27" t="s">
        <v>691</v>
      </c>
      <c r="I5" s="33">
        <v>19</v>
      </c>
    </row>
    <row r="6" spans="1:9" ht="15.75" x14ac:dyDescent="0.25">
      <c r="A6" s="22" t="s">
        <v>692</v>
      </c>
      <c r="B6" s="23" t="s">
        <v>777</v>
      </c>
      <c r="C6" s="23"/>
      <c r="D6" s="23"/>
      <c r="E6" s="27" t="s">
        <v>693</v>
      </c>
      <c r="F6" s="27" t="s">
        <v>781</v>
      </c>
      <c r="G6" s="23"/>
      <c r="H6" s="27" t="s">
        <v>694</v>
      </c>
      <c r="I6" s="34">
        <v>0</v>
      </c>
    </row>
    <row r="7" spans="1:9" ht="15.75" x14ac:dyDescent="0.25">
      <c r="A7" s="22" t="s">
        <v>695</v>
      </c>
      <c r="B7" s="28">
        <v>16908</v>
      </c>
      <c r="C7" s="28"/>
      <c r="D7" s="23"/>
      <c r="E7" s="29"/>
      <c r="F7" s="29"/>
      <c r="G7" s="23"/>
      <c r="H7" s="27" t="s">
        <v>696</v>
      </c>
      <c r="I7" s="34">
        <v>46</v>
      </c>
    </row>
    <row r="8" spans="1:9" ht="15.75" x14ac:dyDescent="0.25">
      <c r="A8" s="22" t="s">
        <v>697</v>
      </c>
      <c r="B8" s="23">
        <v>72</v>
      </c>
      <c r="C8" s="23"/>
      <c r="D8" s="23"/>
      <c r="E8" s="30" t="s">
        <v>698</v>
      </c>
      <c r="F8" s="23"/>
      <c r="G8" s="23"/>
      <c r="H8" s="31"/>
      <c r="I8" s="23"/>
    </row>
    <row r="9" spans="1:9" ht="15.75" x14ac:dyDescent="0.25">
      <c r="A9" s="25"/>
      <c r="B9" s="26"/>
      <c r="C9" s="26"/>
      <c r="D9" s="23"/>
      <c r="E9" s="27" t="s">
        <v>699</v>
      </c>
      <c r="F9" s="23">
        <v>21</v>
      </c>
      <c r="G9" s="23"/>
      <c r="H9" s="27" t="s">
        <v>700</v>
      </c>
      <c r="I9" s="23">
        <v>13</v>
      </c>
    </row>
    <row r="10" spans="1:9" ht="15.75" x14ac:dyDescent="0.25">
      <c r="A10" s="22" t="s">
        <v>701</v>
      </c>
      <c r="B10" s="28">
        <v>43346</v>
      </c>
      <c r="C10" s="28"/>
      <c r="D10" s="23"/>
      <c r="E10" s="27" t="s">
        <v>702</v>
      </c>
      <c r="F10" s="23">
        <v>2</v>
      </c>
      <c r="G10" s="23"/>
      <c r="H10" s="27" t="s">
        <v>703</v>
      </c>
      <c r="I10" s="23">
        <v>2</v>
      </c>
    </row>
    <row r="11" spans="1:9" ht="15.75" x14ac:dyDescent="0.25">
      <c r="A11" s="22" t="s">
        <v>704</v>
      </c>
      <c r="B11" s="28">
        <v>43354</v>
      </c>
      <c r="C11" s="28"/>
      <c r="D11" s="23"/>
      <c r="E11" s="27" t="s">
        <v>705</v>
      </c>
      <c r="F11" s="23">
        <v>14</v>
      </c>
      <c r="G11" s="23"/>
      <c r="H11" s="27" t="s">
        <v>706</v>
      </c>
      <c r="I11" s="23">
        <v>53</v>
      </c>
    </row>
    <row r="12" spans="1:9" ht="15.75" x14ac:dyDescent="0.25">
      <c r="A12" s="25"/>
      <c r="B12" s="26"/>
      <c r="C12" s="26"/>
      <c r="D12" s="23"/>
      <c r="E12" s="27" t="s">
        <v>707</v>
      </c>
      <c r="F12" s="23">
        <v>114</v>
      </c>
      <c r="G12" s="23"/>
      <c r="H12" s="27" t="s">
        <v>708</v>
      </c>
      <c r="I12" s="23">
        <v>13</v>
      </c>
    </row>
    <row r="13" spans="1:9" ht="15.75" x14ac:dyDescent="0.25">
      <c r="A13" s="22" t="s">
        <v>709</v>
      </c>
      <c r="B13" s="23" t="s">
        <v>778</v>
      </c>
      <c r="C13" s="23"/>
      <c r="D13" s="23"/>
      <c r="E13" s="27" t="s">
        <v>710</v>
      </c>
      <c r="F13" s="23">
        <v>4</v>
      </c>
      <c r="G13" s="23"/>
      <c r="H13" s="27" t="s">
        <v>711</v>
      </c>
      <c r="I13" s="23">
        <v>28</v>
      </c>
    </row>
    <row r="14" spans="1:9" ht="15.75" x14ac:dyDescent="0.25">
      <c r="A14" s="22" t="s">
        <v>712</v>
      </c>
      <c r="B14" s="23" t="s">
        <v>779</v>
      </c>
      <c r="C14" s="23"/>
      <c r="D14" s="23"/>
      <c r="E14" s="27" t="s">
        <v>713</v>
      </c>
      <c r="F14" s="23">
        <v>2</v>
      </c>
      <c r="G14" s="23"/>
      <c r="H14" s="27" t="s">
        <v>714</v>
      </c>
      <c r="I14" s="23">
        <v>36</v>
      </c>
    </row>
    <row r="15" spans="1:9" ht="15.75" x14ac:dyDescent="0.25">
      <c r="A15" s="26"/>
      <c r="B15" s="26"/>
      <c r="C15" s="26"/>
      <c r="D15" s="23"/>
      <c r="E15" s="27" t="s">
        <v>715</v>
      </c>
      <c r="F15" s="23">
        <v>6</v>
      </c>
      <c r="G15" s="23"/>
      <c r="H15" s="23"/>
      <c r="I15" s="23"/>
    </row>
    <row r="16" spans="1:9" ht="15.75" x14ac:dyDescent="0.25">
      <c r="A16" s="22" t="s">
        <v>716</v>
      </c>
      <c r="B16" s="32">
        <v>41061</v>
      </c>
      <c r="C16" s="32"/>
      <c r="D16" s="23"/>
      <c r="E16" s="27" t="s">
        <v>717</v>
      </c>
      <c r="F16" s="23">
        <v>5</v>
      </c>
      <c r="G16" s="23"/>
      <c r="H16" s="23"/>
      <c r="I16" s="23"/>
    </row>
    <row r="17" spans="1:9" ht="15.75" x14ac:dyDescent="0.25">
      <c r="A17" s="22" t="s">
        <v>718</v>
      </c>
      <c r="B17" s="32">
        <v>42370</v>
      </c>
      <c r="C17" s="32"/>
      <c r="D17" s="23"/>
      <c r="E17" s="27" t="s">
        <v>719</v>
      </c>
      <c r="F17" s="23">
        <v>197</v>
      </c>
      <c r="G17" s="23"/>
      <c r="H17" s="23"/>
      <c r="I17" s="23"/>
    </row>
    <row r="18" spans="1:9" ht="15.75" x14ac:dyDescent="0.25">
      <c r="A18" s="22" t="s">
        <v>720</v>
      </c>
      <c r="B18" s="23" t="s">
        <v>780</v>
      </c>
      <c r="C18" s="23"/>
      <c r="D18" s="23"/>
      <c r="E18" s="27" t="s">
        <v>721</v>
      </c>
      <c r="F18" s="23">
        <v>33</v>
      </c>
      <c r="G18" s="23"/>
      <c r="H18" s="23"/>
      <c r="I18" s="23"/>
    </row>
    <row r="19" spans="1:9" ht="15.75" x14ac:dyDescent="0.25">
      <c r="A19" s="26"/>
      <c r="B19" s="26"/>
      <c r="C19" s="26"/>
      <c r="D19" s="23"/>
      <c r="E19" s="27" t="s">
        <v>722</v>
      </c>
      <c r="F19" s="23" t="s">
        <v>779</v>
      </c>
      <c r="G19" s="23"/>
      <c r="H19" s="23"/>
      <c r="I19" s="23"/>
    </row>
    <row r="20" spans="1:9" ht="15.75" x14ac:dyDescent="0.25">
      <c r="A20" s="22" t="s">
        <v>723</v>
      </c>
      <c r="B20" s="23" t="s">
        <v>780</v>
      </c>
      <c r="C20" s="23"/>
      <c r="D20" s="23"/>
      <c r="E20" s="27" t="s">
        <v>724</v>
      </c>
      <c r="F20" s="23" t="s">
        <v>779</v>
      </c>
      <c r="G20" s="23"/>
      <c r="H20" s="23"/>
      <c r="I20" s="23"/>
    </row>
    <row r="21" spans="1:9" ht="15.75" x14ac:dyDescent="0.25">
      <c r="A21" s="23"/>
      <c r="B21" s="23"/>
      <c r="C21" s="23"/>
      <c r="D21" s="23"/>
      <c r="E21" s="27" t="s">
        <v>725</v>
      </c>
      <c r="F21" s="23">
        <v>15</v>
      </c>
      <c r="G21" s="23"/>
      <c r="H21" s="23"/>
      <c r="I21" s="2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7"/>
  <sheetViews>
    <sheetView topLeftCell="W1" workbookViewId="0">
      <selection activeCell="AG2" sqref="AG2"/>
    </sheetView>
  </sheetViews>
  <sheetFormatPr baseColWidth="10" defaultColWidth="9.140625" defaultRowHeight="15" x14ac:dyDescent="0.25"/>
  <cols>
    <col min="1" max="1" width="17.85546875" customWidth="1"/>
    <col min="2" max="2" width="27.28515625" customWidth="1"/>
    <col min="5" max="5" width="18.28515625" customWidth="1"/>
    <col min="6" max="6" width="18.7109375" customWidth="1"/>
    <col min="7" max="7" width="23.42578125" customWidth="1"/>
    <col min="8" max="8" width="17.140625" customWidth="1"/>
    <col min="11" max="11" width="20.5703125" customWidth="1"/>
    <col min="15" max="15" width="17" customWidth="1"/>
    <col min="16" max="16" width="20.5703125" customWidth="1"/>
    <col min="17" max="17" width="21.28515625" customWidth="1"/>
    <col min="18" max="18" width="24.140625" customWidth="1"/>
    <col min="21" max="21" width="22.140625" customWidth="1"/>
    <col min="25" max="25" width="19" customWidth="1"/>
    <col min="26" max="26" width="16.42578125" customWidth="1"/>
    <col min="27" max="27" width="17.5703125" customWidth="1"/>
    <col min="28" max="28" width="15.85546875" customWidth="1"/>
    <col min="30" max="30" width="16" customWidth="1"/>
    <col min="35" max="35" width="17" customWidth="1"/>
    <col min="36" max="36" width="20.7109375" customWidth="1"/>
    <col min="37" max="38" width="17.42578125" customWidth="1"/>
    <col min="40" max="40" width="20.42578125" customWidth="1"/>
    <col min="46" max="46" width="14.140625" customWidth="1"/>
    <col min="47" max="47" width="18.42578125" customWidth="1"/>
    <col min="48" max="48" width="17.5703125" customWidth="1"/>
    <col min="50" max="50" width="23" customWidth="1"/>
    <col min="55" max="55" width="21" customWidth="1"/>
    <col min="56" max="56" width="16.28515625" customWidth="1"/>
    <col min="57" max="57" width="20.42578125" customWidth="1"/>
    <col min="58" max="58" width="16.7109375" customWidth="1"/>
  </cols>
  <sheetData>
    <row r="1" spans="1:58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53</v>
      </c>
      <c r="F1" s="2" t="s">
        <v>54</v>
      </c>
      <c r="G1" s="2" t="s">
        <v>56</v>
      </c>
      <c r="H1" s="2" t="s">
        <v>57</v>
      </c>
      <c r="K1" s="1" t="s">
        <v>30</v>
      </c>
      <c r="L1" s="2" t="s">
        <v>0</v>
      </c>
      <c r="M1" s="2" t="s">
        <v>1</v>
      </c>
      <c r="N1" s="2" t="s">
        <v>2</v>
      </c>
      <c r="O1" s="2" t="s">
        <v>53</v>
      </c>
      <c r="P1" s="2" t="s">
        <v>54</v>
      </c>
      <c r="Q1" s="2" t="s">
        <v>56</v>
      </c>
      <c r="R1" s="2" t="s">
        <v>57</v>
      </c>
      <c r="U1" s="1" t="s">
        <v>30</v>
      </c>
      <c r="V1" s="2" t="s">
        <v>0</v>
      </c>
      <c r="W1" s="2" t="s">
        <v>1</v>
      </c>
      <c r="X1" s="2" t="s">
        <v>2</v>
      </c>
      <c r="Y1" s="2" t="s">
        <v>53</v>
      </c>
      <c r="Z1" s="2" t="s">
        <v>54</v>
      </c>
      <c r="AA1" s="2" t="s">
        <v>56</v>
      </c>
      <c r="AB1" s="2" t="s">
        <v>57</v>
      </c>
      <c r="AD1" s="1" t="s">
        <v>30</v>
      </c>
      <c r="AE1" s="2" t="s">
        <v>0</v>
      </c>
      <c r="AF1" s="2" t="s">
        <v>1</v>
      </c>
      <c r="AG1" s="2" t="s">
        <v>2</v>
      </c>
      <c r="AH1" s="2" t="s">
        <v>464</v>
      </c>
      <c r="AI1" s="2" t="s">
        <v>463</v>
      </c>
      <c r="AJ1" s="2" t="s">
        <v>56</v>
      </c>
      <c r="AK1" s="2" t="s">
        <v>57</v>
      </c>
      <c r="AL1" s="2" t="s">
        <v>465</v>
      </c>
      <c r="AN1" s="1" t="s">
        <v>30</v>
      </c>
      <c r="AO1" s="2" t="s">
        <v>0</v>
      </c>
      <c r="AP1" s="2" t="s">
        <v>1</v>
      </c>
      <c r="AQ1" s="2" t="s">
        <v>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X1" s="1" t="s">
        <v>30</v>
      </c>
      <c r="AY1" s="2" t="s">
        <v>0</v>
      </c>
      <c r="AZ1" s="2" t="s">
        <v>1</v>
      </c>
      <c r="BA1" s="2" t="s">
        <v>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15.75" x14ac:dyDescent="0.25">
      <c r="A2" s="3" t="s">
        <v>8</v>
      </c>
      <c r="B2" s="2">
        <v>1</v>
      </c>
      <c r="C2" s="2">
        <v>1</v>
      </c>
      <c r="D2">
        <v>1</v>
      </c>
      <c r="E2" t="s">
        <v>66</v>
      </c>
      <c r="F2" t="s">
        <v>64</v>
      </c>
      <c r="G2">
        <v>1</v>
      </c>
      <c r="H2">
        <v>5632</v>
      </c>
      <c r="K2" s="3" t="s">
        <v>117</v>
      </c>
      <c r="L2" s="2">
        <v>1</v>
      </c>
      <c r="M2" s="2">
        <v>2</v>
      </c>
      <c r="N2">
        <v>1</v>
      </c>
      <c r="O2" t="s">
        <v>79</v>
      </c>
      <c r="P2" t="s">
        <v>64</v>
      </c>
      <c r="Q2" s="4">
        <v>0</v>
      </c>
      <c r="R2" s="4">
        <v>4327</v>
      </c>
      <c r="U2" s="3" t="s">
        <v>118</v>
      </c>
      <c r="V2" s="2">
        <v>2</v>
      </c>
      <c r="W2" s="2">
        <v>3</v>
      </c>
      <c r="X2">
        <v>1</v>
      </c>
      <c r="Y2" t="s">
        <v>90</v>
      </c>
      <c r="Z2" t="s">
        <v>64</v>
      </c>
      <c r="AA2">
        <v>1</v>
      </c>
      <c r="AB2">
        <v>4585</v>
      </c>
      <c r="AD2" s="3" t="s">
        <v>119</v>
      </c>
      <c r="AE2" s="2">
        <v>2</v>
      </c>
      <c r="AF2" s="2">
        <v>4</v>
      </c>
      <c r="AG2">
        <v>1</v>
      </c>
      <c r="AH2" t="s">
        <v>99</v>
      </c>
      <c r="AI2" t="s">
        <v>64</v>
      </c>
      <c r="AJ2" s="12">
        <v>1</v>
      </c>
      <c r="AK2" s="12">
        <v>1899</v>
      </c>
      <c r="AL2" s="12">
        <v>1899</v>
      </c>
      <c r="AN2" s="3" t="s">
        <v>295</v>
      </c>
      <c r="AO2" s="2">
        <v>2</v>
      </c>
      <c r="AP2" s="2">
        <v>5</v>
      </c>
      <c r="AQ2">
        <v>1</v>
      </c>
      <c r="AR2" t="s">
        <v>111</v>
      </c>
      <c r="AS2" t="s">
        <v>64</v>
      </c>
      <c r="AT2">
        <v>1</v>
      </c>
      <c r="AU2" s="12">
        <v>1</v>
      </c>
      <c r="AV2" s="12">
        <v>2803</v>
      </c>
      <c r="AX2" s="3" t="s">
        <v>298</v>
      </c>
      <c r="AY2" s="2">
        <v>1</v>
      </c>
      <c r="AZ2" s="2">
        <v>6</v>
      </c>
      <c r="BA2">
        <v>1</v>
      </c>
      <c r="BB2" t="s">
        <v>73</v>
      </c>
      <c r="BC2" t="s">
        <v>59</v>
      </c>
      <c r="BD2">
        <v>2</v>
      </c>
      <c r="BE2">
        <v>0</v>
      </c>
      <c r="BF2">
        <v>2492</v>
      </c>
    </row>
    <row r="3" spans="1:58" ht="15.75" x14ac:dyDescent="0.25">
      <c r="A3" s="1" t="s">
        <v>60</v>
      </c>
      <c r="D3">
        <v>2</v>
      </c>
      <c r="E3" t="s">
        <v>67</v>
      </c>
      <c r="F3" t="s">
        <v>59</v>
      </c>
      <c r="G3" s="8">
        <v>0</v>
      </c>
      <c r="H3" s="8">
        <v>5078</v>
      </c>
      <c r="K3" s="1" t="s">
        <v>60</v>
      </c>
      <c r="N3">
        <v>2</v>
      </c>
      <c r="O3" t="s">
        <v>68</v>
      </c>
      <c r="P3" t="s">
        <v>59</v>
      </c>
      <c r="Q3" s="4">
        <v>0</v>
      </c>
      <c r="R3" s="4">
        <v>4194</v>
      </c>
      <c r="U3" s="1" t="s">
        <v>60</v>
      </c>
      <c r="X3">
        <v>2</v>
      </c>
      <c r="Y3" t="s">
        <v>91</v>
      </c>
      <c r="Z3" t="s">
        <v>59</v>
      </c>
      <c r="AA3" s="4">
        <v>0</v>
      </c>
      <c r="AB3" s="4">
        <v>5199</v>
      </c>
      <c r="AD3" s="1" t="s">
        <v>60</v>
      </c>
      <c r="AG3">
        <v>2</v>
      </c>
      <c r="AH3" t="s">
        <v>113</v>
      </c>
      <c r="AI3" t="s">
        <v>64</v>
      </c>
      <c r="AJ3" s="12">
        <v>1</v>
      </c>
      <c r="AK3" s="12">
        <v>1622</v>
      </c>
      <c r="AL3" s="12">
        <v>1622</v>
      </c>
      <c r="AN3" s="1" t="s">
        <v>60</v>
      </c>
      <c r="AQ3">
        <v>2</v>
      </c>
      <c r="AR3" t="s">
        <v>107</v>
      </c>
      <c r="AS3" t="s">
        <v>64</v>
      </c>
      <c r="AT3">
        <v>1</v>
      </c>
      <c r="AU3">
        <v>0</v>
      </c>
      <c r="AV3">
        <v>2744</v>
      </c>
      <c r="AX3" s="1" t="s">
        <v>60</v>
      </c>
      <c r="BA3">
        <v>2</v>
      </c>
      <c r="BB3" t="s">
        <v>66</v>
      </c>
      <c r="BC3" t="s">
        <v>64</v>
      </c>
      <c r="BD3">
        <v>2</v>
      </c>
      <c r="BE3">
        <v>0</v>
      </c>
      <c r="BF3">
        <v>3250</v>
      </c>
    </row>
    <row r="4" spans="1:58" ht="15.75" x14ac:dyDescent="0.25">
      <c r="A4" s="1" t="s">
        <v>88</v>
      </c>
      <c r="D4">
        <v>3</v>
      </c>
      <c r="E4" t="s">
        <v>68</v>
      </c>
      <c r="F4" t="s">
        <v>59</v>
      </c>
      <c r="G4" s="8">
        <v>0</v>
      </c>
      <c r="H4" s="8">
        <v>5416</v>
      </c>
      <c r="K4" s="1" t="s">
        <v>89</v>
      </c>
      <c r="N4">
        <v>3</v>
      </c>
      <c r="O4" t="s">
        <v>76</v>
      </c>
      <c r="P4" t="s">
        <v>64</v>
      </c>
      <c r="Q4" s="4">
        <v>0</v>
      </c>
      <c r="R4" s="4">
        <v>4999</v>
      </c>
      <c r="U4" s="1" t="s">
        <v>87</v>
      </c>
      <c r="X4">
        <v>3</v>
      </c>
      <c r="Y4" t="s">
        <v>92</v>
      </c>
      <c r="Z4" t="s">
        <v>59</v>
      </c>
      <c r="AA4" s="4">
        <v>0</v>
      </c>
      <c r="AB4" s="4">
        <v>4870</v>
      </c>
      <c r="AD4" s="1"/>
      <c r="AG4">
        <v>3</v>
      </c>
      <c r="AH4" t="s">
        <v>94</v>
      </c>
      <c r="AI4" t="s">
        <v>64</v>
      </c>
      <c r="AJ4" s="12">
        <v>1</v>
      </c>
      <c r="AK4" s="12">
        <v>1675</v>
      </c>
      <c r="AL4" s="12">
        <v>1675</v>
      </c>
      <c r="AN4" s="11">
        <v>43559</v>
      </c>
      <c r="AQ4">
        <v>3</v>
      </c>
      <c r="AR4" t="s">
        <v>96</v>
      </c>
      <c r="AS4" t="s">
        <v>59</v>
      </c>
      <c r="AT4">
        <v>2</v>
      </c>
      <c r="AU4">
        <v>0</v>
      </c>
      <c r="AV4">
        <v>2639</v>
      </c>
      <c r="AX4" s="11">
        <v>43580</v>
      </c>
      <c r="BA4">
        <v>3</v>
      </c>
      <c r="BB4" t="s">
        <v>72</v>
      </c>
      <c r="BC4" t="s">
        <v>64</v>
      </c>
      <c r="BD4">
        <v>1</v>
      </c>
      <c r="BE4">
        <v>0</v>
      </c>
      <c r="BF4">
        <v>6001</v>
      </c>
    </row>
    <row r="5" spans="1:58" x14ac:dyDescent="0.25">
      <c r="D5">
        <v>4</v>
      </c>
      <c r="E5" t="s">
        <v>69</v>
      </c>
      <c r="F5" t="s">
        <v>59</v>
      </c>
      <c r="G5" s="8">
        <v>0</v>
      </c>
      <c r="H5" s="8">
        <v>4206</v>
      </c>
      <c r="N5">
        <v>4</v>
      </c>
      <c r="O5" t="s">
        <v>74</v>
      </c>
      <c r="P5" t="s">
        <v>59</v>
      </c>
      <c r="Q5">
        <v>1</v>
      </c>
      <c r="R5">
        <v>3795</v>
      </c>
      <c r="X5">
        <v>4</v>
      </c>
      <c r="Y5" t="s">
        <v>93</v>
      </c>
      <c r="Z5" t="s">
        <v>64</v>
      </c>
      <c r="AA5">
        <v>1</v>
      </c>
      <c r="AB5">
        <v>5645</v>
      </c>
      <c r="AG5">
        <v>4</v>
      </c>
      <c r="AH5" t="s">
        <v>100</v>
      </c>
      <c r="AI5" t="s">
        <v>59</v>
      </c>
      <c r="AJ5" s="12">
        <v>1</v>
      </c>
      <c r="AK5" s="12">
        <v>1678</v>
      </c>
      <c r="AL5" s="12">
        <v>1678</v>
      </c>
      <c r="AQ5">
        <v>4</v>
      </c>
      <c r="AR5" t="s">
        <v>91</v>
      </c>
      <c r="AS5" t="s">
        <v>59</v>
      </c>
      <c r="AT5">
        <v>2</v>
      </c>
      <c r="AU5">
        <v>1</v>
      </c>
      <c r="AV5">
        <v>3371</v>
      </c>
      <c r="BA5">
        <v>4</v>
      </c>
      <c r="BB5" t="s">
        <v>74</v>
      </c>
      <c r="BC5" t="s">
        <v>59</v>
      </c>
      <c r="BD5">
        <v>2</v>
      </c>
      <c r="BE5">
        <v>0</v>
      </c>
      <c r="BF5">
        <v>5112</v>
      </c>
    </row>
    <row r="6" spans="1:58" x14ac:dyDescent="0.25">
      <c r="D6">
        <v>5</v>
      </c>
      <c r="E6" t="s">
        <v>65</v>
      </c>
      <c r="F6" t="s">
        <v>64</v>
      </c>
      <c r="G6">
        <v>1</v>
      </c>
      <c r="H6">
        <v>6037</v>
      </c>
      <c r="N6">
        <v>5</v>
      </c>
      <c r="O6" t="s">
        <v>67</v>
      </c>
      <c r="P6" t="s">
        <v>59</v>
      </c>
      <c r="Q6">
        <v>1</v>
      </c>
      <c r="R6">
        <v>4512</v>
      </c>
      <c r="X6">
        <v>5</v>
      </c>
      <c r="Y6" t="s">
        <v>94</v>
      </c>
      <c r="Z6" t="s">
        <v>64</v>
      </c>
      <c r="AA6">
        <v>1</v>
      </c>
      <c r="AB6">
        <v>4835</v>
      </c>
      <c r="AG6">
        <v>5</v>
      </c>
      <c r="AH6" t="s">
        <v>95</v>
      </c>
      <c r="AI6" t="s">
        <v>59</v>
      </c>
      <c r="AJ6" s="4">
        <v>0</v>
      </c>
      <c r="AK6" s="4">
        <v>1517</v>
      </c>
      <c r="AL6" s="4"/>
      <c r="AQ6">
        <v>5</v>
      </c>
      <c r="AR6" t="s">
        <v>105</v>
      </c>
      <c r="AS6" t="s">
        <v>59</v>
      </c>
      <c r="AT6">
        <v>1</v>
      </c>
      <c r="AU6">
        <v>0</v>
      </c>
      <c r="AV6">
        <v>2749</v>
      </c>
      <c r="BA6">
        <v>5</v>
      </c>
      <c r="BB6" t="s">
        <v>61</v>
      </c>
      <c r="BC6" t="s">
        <v>59</v>
      </c>
      <c r="BD6">
        <v>1</v>
      </c>
      <c r="BE6">
        <v>1</v>
      </c>
      <c r="BF6">
        <v>5075</v>
      </c>
    </row>
    <row r="7" spans="1:58" x14ac:dyDescent="0.25">
      <c r="D7">
        <v>6</v>
      </c>
      <c r="E7" t="s">
        <v>70</v>
      </c>
      <c r="F7" t="s">
        <v>64</v>
      </c>
      <c r="G7">
        <v>1</v>
      </c>
      <c r="H7">
        <v>7888</v>
      </c>
      <c r="N7">
        <v>6</v>
      </c>
      <c r="O7" t="s">
        <v>77</v>
      </c>
      <c r="P7" t="s">
        <v>64</v>
      </c>
      <c r="Q7">
        <v>1</v>
      </c>
      <c r="R7">
        <v>4057</v>
      </c>
      <c r="X7">
        <v>6</v>
      </c>
      <c r="Y7" t="s">
        <v>95</v>
      </c>
      <c r="Z7" t="s">
        <v>59</v>
      </c>
      <c r="AA7">
        <v>1</v>
      </c>
      <c r="AB7">
        <v>4807</v>
      </c>
      <c r="AG7">
        <v>6</v>
      </c>
      <c r="AH7" t="s">
        <v>114</v>
      </c>
      <c r="AI7" t="s">
        <v>59</v>
      </c>
      <c r="AJ7" s="4">
        <v>0</v>
      </c>
      <c r="AK7" s="4">
        <v>1522</v>
      </c>
      <c r="AL7" s="4"/>
      <c r="AQ7">
        <v>6</v>
      </c>
      <c r="AR7" t="s">
        <v>95</v>
      </c>
      <c r="AS7" t="s">
        <v>59</v>
      </c>
      <c r="AT7">
        <v>2</v>
      </c>
      <c r="AU7">
        <v>0</v>
      </c>
      <c r="AV7">
        <v>2434</v>
      </c>
      <c r="BA7">
        <v>6</v>
      </c>
      <c r="BB7" t="s">
        <v>86</v>
      </c>
      <c r="BC7" t="s">
        <v>64</v>
      </c>
      <c r="BD7">
        <v>2</v>
      </c>
      <c r="BE7">
        <v>1</v>
      </c>
      <c r="BF7">
        <v>5531</v>
      </c>
    </row>
    <row r="8" spans="1:58" x14ac:dyDescent="0.25">
      <c r="D8">
        <v>7</v>
      </c>
      <c r="E8" t="s">
        <v>71</v>
      </c>
      <c r="F8" t="s">
        <v>59</v>
      </c>
      <c r="G8" s="4">
        <v>0</v>
      </c>
      <c r="H8" s="4">
        <v>4504</v>
      </c>
      <c r="N8">
        <v>7</v>
      </c>
      <c r="O8" t="s">
        <v>69</v>
      </c>
      <c r="P8" t="s">
        <v>59</v>
      </c>
      <c r="Q8" s="4">
        <v>0</v>
      </c>
      <c r="R8" s="4">
        <v>4320</v>
      </c>
      <c r="X8">
        <v>7</v>
      </c>
      <c r="Y8" t="s">
        <v>96</v>
      </c>
      <c r="Z8" t="s">
        <v>59</v>
      </c>
      <c r="AA8" s="4">
        <v>0</v>
      </c>
      <c r="AB8" s="4">
        <v>7280</v>
      </c>
      <c r="AG8">
        <v>7</v>
      </c>
      <c r="AH8" t="s">
        <v>101</v>
      </c>
      <c r="AI8" t="s">
        <v>59</v>
      </c>
      <c r="AJ8" s="12">
        <v>1</v>
      </c>
      <c r="AK8" s="12">
        <v>1382</v>
      </c>
      <c r="AL8" s="12">
        <v>1382</v>
      </c>
      <c r="AQ8">
        <v>7</v>
      </c>
      <c r="AR8" t="s">
        <v>102</v>
      </c>
      <c r="AS8" t="s">
        <v>64</v>
      </c>
      <c r="AT8">
        <v>2</v>
      </c>
      <c r="AU8">
        <v>0</v>
      </c>
      <c r="AV8">
        <v>2778</v>
      </c>
      <c r="BA8">
        <v>7</v>
      </c>
      <c r="BB8" t="s">
        <v>75</v>
      </c>
      <c r="BC8" t="s">
        <v>59</v>
      </c>
      <c r="BD8">
        <v>2</v>
      </c>
      <c r="BE8">
        <v>1</v>
      </c>
      <c r="BF8">
        <v>5756</v>
      </c>
    </row>
    <row r="9" spans="1:58" x14ac:dyDescent="0.25">
      <c r="D9">
        <v>8</v>
      </c>
      <c r="E9" t="s">
        <v>72</v>
      </c>
      <c r="F9" t="s">
        <v>64</v>
      </c>
      <c r="G9" s="4">
        <v>0</v>
      </c>
      <c r="H9" s="4">
        <v>0</v>
      </c>
      <c r="N9">
        <v>8</v>
      </c>
      <c r="O9" t="s">
        <v>73</v>
      </c>
      <c r="P9" t="s">
        <v>59</v>
      </c>
      <c r="Q9" s="4">
        <v>0</v>
      </c>
      <c r="R9" s="4">
        <v>3916</v>
      </c>
      <c r="X9">
        <v>8</v>
      </c>
      <c r="Y9" t="s">
        <v>97</v>
      </c>
      <c r="Z9" t="s">
        <v>59</v>
      </c>
      <c r="AA9">
        <v>1</v>
      </c>
      <c r="AB9">
        <v>7602</v>
      </c>
      <c r="AG9">
        <v>8</v>
      </c>
      <c r="AH9" t="s">
        <v>109</v>
      </c>
      <c r="AI9" t="s">
        <v>64</v>
      </c>
      <c r="AJ9" s="12">
        <v>1</v>
      </c>
      <c r="AK9" s="12">
        <v>1701</v>
      </c>
      <c r="AL9" s="12">
        <v>1701</v>
      </c>
      <c r="AQ9">
        <v>8</v>
      </c>
      <c r="AR9" t="s">
        <v>108</v>
      </c>
      <c r="AS9" t="s">
        <v>64</v>
      </c>
      <c r="AT9">
        <v>1</v>
      </c>
      <c r="AU9">
        <v>0</v>
      </c>
      <c r="AV9">
        <v>2761</v>
      </c>
      <c r="BA9">
        <v>8</v>
      </c>
      <c r="BB9" t="s">
        <v>69</v>
      </c>
      <c r="BC9" t="s">
        <v>59</v>
      </c>
      <c r="BD9">
        <v>1</v>
      </c>
      <c r="BE9">
        <v>1</v>
      </c>
      <c r="BF9">
        <v>5559</v>
      </c>
    </row>
    <row r="10" spans="1:58" x14ac:dyDescent="0.25">
      <c r="D10">
        <v>9</v>
      </c>
      <c r="E10" t="s">
        <v>73</v>
      </c>
      <c r="F10" t="s">
        <v>59</v>
      </c>
      <c r="G10">
        <v>1</v>
      </c>
      <c r="H10">
        <v>7905</v>
      </c>
      <c r="N10">
        <v>9</v>
      </c>
      <c r="O10" t="s">
        <v>82</v>
      </c>
      <c r="P10" t="s">
        <v>64</v>
      </c>
      <c r="Q10" s="4">
        <v>0</v>
      </c>
      <c r="R10" s="4">
        <v>4338</v>
      </c>
      <c r="X10">
        <v>9</v>
      </c>
      <c r="Y10" t="s">
        <v>98</v>
      </c>
      <c r="Z10" t="s">
        <v>64</v>
      </c>
      <c r="AA10">
        <v>1</v>
      </c>
      <c r="AB10">
        <v>5957</v>
      </c>
      <c r="AG10">
        <v>9</v>
      </c>
      <c r="AH10" t="s">
        <v>110</v>
      </c>
      <c r="AI10" t="s">
        <v>64</v>
      </c>
      <c r="AJ10" s="4">
        <v>0</v>
      </c>
      <c r="AK10" s="4">
        <v>1682</v>
      </c>
      <c r="AL10" s="4"/>
      <c r="AQ10">
        <v>9</v>
      </c>
      <c r="AR10" t="s">
        <v>99</v>
      </c>
      <c r="AS10" t="s">
        <v>64</v>
      </c>
      <c r="AT10">
        <v>2</v>
      </c>
      <c r="AU10">
        <v>0</v>
      </c>
      <c r="AV10">
        <v>3426</v>
      </c>
      <c r="BA10">
        <v>9</v>
      </c>
      <c r="BB10" t="s">
        <v>76</v>
      </c>
      <c r="BC10" t="s">
        <v>64</v>
      </c>
      <c r="BD10">
        <v>2</v>
      </c>
      <c r="BE10">
        <v>0</v>
      </c>
      <c r="BF10">
        <v>6096</v>
      </c>
    </row>
    <row r="11" spans="1:58" x14ac:dyDescent="0.25">
      <c r="D11">
        <v>10</v>
      </c>
      <c r="E11" t="s">
        <v>61</v>
      </c>
      <c r="F11" t="s">
        <v>59</v>
      </c>
      <c r="G11">
        <v>1</v>
      </c>
      <c r="H11">
        <v>7371</v>
      </c>
      <c r="N11">
        <v>10</v>
      </c>
      <c r="O11" t="s">
        <v>62</v>
      </c>
      <c r="P11" t="s">
        <v>59</v>
      </c>
      <c r="Q11">
        <v>1</v>
      </c>
      <c r="R11">
        <v>4260</v>
      </c>
      <c r="X11">
        <v>10</v>
      </c>
      <c r="Y11" t="s">
        <v>99</v>
      </c>
      <c r="Z11" t="s">
        <v>64</v>
      </c>
      <c r="AA11">
        <v>1</v>
      </c>
      <c r="AB11">
        <v>5731</v>
      </c>
      <c r="AG11">
        <v>10</v>
      </c>
      <c r="AH11" t="s">
        <v>111</v>
      </c>
      <c r="AI11" t="s">
        <v>64</v>
      </c>
      <c r="AJ11" s="4">
        <v>0</v>
      </c>
      <c r="AK11" s="4">
        <v>1749</v>
      </c>
      <c r="AL11" s="4"/>
      <c r="AQ11">
        <v>10</v>
      </c>
      <c r="AR11" t="s">
        <v>90</v>
      </c>
      <c r="AS11" t="s">
        <v>64</v>
      </c>
      <c r="AT11">
        <v>1</v>
      </c>
      <c r="AU11">
        <v>0</v>
      </c>
      <c r="AV11">
        <v>4038</v>
      </c>
      <c r="BA11">
        <v>10</v>
      </c>
      <c r="BB11" t="s">
        <v>67</v>
      </c>
      <c r="BC11" t="s">
        <v>59</v>
      </c>
      <c r="BD11">
        <v>2</v>
      </c>
      <c r="BE11">
        <v>1</v>
      </c>
      <c r="BF11">
        <v>7804</v>
      </c>
    </row>
    <row r="12" spans="1:58" x14ac:dyDescent="0.25">
      <c r="D12">
        <v>11</v>
      </c>
      <c r="E12" t="s">
        <v>74</v>
      </c>
      <c r="F12" t="s">
        <v>59</v>
      </c>
      <c r="G12" s="4">
        <v>0</v>
      </c>
      <c r="H12" s="4">
        <v>3757</v>
      </c>
      <c r="N12">
        <v>11</v>
      </c>
      <c r="O12" t="s">
        <v>85</v>
      </c>
      <c r="P12" t="s">
        <v>59</v>
      </c>
      <c r="Q12">
        <v>1</v>
      </c>
      <c r="R12">
        <v>4462</v>
      </c>
      <c r="X12">
        <v>11</v>
      </c>
      <c r="Y12" t="s">
        <v>100</v>
      </c>
      <c r="Z12" t="s">
        <v>59</v>
      </c>
      <c r="AA12" s="4">
        <v>0</v>
      </c>
      <c r="AB12" s="4">
        <v>0</v>
      </c>
      <c r="AG12">
        <v>11</v>
      </c>
      <c r="AH12" t="s">
        <v>105</v>
      </c>
      <c r="AI12" t="s">
        <v>59</v>
      </c>
      <c r="AJ12" s="12">
        <v>1</v>
      </c>
      <c r="AK12" s="12">
        <v>1945</v>
      </c>
      <c r="AL12" s="12">
        <v>1945</v>
      </c>
      <c r="AQ12">
        <v>11</v>
      </c>
      <c r="AR12" t="s">
        <v>93</v>
      </c>
      <c r="AS12" t="s">
        <v>64</v>
      </c>
      <c r="AT12">
        <v>1</v>
      </c>
      <c r="AU12">
        <v>1</v>
      </c>
      <c r="AV12">
        <v>2980</v>
      </c>
      <c r="BA12">
        <v>11</v>
      </c>
      <c r="BB12" t="s">
        <v>82</v>
      </c>
      <c r="BC12" t="s">
        <v>64</v>
      </c>
      <c r="BD12">
        <v>2</v>
      </c>
      <c r="BE12">
        <v>0</v>
      </c>
      <c r="BF12">
        <v>6951</v>
      </c>
    </row>
    <row r="13" spans="1:58" x14ac:dyDescent="0.25">
      <c r="D13">
        <v>12</v>
      </c>
      <c r="E13" t="s">
        <v>75</v>
      </c>
      <c r="F13" t="s">
        <v>59</v>
      </c>
      <c r="G13" s="4">
        <v>0</v>
      </c>
      <c r="H13" s="4">
        <v>6523</v>
      </c>
      <c r="N13">
        <v>12</v>
      </c>
      <c r="O13" t="s">
        <v>72</v>
      </c>
      <c r="P13" t="s">
        <v>64</v>
      </c>
      <c r="Q13">
        <v>1</v>
      </c>
      <c r="R13">
        <v>5500</v>
      </c>
      <c r="X13">
        <v>12</v>
      </c>
      <c r="Y13" t="s">
        <v>101</v>
      </c>
      <c r="Z13" t="s">
        <v>59</v>
      </c>
      <c r="AA13">
        <v>1</v>
      </c>
      <c r="AB13">
        <v>6801</v>
      </c>
      <c r="AG13">
        <v>12</v>
      </c>
      <c r="AH13" t="s">
        <v>92</v>
      </c>
      <c r="AI13" t="s">
        <v>59</v>
      </c>
      <c r="AJ13" s="4">
        <v>0</v>
      </c>
      <c r="AK13" s="4">
        <v>1417</v>
      </c>
      <c r="AL13" s="4"/>
      <c r="AQ13">
        <v>12</v>
      </c>
      <c r="AR13" t="s">
        <v>106</v>
      </c>
      <c r="AS13" t="s">
        <v>59</v>
      </c>
      <c r="AT13">
        <v>1</v>
      </c>
      <c r="AU13">
        <v>0</v>
      </c>
      <c r="AV13">
        <v>3976</v>
      </c>
      <c r="BA13">
        <v>12</v>
      </c>
      <c r="BB13" t="s">
        <v>58</v>
      </c>
      <c r="BC13" t="s">
        <v>59</v>
      </c>
      <c r="BD13">
        <v>2</v>
      </c>
      <c r="BE13">
        <v>0</v>
      </c>
      <c r="BF13">
        <v>0</v>
      </c>
    </row>
    <row r="14" spans="1:58" x14ac:dyDescent="0.25">
      <c r="D14">
        <v>13</v>
      </c>
      <c r="E14" t="s">
        <v>76</v>
      </c>
      <c r="F14" t="s">
        <v>64</v>
      </c>
      <c r="G14">
        <v>1</v>
      </c>
      <c r="H14">
        <v>5837</v>
      </c>
      <c r="N14">
        <v>13</v>
      </c>
      <c r="O14" t="s">
        <v>84</v>
      </c>
      <c r="P14" t="s">
        <v>59</v>
      </c>
      <c r="Q14" s="4">
        <v>0</v>
      </c>
      <c r="R14" s="4">
        <v>4583</v>
      </c>
      <c r="X14">
        <v>13</v>
      </c>
      <c r="Y14" t="s">
        <v>102</v>
      </c>
      <c r="Z14" t="s">
        <v>64</v>
      </c>
      <c r="AA14" s="4">
        <v>0</v>
      </c>
      <c r="AB14" s="4">
        <v>6411</v>
      </c>
      <c r="AG14">
        <v>13</v>
      </c>
      <c r="AH14" t="s">
        <v>91</v>
      </c>
      <c r="AI14" t="s">
        <v>59</v>
      </c>
      <c r="AJ14" s="4">
        <v>0</v>
      </c>
      <c r="AK14" s="4">
        <v>2682</v>
      </c>
      <c r="AL14" s="4"/>
      <c r="AQ14">
        <v>13</v>
      </c>
      <c r="AR14" t="s">
        <v>94</v>
      </c>
      <c r="AS14" t="s">
        <v>64</v>
      </c>
      <c r="AT14">
        <v>2</v>
      </c>
      <c r="AU14">
        <v>1</v>
      </c>
      <c r="AV14">
        <v>3781</v>
      </c>
      <c r="BA14">
        <v>13</v>
      </c>
      <c r="BB14" t="s">
        <v>78</v>
      </c>
      <c r="BC14" t="s">
        <v>64</v>
      </c>
      <c r="BD14">
        <v>1</v>
      </c>
      <c r="BE14">
        <v>1</v>
      </c>
      <c r="BF14">
        <v>3051</v>
      </c>
    </row>
    <row r="15" spans="1:58" x14ac:dyDescent="0.25">
      <c r="D15">
        <v>14</v>
      </c>
      <c r="E15" t="s">
        <v>77</v>
      </c>
      <c r="F15" t="s">
        <v>64</v>
      </c>
      <c r="G15" s="4">
        <v>0</v>
      </c>
      <c r="H15" s="4">
        <v>5804</v>
      </c>
      <c r="N15">
        <v>14</v>
      </c>
      <c r="O15" t="s">
        <v>65</v>
      </c>
      <c r="P15" t="s">
        <v>64</v>
      </c>
      <c r="Q15" s="4">
        <v>0</v>
      </c>
      <c r="R15" s="4">
        <v>5054</v>
      </c>
      <c r="X15">
        <v>14</v>
      </c>
      <c r="Y15" t="s">
        <v>103</v>
      </c>
      <c r="Z15" t="s">
        <v>59</v>
      </c>
      <c r="AA15" s="4">
        <v>0</v>
      </c>
      <c r="AB15" s="4">
        <v>7956</v>
      </c>
      <c r="AG15">
        <v>14</v>
      </c>
      <c r="AH15" t="s">
        <v>107</v>
      </c>
      <c r="AI15" t="s">
        <v>64</v>
      </c>
      <c r="AJ15" s="4">
        <v>0</v>
      </c>
      <c r="AK15" s="4">
        <v>1805</v>
      </c>
      <c r="AL15" s="4"/>
      <c r="AQ15">
        <v>14</v>
      </c>
      <c r="AR15" t="s">
        <v>97</v>
      </c>
      <c r="AS15" t="s">
        <v>59</v>
      </c>
      <c r="AT15">
        <v>2</v>
      </c>
      <c r="AU15">
        <v>0</v>
      </c>
      <c r="AV15">
        <v>4387</v>
      </c>
      <c r="BA15">
        <v>14</v>
      </c>
      <c r="BB15" t="s">
        <v>79</v>
      </c>
      <c r="BC15" t="s">
        <v>64</v>
      </c>
      <c r="BD15">
        <v>2</v>
      </c>
      <c r="BE15">
        <v>0</v>
      </c>
      <c r="BF15">
        <v>5238</v>
      </c>
    </row>
    <row r="16" spans="1:58" x14ac:dyDescent="0.25">
      <c r="D16">
        <v>15</v>
      </c>
      <c r="E16" t="s">
        <v>78</v>
      </c>
      <c r="F16" t="s">
        <v>64</v>
      </c>
      <c r="G16">
        <v>1</v>
      </c>
      <c r="H16">
        <v>6881</v>
      </c>
      <c r="N16">
        <v>15</v>
      </c>
      <c r="O16" t="s">
        <v>81</v>
      </c>
      <c r="P16" t="s">
        <v>64</v>
      </c>
      <c r="Q16">
        <v>1</v>
      </c>
      <c r="R16">
        <v>3918</v>
      </c>
      <c r="X16">
        <v>15</v>
      </c>
      <c r="Y16" t="s">
        <v>104</v>
      </c>
      <c r="Z16" t="s">
        <v>64</v>
      </c>
      <c r="AA16">
        <v>1</v>
      </c>
      <c r="AB16">
        <v>7182</v>
      </c>
      <c r="AG16">
        <v>15</v>
      </c>
      <c r="AH16" t="s">
        <v>93</v>
      </c>
      <c r="AI16" t="s">
        <v>64</v>
      </c>
      <c r="AJ16" s="12">
        <v>1</v>
      </c>
      <c r="AK16" s="12">
        <v>2015</v>
      </c>
      <c r="AL16" s="12">
        <v>2015</v>
      </c>
      <c r="AQ16">
        <v>15</v>
      </c>
      <c r="AR16" t="s">
        <v>104</v>
      </c>
      <c r="AS16" t="s">
        <v>64</v>
      </c>
      <c r="AT16">
        <v>1</v>
      </c>
      <c r="AU16">
        <v>1</v>
      </c>
      <c r="AV16">
        <v>4599</v>
      </c>
      <c r="BA16">
        <v>15</v>
      </c>
      <c r="BB16" t="s">
        <v>65</v>
      </c>
      <c r="BC16" t="s">
        <v>64</v>
      </c>
      <c r="BD16">
        <v>1</v>
      </c>
      <c r="BE16">
        <v>0</v>
      </c>
      <c r="BF16">
        <v>5849</v>
      </c>
    </row>
    <row r="17" spans="4:58" x14ac:dyDescent="0.25">
      <c r="D17">
        <v>16</v>
      </c>
      <c r="E17" t="s">
        <v>79</v>
      </c>
      <c r="F17" t="s">
        <v>64</v>
      </c>
      <c r="G17">
        <v>1</v>
      </c>
      <c r="H17">
        <v>6190</v>
      </c>
      <c r="N17">
        <v>16</v>
      </c>
      <c r="O17" t="s">
        <v>71</v>
      </c>
      <c r="P17" t="s">
        <v>59</v>
      </c>
      <c r="Q17" s="4">
        <v>0</v>
      </c>
      <c r="R17" s="4">
        <v>5654</v>
      </c>
      <c r="X17">
        <v>16</v>
      </c>
      <c r="Y17" t="s">
        <v>105</v>
      </c>
      <c r="Z17" t="s">
        <v>59</v>
      </c>
      <c r="AA17">
        <v>1</v>
      </c>
      <c r="AB17">
        <v>7780</v>
      </c>
      <c r="AG17">
        <v>16</v>
      </c>
      <c r="AH17" t="s">
        <v>96</v>
      </c>
      <c r="AI17" t="s">
        <v>59</v>
      </c>
      <c r="AJ17" s="12">
        <v>1</v>
      </c>
      <c r="AK17" s="12">
        <v>1580</v>
      </c>
      <c r="AL17" s="12">
        <v>1580</v>
      </c>
      <c r="AQ17">
        <v>16</v>
      </c>
      <c r="AR17" t="s">
        <v>113</v>
      </c>
      <c r="AS17" t="s">
        <v>64</v>
      </c>
      <c r="AT17">
        <v>1</v>
      </c>
      <c r="AU17">
        <v>0</v>
      </c>
      <c r="AV17">
        <v>5068</v>
      </c>
      <c r="BA17">
        <v>16</v>
      </c>
      <c r="BB17" t="s">
        <v>84</v>
      </c>
      <c r="BC17" t="s">
        <v>59</v>
      </c>
      <c r="BD17">
        <v>1</v>
      </c>
      <c r="BE17">
        <v>0</v>
      </c>
      <c r="BF17">
        <v>6667</v>
      </c>
    </row>
    <row r="18" spans="4:58" x14ac:dyDescent="0.25">
      <c r="D18">
        <v>17</v>
      </c>
      <c r="E18" t="s">
        <v>62</v>
      </c>
      <c r="F18" t="s">
        <v>59</v>
      </c>
      <c r="G18">
        <v>1</v>
      </c>
      <c r="H18">
        <v>5123</v>
      </c>
      <c r="N18">
        <v>17</v>
      </c>
      <c r="O18" t="s">
        <v>61</v>
      </c>
      <c r="P18" t="s">
        <v>59</v>
      </c>
      <c r="Q18" s="4">
        <v>0</v>
      </c>
      <c r="R18" s="4">
        <v>6621</v>
      </c>
      <c r="X18">
        <v>17</v>
      </c>
      <c r="Y18" t="s">
        <v>106</v>
      </c>
      <c r="Z18" t="s">
        <v>59</v>
      </c>
      <c r="AA18">
        <v>1</v>
      </c>
      <c r="AB18">
        <v>6359</v>
      </c>
      <c r="AG18">
        <v>17</v>
      </c>
      <c r="AH18" t="s">
        <v>102</v>
      </c>
      <c r="AI18" t="s">
        <v>64</v>
      </c>
      <c r="AJ18" s="4">
        <v>0</v>
      </c>
      <c r="AK18" s="4">
        <v>1812</v>
      </c>
      <c r="AL18" s="4"/>
      <c r="AQ18">
        <v>17</v>
      </c>
      <c r="AR18" t="s">
        <v>100</v>
      </c>
      <c r="AS18" t="s">
        <v>59</v>
      </c>
      <c r="AT18">
        <v>1</v>
      </c>
      <c r="AU18">
        <v>1</v>
      </c>
      <c r="AV18">
        <v>4768</v>
      </c>
      <c r="BA18">
        <v>17</v>
      </c>
      <c r="BB18" t="s">
        <v>77</v>
      </c>
      <c r="BC18" t="s">
        <v>64</v>
      </c>
      <c r="BD18">
        <v>2</v>
      </c>
      <c r="BE18">
        <v>1</v>
      </c>
      <c r="BF18">
        <v>6243</v>
      </c>
    </row>
    <row r="19" spans="4:58" x14ac:dyDescent="0.25">
      <c r="D19">
        <v>18</v>
      </c>
      <c r="E19" t="s">
        <v>80</v>
      </c>
      <c r="F19" t="s">
        <v>64</v>
      </c>
      <c r="G19">
        <v>1</v>
      </c>
      <c r="H19">
        <v>7893</v>
      </c>
      <c r="N19">
        <v>18</v>
      </c>
      <c r="O19" t="s">
        <v>80</v>
      </c>
      <c r="P19" t="s">
        <v>64</v>
      </c>
      <c r="Q19" s="4">
        <v>0</v>
      </c>
      <c r="R19" s="4">
        <v>0</v>
      </c>
      <c r="X19">
        <v>18</v>
      </c>
      <c r="Y19" t="s">
        <v>107</v>
      </c>
      <c r="Z19" t="s">
        <v>64</v>
      </c>
      <c r="AA19" s="4">
        <v>0</v>
      </c>
      <c r="AB19" s="4">
        <v>0</v>
      </c>
      <c r="AG19">
        <v>18</v>
      </c>
      <c r="AH19" t="s">
        <v>90</v>
      </c>
      <c r="AI19" t="s">
        <v>64</v>
      </c>
      <c r="AJ19" s="4">
        <v>0</v>
      </c>
      <c r="AK19" s="4">
        <v>2056</v>
      </c>
      <c r="AL19" s="4"/>
      <c r="AQ19">
        <v>18</v>
      </c>
      <c r="AR19" t="s">
        <v>109</v>
      </c>
      <c r="AS19" t="s">
        <v>64</v>
      </c>
      <c r="AT19">
        <v>2</v>
      </c>
      <c r="AU19">
        <v>0</v>
      </c>
      <c r="AV19">
        <v>5185</v>
      </c>
      <c r="BA19">
        <v>18</v>
      </c>
      <c r="BB19" t="s">
        <v>68</v>
      </c>
      <c r="BC19" t="s">
        <v>59</v>
      </c>
      <c r="BD19">
        <v>1</v>
      </c>
      <c r="BE19">
        <v>1</v>
      </c>
      <c r="BF19">
        <v>5285</v>
      </c>
    </row>
    <row r="20" spans="4:58" x14ac:dyDescent="0.25">
      <c r="D20">
        <v>19</v>
      </c>
      <c r="E20" t="s">
        <v>81</v>
      </c>
      <c r="F20" t="s">
        <v>64</v>
      </c>
      <c r="G20">
        <v>1</v>
      </c>
      <c r="H20">
        <v>5895</v>
      </c>
      <c r="N20">
        <v>19</v>
      </c>
      <c r="O20" t="s">
        <v>78</v>
      </c>
      <c r="P20" t="s">
        <v>64</v>
      </c>
      <c r="Q20">
        <v>1</v>
      </c>
      <c r="R20">
        <v>5717</v>
      </c>
      <c r="X20">
        <v>19</v>
      </c>
      <c r="Y20" t="s">
        <v>108</v>
      </c>
      <c r="Z20" t="s">
        <v>64</v>
      </c>
      <c r="AA20" s="4">
        <v>0</v>
      </c>
      <c r="AB20" s="4">
        <v>6187</v>
      </c>
      <c r="AG20">
        <v>19</v>
      </c>
      <c r="AH20" t="s">
        <v>108</v>
      </c>
      <c r="AI20" t="s">
        <v>64</v>
      </c>
      <c r="AJ20" s="12">
        <v>1</v>
      </c>
      <c r="AK20" s="12">
        <v>3241</v>
      </c>
      <c r="AL20" s="12">
        <v>3241</v>
      </c>
      <c r="AQ20">
        <v>19</v>
      </c>
      <c r="AR20" t="s">
        <v>110</v>
      </c>
      <c r="AS20" t="s">
        <v>64</v>
      </c>
      <c r="AT20">
        <v>2</v>
      </c>
      <c r="AU20">
        <v>1</v>
      </c>
      <c r="AV20">
        <v>5334</v>
      </c>
      <c r="BA20">
        <v>19</v>
      </c>
      <c r="BB20" t="s">
        <v>81</v>
      </c>
      <c r="BC20" t="s">
        <v>64</v>
      </c>
      <c r="BD20">
        <v>1</v>
      </c>
      <c r="BE20">
        <v>1</v>
      </c>
      <c r="BF20">
        <v>6896</v>
      </c>
    </row>
    <row r="21" spans="4:58" x14ac:dyDescent="0.25">
      <c r="D21">
        <v>20</v>
      </c>
      <c r="E21" t="s">
        <v>63</v>
      </c>
      <c r="F21" t="s">
        <v>64</v>
      </c>
      <c r="G21">
        <v>1</v>
      </c>
      <c r="H21">
        <v>5757</v>
      </c>
      <c r="N21">
        <v>20</v>
      </c>
      <c r="O21" t="s">
        <v>66</v>
      </c>
      <c r="P21" t="s">
        <v>64</v>
      </c>
      <c r="Q21" s="4">
        <v>0</v>
      </c>
      <c r="R21" s="4">
        <v>5980</v>
      </c>
      <c r="X21">
        <v>20</v>
      </c>
      <c r="Y21" t="s">
        <v>109</v>
      </c>
      <c r="Z21" t="s">
        <v>64</v>
      </c>
      <c r="AA21">
        <v>1</v>
      </c>
      <c r="AB21">
        <v>7588</v>
      </c>
      <c r="AG21">
        <v>20</v>
      </c>
      <c r="AH21" t="s">
        <v>98</v>
      </c>
      <c r="AI21" t="s">
        <v>64</v>
      </c>
      <c r="AJ21" s="12">
        <v>1</v>
      </c>
      <c r="AK21" s="12">
        <v>2018</v>
      </c>
      <c r="AL21" s="12">
        <v>2018</v>
      </c>
      <c r="AQ21">
        <v>20</v>
      </c>
      <c r="AR21" t="s">
        <v>114</v>
      </c>
      <c r="AS21" t="s">
        <v>59</v>
      </c>
      <c r="AT21">
        <v>1</v>
      </c>
      <c r="AU21">
        <v>1</v>
      </c>
      <c r="AV21">
        <v>4278</v>
      </c>
      <c r="BA21">
        <v>20</v>
      </c>
      <c r="BB21" t="s">
        <v>70</v>
      </c>
      <c r="BC21" t="s">
        <v>64</v>
      </c>
      <c r="BD21">
        <v>1</v>
      </c>
      <c r="BE21">
        <v>0</v>
      </c>
      <c r="BF21">
        <v>7747</v>
      </c>
    </row>
    <row r="22" spans="4:58" x14ac:dyDescent="0.25">
      <c r="D22">
        <v>21</v>
      </c>
      <c r="E22" t="s">
        <v>82</v>
      </c>
      <c r="F22" t="s">
        <v>64</v>
      </c>
      <c r="G22" s="4">
        <v>0</v>
      </c>
      <c r="H22" s="4">
        <v>0</v>
      </c>
      <c r="N22">
        <v>21</v>
      </c>
      <c r="O22" t="s">
        <v>83</v>
      </c>
      <c r="P22" t="s">
        <v>59</v>
      </c>
      <c r="Q22" s="4">
        <v>0</v>
      </c>
      <c r="R22" s="4">
        <v>5069</v>
      </c>
      <c r="X22">
        <v>21</v>
      </c>
      <c r="Y22" t="s">
        <v>110</v>
      </c>
      <c r="Z22" t="s">
        <v>64</v>
      </c>
      <c r="AA22" s="4">
        <v>0</v>
      </c>
      <c r="AB22" s="4">
        <v>0</v>
      </c>
      <c r="AG22">
        <v>21</v>
      </c>
      <c r="AH22" t="s">
        <v>112</v>
      </c>
      <c r="AI22" t="s">
        <v>59</v>
      </c>
      <c r="AJ22" s="4">
        <v>0</v>
      </c>
      <c r="AK22" s="4">
        <v>2987</v>
      </c>
      <c r="AL22" s="4"/>
      <c r="AQ22">
        <v>21</v>
      </c>
      <c r="AR22" t="s">
        <v>115</v>
      </c>
      <c r="AS22" t="s">
        <v>59</v>
      </c>
      <c r="AT22">
        <v>2</v>
      </c>
      <c r="AU22">
        <v>1</v>
      </c>
      <c r="AV22">
        <v>4989</v>
      </c>
      <c r="BA22">
        <v>21</v>
      </c>
      <c r="BB22" t="s">
        <v>80</v>
      </c>
      <c r="BC22" t="s">
        <v>64</v>
      </c>
      <c r="BD22">
        <v>2</v>
      </c>
      <c r="BE22">
        <v>1</v>
      </c>
      <c r="BF22">
        <v>7877</v>
      </c>
    </row>
    <row r="23" spans="4:58" x14ac:dyDescent="0.25">
      <c r="D23">
        <v>22</v>
      </c>
      <c r="E23" t="s">
        <v>83</v>
      </c>
      <c r="F23" t="s">
        <v>59</v>
      </c>
      <c r="G23" s="4">
        <v>0</v>
      </c>
      <c r="H23" s="4">
        <v>0</v>
      </c>
      <c r="N23">
        <v>22</v>
      </c>
      <c r="O23" t="s">
        <v>75</v>
      </c>
      <c r="P23" t="s">
        <v>59</v>
      </c>
      <c r="Q23" s="4">
        <v>0</v>
      </c>
      <c r="R23" s="4">
        <v>5608</v>
      </c>
      <c r="X23">
        <v>22</v>
      </c>
      <c r="Y23" t="s">
        <v>111</v>
      </c>
      <c r="Z23" t="s">
        <v>64</v>
      </c>
      <c r="AA23">
        <v>1</v>
      </c>
      <c r="AB23">
        <v>6284</v>
      </c>
      <c r="AG23">
        <v>22</v>
      </c>
      <c r="AH23" t="s">
        <v>104</v>
      </c>
      <c r="AI23" t="s">
        <v>64</v>
      </c>
      <c r="AJ23" s="4">
        <v>0</v>
      </c>
      <c r="AK23" s="4">
        <v>2572</v>
      </c>
      <c r="AL23" s="4"/>
      <c r="AQ23">
        <v>22</v>
      </c>
      <c r="AR23" t="s">
        <v>112</v>
      </c>
      <c r="AS23" t="s">
        <v>59</v>
      </c>
      <c r="AT23">
        <v>2</v>
      </c>
      <c r="AU23">
        <v>1</v>
      </c>
      <c r="AV23">
        <v>4186</v>
      </c>
      <c r="BA23">
        <v>22</v>
      </c>
      <c r="BB23" t="s">
        <v>85</v>
      </c>
      <c r="BC23" t="s">
        <v>59</v>
      </c>
      <c r="BD23">
        <v>2</v>
      </c>
      <c r="BE23">
        <v>0</v>
      </c>
      <c r="BF23">
        <v>6261</v>
      </c>
    </row>
    <row r="24" spans="4:58" x14ac:dyDescent="0.25">
      <c r="D24">
        <v>23</v>
      </c>
      <c r="E24" t="s">
        <v>84</v>
      </c>
      <c r="F24" t="s">
        <v>59</v>
      </c>
      <c r="G24">
        <v>1</v>
      </c>
      <c r="H24">
        <v>6738</v>
      </c>
      <c r="N24">
        <v>23</v>
      </c>
      <c r="O24" t="s">
        <v>70</v>
      </c>
      <c r="P24" t="s">
        <v>64</v>
      </c>
      <c r="Q24">
        <v>1</v>
      </c>
      <c r="R24">
        <v>6994</v>
      </c>
      <c r="X24">
        <v>23</v>
      </c>
      <c r="Y24" t="s">
        <v>112</v>
      </c>
      <c r="Z24" t="s">
        <v>59</v>
      </c>
      <c r="AA24">
        <v>1</v>
      </c>
      <c r="AB24">
        <v>7720</v>
      </c>
      <c r="AG24">
        <v>23</v>
      </c>
      <c r="AH24" t="s">
        <v>106</v>
      </c>
      <c r="AI24" t="s">
        <v>59</v>
      </c>
      <c r="AJ24" s="4">
        <v>0</v>
      </c>
      <c r="AK24" s="4">
        <v>2962</v>
      </c>
      <c r="AL24" s="4"/>
      <c r="AQ24">
        <v>23</v>
      </c>
      <c r="AR24" t="s">
        <v>101</v>
      </c>
      <c r="AS24" t="s">
        <v>59</v>
      </c>
      <c r="AT24">
        <v>1</v>
      </c>
      <c r="AU24">
        <v>1</v>
      </c>
      <c r="AV24">
        <v>4490</v>
      </c>
      <c r="BA24">
        <v>23</v>
      </c>
      <c r="BB24" t="s">
        <v>71</v>
      </c>
      <c r="BC24" t="s">
        <v>59</v>
      </c>
      <c r="BD24">
        <v>1</v>
      </c>
      <c r="BE24">
        <v>1</v>
      </c>
      <c r="BF24">
        <v>6325</v>
      </c>
    </row>
    <row r="25" spans="4:58" x14ac:dyDescent="0.25">
      <c r="D25">
        <v>24</v>
      </c>
      <c r="E25" t="s">
        <v>58</v>
      </c>
      <c r="F25" t="s">
        <v>59</v>
      </c>
      <c r="G25" s="4">
        <v>0</v>
      </c>
      <c r="H25" s="4">
        <v>7045</v>
      </c>
      <c r="N25">
        <v>24</v>
      </c>
      <c r="O25" t="s">
        <v>63</v>
      </c>
      <c r="P25" t="s">
        <v>64</v>
      </c>
      <c r="Q25">
        <v>1</v>
      </c>
      <c r="R25">
        <v>6041</v>
      </c>
      <c r="X25">
        <v>24</v>
      </c>
      <c r="Y25" t="s">
        <v>113</v>
      </c>
      <c r="Z25" t="s">
        <v>64</v>
      </c>
      <c r="AA25">
        <v>1</v>
      </c>
      <c r="AB25">
        <v>7919</v>
      </c>
      <c r="AG25">
        <v>24</v>
      </c>
      <c r="AH25" t="s">
        <v>115</v>
      </c>
      <c r="AI25" t="s">
        <v>59</v>
      </c>
      <c r="AJ25" s="4">
        <v>0</v>
      </c>
      <c r="AK25" s="4">
        <v>2823</v>
      </c>
      <c r="AL25" s="4"/>
      <c r="AQ25">
        <v>24</v>
      </c>
      <c r="AR25" t="s">
        <v>92</v>
      </c>
      <c r="AS25" t="s">
        <v>59</v>
      </c>
      <c r="AT25">
        <v>2</v>
      </c>
      <c r="AU25">
        <v>0</v>
      </c>
      <c r="AV25">
        <v>5002</v>
      </c>
      <c r="BA25">
        <v>24</v>
      </c>
      <c r="BB25" t="s">
        <v>83</v>
      </c>
      <c r="BC25" t="s">
        <v>59</v>
      </c>
      <c r="BD25">
        <v>1</v>
      </c>
      <c r="BE25">
        <v>0</v>
      </c>
      <c r="BF25">
        <v>6672</v>
      </c>
    </row>
    <row r="26" spans="4:58" x14ac:dyDescent="0.25">
      <c r="D26">
        <v>25</v>
      </c>
      <c r="E26" t="s">
        <v>85</v>
      </c>
      <c r="F26" t="s">
        <v>59</v>
      </c>
      <c r="G26">
        <v>1</v>
      </c>
      <c r="H26">
        <v>7260</v>
      </c>
      <c r="N26">
        <v>25</v>
      </c>
      <c r="O26" t="s">
        <v>86</v>
      </c>
      <c r="P26" t="s">
        <v>64</v>
      </c>
      <c r="Q26" s="4">
        <v>0</v>
      </c>
      <c r="R26" s="4">
        <v>5490</v>
      </c>
      <c r="X26">
        <v>25</v>
      </c>
      <c r="Y26" t="s">
        <v>114</v>
      </c>
      <c r="Z26" t="s">
        <v>59</v>
      </c>
      <c r="AA26">
        <v>1</v>
      </c>
      <c r="AB26">
        <v>6722</v>
      </c>
      <c r="AG26">
        <v>25</v>
      </c>
      <c r="AH26" t="s">
        <v>103</v>
      </c>
      <c r="AI26" t="s">
        <v>59</v>
      </c>
      <c r="AJ26" s="12">
        <v>1</v>
      </c>
      <c r="AK26" s="12">
        <v>3111</v>
      </c>
      <c r="AL26" s="12">
        <v>3111</v>
      </c>
      <c r="AQ26">
        <v>25</v>
      </c>
      <c r="AR26" t="s">
        <v>103</v>
      </c>
      <c r="AS26" t="s">
        <v>59</v>
      </c>
      <c r="AT26">
        <v>1</v>
      </c>
      <c r="AU26">
        <v>1</v>
      </c>
      <c r="AV26">
        <v>5416</v>
      </c>
      <c r="BA26">
        <v>25</v>
      </c>
      <c r="BB26" t="s">
        <v>63</v>
      </c>
      <c r="BC26" t="s">
        <v>64</v>
      </c>
      <c r="BD26">
        <v>1</v>
      </c>
      <c r="BE26">
        <v>0</v>
      </c>
      <c r="BF26">
        <v>6664</v>
      </c>
    </row>
    <row r="27" spans="4:58" x14ac:dyDescent="0.25">
      <c r="D27">
        <v>26</v>
      </c>
      <c r="E27" t="s">
        <v>86</v>
      </c>
      <c r="F27" t="s">
        <v>64</v>
      </c>
      <c r="G27">
        <v>1</v>
      </c>
      <c r="H27">
        <v>7394</v>
      </c>
      <c r="N27">
        <v>26</v>
      </c>
      <c r="O27" t="s">
        <v>58</v>
      </c>
      <c r="P27" t="s">
        <v>59</v>
      </c>
      <c r="Q27">
        <v>1</v>
      </c>
      <c r="R27">
        <v>7317</v>
      </c>
      <c r="X27">
        <v>26</v>
      </c>
      <c r="Y27" t="s">
        <v>115</v>
      </c>
      <c r="Z27" t="s">
        <v>59</v>
      </c>
      <c r="AA27" s="4">
        <v>0</v>
      </c>
      <c r="AB27" s="4">
        <v>7952</v>
      </c>
      <c r="AG27">
        <v>26</v>
      </c>
      <c r="AH27" t="s">
        <v>97</v>
      </c>
      <c r="AI27" t="s">
        <v>59</v>
      </c>
      <c r="AJ27" s="12">
        <v>1</v>
      </c>
      <c r="AK27" s="12">
        <v>3665</v>
      </c>
      <c r="AL27" s="12">
        <v>3665</v>
      </c>
      <c r="AQ27">
        <v>26</v>
      </c>
      <c r="AR27" t="s">
        <v>98</v>
      </c>
      <c r="AS27" t="s">
        <v>64</v>
      </c>
      <c r="AT27">
        <v>2</v>
      </c>
      <c r="AU27">
        <v>1</v>
      </c>
      <c r="AV27">
        <v>5928</v>
      </c>
      <c r="BA27">
        <v>26</v>
      </c>
      <c r="BB27" t="s">
        <v>62</v>
      </c>
      <c r="BC27" t="s">
        <v>59</v>
      </c>
      <c r="BD27">
        <v>1</v>
      </c>
      <c r="BE27">
        <v>0</v>
      </c>
      <c r="BF27">
        <v>7067</v>
      </c>
    </row>
    <row r="28" spans="4:58" ht="15.75" x14ac:dyDescent="0.25">
      <c r="G28" s="7">
        <f>SUM(G2:G27)</f>
        <v>15</v>
      </c>
      <c r="Q28" s="6">
        <f>SUM(Q2:Q27)</f>
        <v>11</v>
      </c>
      <c r="AA28" s="6">
        <f>SUM(AA2:AA27)</f>
        <v>16</v>
      </c>
      <c r="AJ28">
        <f>SUM(AJ2:AJ27)</f>
        <v>13</v>
      </c>
      <c r="AL28">
        <f>SUM(AL2:AL27)</f>
        <v>27532</v>
      </c>
      <c r="BE28">
        <f>SUM(BE2:BE27)</f>
        <v>11</v>
      </c>
    </row>
    <row r="30" spans="4:58" x14ac:dyDescent="0.25">
      <c r="H30">
        <v>5632</v>
      </c>
      <c r="R30">
        <v>3795</v>
      </c>
      <c r="AB30">
        <v>4585</v>
      </c>
      <c r="AK30" s="36">
        <f>AL28/AJ28</f>
        <v>2117.8461538461538</v>
      </c>
    </row>
    <row r="31" spans="4:58" x14ac:dyDescent="0.25">
      <c r="H31">
        <v>6037</v>
      </c>
      <c r="R31">
        <v>4512</v>
      </c>
      <c r="AB31">
        <v>5645</v>
      </c>
    </row>
    <row r="32" spans="4:58" x14ac:dyDescent="0.25">
      <c r="H32">
        <v>7888</v>
      </c>
      <c r="R32">
        <v>4057</v>
      </c>
      <c r="AB32">
        <v>4835</v>
      </c>
    </row>
    <row r="33" spans="2:29" x14ac:dyDescent="0.25">
      <c r="H33">
        <v>7905</v>
      </c>
      <c r="R33">
        <v>4260</v>
      </c>
      <c r="AB33">
        <v>4807</v>
      </c>
    </row>
    <row r="34" spans="2:29" x14ac:dyDescent="0.25">
      <c r="H34">
        <v>7371</v>
      </c>
      <c r="R34">
        <v>4462</v>
      </c>
      <c r="AB34">
        <v>7602</v>
      </c>
    </row>
    <row r="35" spans="2:29" x14ac:dyDescent="0.25">
      <c r="B35" t="s">
        <v>121</v>
      </c>
      <c r="C35" t="s">
        <v>116</v>
      </c>
      <c r="D35" t="s">
        <v>117</v>
      </c>
      <c r="E35" t="s">
        <v>118</v>
      </c>
      <c r="F35" t="s">
        <v>119</v>
      </c>
      <c r="H35">
        <v>5837</v>
      </c>
      <c r="R35">
        <v>5500</v>
      </c>
      <c r="AB35">
        <v>5957</v>
      </c>
    </row>
    <row r="36" spans="2:29" x14ac:dyDescent="0.25">
      <c r="B36" t="s">
        <v>120</v>
      </c>
      <c r="C36">
        <v>15</v>
      </c>
      <c r="D36">
        <v>11</v>
      </c>
      <c r="E36">
        <v>16</v>
      </c>
      <c r="F36">
        <v>13</v>
      </c>
      <c r="H36">
        <v>6881</v>
      </c>
      <c r="R36">
        <v>3918</v>
      </c>
      <c r="AB36">
        <v>5731</v>
      </c>
    </row>
    <row r="37" spans="2:29" x14ac:dyDescent="0.25">
      <c r="H37">
        <v>6190</v>
      </c>
      <c r="R37">
        <v>5717</v>
      </c>
      <c r="AB37">
        <v>6801</v>
      </c>
    </row>
    <row r="38" spans="2:29" x14ac:dyDescent="0.25">
      <c r="H38">
        <v>5123</v>
      </c>
      <c r="R38">
        <v>6994</v>
      </c>
      <c r="AB38">
        <v>7182</v>
      </c>
    </row>
    <row r="39" spans="2:29" x14ac:dyDescent="0.25">
      <c r="H39">
        <v>7893</v>
      </c>
      <c r="R39">
        <v>6041</v>
      </c>
      <c r="AB39">
        <v>7780</v>
      </c>
    </row>
    <row r="40" spans="2:29" x14ac:dyDescent="0.25">
      <c r="H40">
        <v>5895</v>
      </c>
      <c r="R40">
        <v>7317</v>
      </c>
      <c r="AB40">
        <v>6359</v>
      </c>
    </row>
    <row r="41" spans="2:29" x14ac:dyDescent="0.25">
      <c r="H41">
        <v>5757</v>
      </c>
      <c r="Q41" s="5">
        <f>R41/S41</f>
        <v>5143</v>
      </c>
      <c r="R41" s="2">
        <f>SUM(R30:R40)</f>
        <v>56573</v>
      </c>
      <c r="S41">
        <v>11</v>
      </c>
      <c r="AB41">
        <v>7588</v>
      </c>
    </row>
    <row r="42" spans="2:29" x14ac:dyDescent="0.25">
      <c r="H42">
        <v>6738</v>
      </c>
      <c r="AB42">
        <v>6284</v>
      </c>
    </row>
    <row r="43" spans="2:29" x14ac:dyDescent="0.25">
      <c r="H43">
        <v>7260</v>
      </c>
      <c r="AB43">
        <v>7720</v>
      </c>
    </row>
    <row r="44" spans="2:29" x14ac:dyDescent="0.25">
      <c r="B44" t="s">
        <v>122</v>
      </c>
      <c r="C44" t="s">
        <v>116</v>
      </c>
      <c r="D44" t="s">
        <v>117</v>
      </c>
      <c r="E44" t="s">
        <v>118</v>
      </c>
      <c r="F44" t="s">
        <v>119</v>
      </c>
      <c r="H44">
        <v>7394</v>
      </c>
      <c r="AB44">
        <v>7919</v>
      </c>
    </row>
    <row r="45" spans="2:29" x14ac:dyDescent="0.25">
      <c r="C45">
        <v>6653.4</v>
      </c>
      <c r="D45">
        <v>5143</v>
      </c>
      <c r="E45">
        <v>6469.8125</v>
      </c>
      <c r="F45">
        <v>2117.8461538461538</v>
      </c>
      <c r="H45" s="2">
        <f>SUM(H30:H44)</f>
        <v>99801</v>
      </c>
      <c r="I45">
        <v>15</v>
      </c>
      <c r="AB45">
        <v>6722</v>
      </c>
    </row>
    <row r="46" spans="2:29" ht="15.75" x14ac:dyDescent="0.25">
      <c r="G46" s="6">
        <f>H46/I46</f>
        <v>6653.4</v>
      </c>
      <c r="H46" s="4">
        <v>99801</v>
      </c>
      <c r="I46" s="4">
        <v>15</v>
      </c>
      <c r="AB46">
        <f>SUM(AB30:AB45)</f>
        <v>103517</v>
      </c>
    </row>
    <row r="47" spans="2:29" ht="15.75" x14ac:dyDescent="0.25">
      <c r="AA47" s="6">
        <f>AB47/AC47</f>
        <v>6469.8125</v>
      </c>
      <c r="AB47">
        <v>103517</v>
      </c>
      <c r="AC47">
        <v>16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4"/>
  <sheetViews>
    <sheetView topLeftCell="AB1" workbookViewId="0">
      <selection activeCell="AO2" sqref="AO2"/>
    </sheetView>
  </sheetViews>
  <sheetFormatPr baseColWidth="10" defaultRowHeight="15" x14ac:dyDescent="0.25"/>
  <cols>
    <col min="1" max="1" width="25.42578125" customWidth="1"/>
    <col min="6" max="6" width="17.140625" customWidth="1"/>
    <col min="8" max="8" width="17.7109375" customWidth="1"/>
    <col min="9" max="9" width="19.7109375" customWidth="1"/>
    <col min="11" max="11" width="24.42578125" customWidth="1"/>
    <col min="19" max="19" width="19.42578125" customWidth="1"/>
    <col min="21" max="21" width="26" customWidth="1"/>
    <col min="26" max="26" width="15.5703125" customWidth="1"/>
    <col min="28" max="28" width="17.5703125" customWidth="1"/>
    <col min="29" max="29" width="17.85546875" customWidth="1"/>
    <col min="31" max="31" width="16.140625" customWidth="1"/>
    <col min="36" max="36" width="17.28515625" customWidth="1"/>
    <col min="37" max="37" width="18.7109375" customWidth="1"/>
    <col min="38" max="39" width="17.42578125" customWidth="1"/>
    <col min="41" max="41" width="19.85546875" customWidth="1"/>
    <col min="46" max="46" width="15.85546875" customWidth="1"/>
    <col min="48" max="48" width="19" customWidth="1"/>
    <col min="49" max="49" width="16.7109375" customWidth="1"/>
    <col min="51" max="51" width="22.85546875" customWidth="1"/>
    <col min="56" max="56" width="19" customWidth="1"/>
    <col min="58" max="58" width="18.28515625" customWidth="1"/>
    <col min="59" max="59" width="15.85546875" customWidth="1"/>
  </cols>
  <sheetData>
    <row r="1" spans="1:59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K1" s="1" t="s">
        <v>30</v>
      </c>
      <c r="L1" s="2" t="s">
        <v>0</v>
      </c>
      <c r="M1" s="2" t="s">
        <v>1</v>
      </c>
      <c r="N1" s="2" t="s">
        <v>2</v>
      </c>
      <c r="O1" s="2" t="s">
        <v>53</v>
      </c>
      <c r="P1" s="2" t="s">
        <v>54</v>
      </c>
      <c r="Q1" s="2" t="s">
        <v>55</v>
      </c>
      <c r="R1" s="2" t="s">
        <v>56</v>
      </c>
      <c r="S1" s="2" t="s">
        <v>57</v>
      </c>
      <c r="U1" s="1" t="s">
        <v>30</v>
      </c>
      <c r="V1" s="2" t="s">
        <v>0</v>
      </c>
      <c r="W1" s="2" t="s">
        <v>1</v>
      </c>
      <c r="X1" s="2" t="s">
        <v>2</v>
      </c>
      <c r="Y1" s="2" t="s">
        <v>53</v>
      </c>
      <c r="Z1" s="2" t="s">
        <v>54</v>
      </c>
      <c r="AA1" s="2" t="s">
        <v>55</v>
      </c>
      <c r="AB1" s="2" t="s">
        <v>56</v>
      </c>
      <c r="AC1" s="2" t="s">
        <v>57</v>
      </c>
      <c r="AE1" s="1" t="s">
        <v>30</v>
      </c>
      <c r="AF1" s="2" t="s">
        <v>0</v>
      </c>
      <c r="AG1" s="2" t="s">
        <v>1</v>
      </c>
      <c r="AH1" s="2" t="s">
        <v>2</v>
      </c>
      <c r="AI1" s="2" t="s">
        <v>53</v>
      </c>
      <c r="AJ1" s="2" t="s">
        <v>463</v>
      </c>
      <c r="AK1" s="2" t="s">
        <v>56</v>
      </c>
      <c r="AL1" s="2" t="s">
        <v>57</v>
      </c>
      <c r="AM1" s="2" t="s">
        <v>893</v>
      </c>
      <c r="AO1" s="1" t="s">
        <v>30</v>
      </c>
      <c r="AP1" s="2" t="s">
        <v>0</v>
      </c>
      <c r="AQ1" s="2" t="s">
        <v>1</v>
      </c>
      <c r="AR1" s="2" t="s">
        <v>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Y1" s="1" t="s">
        <v>30</v>
      </c>
      <c r="AZ1" s="2" t="s">
        <v>0</v>
      </c>
      <c r="BA1" s="2" t="s">
        <v>1</v>
      </c>
      <c r="BB1" s="2" t="s">
        <v>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</row>
    <row r="2" spans="1:59" ht="15.75" x14ac:dyDescent="0.25">
      <c r="A2" s="3" t="s">
        <v>8</v>
      </c>
      <c r="B2">
        <v>1</v>
      </c>
      <c r="C2">
        <v>1</v>
      </c>
      <c r="D2">
        <v>1</v>
      </c>
      <c r="E2" t="s">
        <v>123</v>
      </c>
      <c r="F2" t="s">
        <v>64</v>
      </c>
      <c r="G2">
        <v>2</v>
      </c>
      <c r="H2">
        <v>1</v>
      </c>
      <c r="I2">
        <v>6471</v>
      </c>
      <c r="K2" s="3" t="s">
        <v>149</v>
      </c>
      <c r="L2">
        <v>1</v>
      </c>
      <c r="M2">
        <v>2</v>
      </c>
      <c r="N2">
        <v>1</v>
      </c>
      <c r="O2" t="s">
        <v>147</v>
      </c>
      <c r="P2" t="s">
        <v>64</v>
      </c>
      <c r="Q2">
        <v>2</v>
      </c>
      <c r="R2">
        <v>1</v>
      </c>
      <c r="S2">
        <v>4383</v>
      </c>
      <c r="U2" s="3" t="s">
        <v>176</v>
      </c>
      <c r="V2">
        <v>2</v>
      </c>
      <c r="W2">
        <v>3</v>
      </c>
      <c r="X2">
        <v>1</v>
      </c>
      <c r="Y2" t="s">
        <v>150</v>
      </c>
      <c r="Z2" t="s">
        <v>59</v>
      </c>
      <c r="AA2">
        <v>2</v>
      </c>
      <c r="AB2">
        <v>1</v>
      </c>
      <c r="AC2">
        <v>4944</v>
      </c>
      <c r="AE2" s="3" t="s">
        <v>119</v>
      </c>
      <c r="AH2">
        <v>1</v>
      </c>
      <c r="AJ2" t="s">
        <v>64</v>
      </c>
      <c r="AK2">
        <v>1</v>
      </c>
      <c r="AL2">
        <v>2046</v>
      </c>
      <c r="AM2">
        <v>2046</v>
      </c>
      <c r="AO2" s="3" t="s">
        <v>297</v>
      </c>
      <c r="AP2">
        <v>2</v>
      </c>
      <c r="AQ2">
        <v>5</v>
      </c>
      <c r="AR2">
        <v>1</v>
      </c>
      <c r="AS2" t="s">
        <v>150</v>
      </c>
      <c r="AT2" t="s">
        <v>59</v>
      </c>
      <c r="AU2">
        <v>2</v>
      </c>
      <c r="AV2">
        <v>1</v>
      </c>
      <c r="AW2">
        <v>4207</v>
      </c>
      <c r="AY2" s="3" t="s">
        <v>299</v>
      </c>
      <c r="AZ2">
        <v>1</v>
      </c>
      <c r="BA2">
        <v>6</v>
      </c>
      <c r="BB2">
        <v>1</v>
      </c>
      <c r="BC2" t="s">
        <v>140</v>
      </c>
      <c r="BD2" t="s">
        <v>64</v>
      </c>
      <c r="BE2">
        <v>2</v>
      </c>
      <c r="BF2">
        <v>0</v>
      </c>
      <c r="BG2">
        <v>2771</v>
      </c>
    </row>
    <row r="3" spans="1:59" ht="15.75" x14ac:dyDescent="0.25">
      <c r="A3" s="1" t="s">
        <v>296</v>
      </c>
      <c r="D3">
        <v>2</v>
      </c>
      <c r="E3" t="s">
        <v>124</v>
      </c>
      <c r="F3" t="s">
        <v>59</v>
      </c>
      <c r="G3">
        <v>1</v>
      </c>
      <c r="H3">
        <v>1</v>
      </c>
      <c r="I3">
        <v>6355</v>
      </c>
      <c r="K3" s="1" t="s">
        <v>296</v>
      </c>
      <c r="N3">
        <v>2</v>
      </c>
      <c r="O3" t="s">
        <v>145</v>
      </c>
      <c r="P3" t="s">
        <v>64</v>
      </c>
      <c r="Q3">
        <v>2</v>
      </c>
      <c r="R3">
        <v>1</v>
      </c>
      <c r="S3">
        <v>4773</v>
      </c>
      <c r="U3" s="1" t="s">
        <v>296</v>
      </c>
      <c r="X3">
        <v>2</v>
      </c>
      <c r="Y3" t="s">
        <v>151</v>
      </c>
      <c r="Z3" t="s">
        <v>64</v>
      </c>
      <c r="AA3">
        <v>2</v>
      </c>
      <c r="AB3">
        <v>1</v>
      </c>
      <c r="AC3">
        <v>4825</v>
      </c>
      <c r="AE3" s="1" t="s">
        <v>296</v>
      </c>
      <c r="AH3">
        <v>2</v>
      </c>
      <c r="AJ3" t="s">
        <v>59</v>
      </c>
      <c r="AK3">
        <v>1</v>
      </c>
      <c r="AL3">
        <v>2870</v>
      </c>
      <c r="AM3">
        <v>2870</v>
      </c>
      <c r="AO3" s="1" t="s">
        <v>296</v>
      </c>
      <c r="AR3">
        <v>2</v>
      </c>
      <c r="AS3" t="s">
        <v>162</v>
      </c>
      <c r="AT3" t="s">
        <v>64</v>
      </c>
      <c r="AU3">
        <v>1</v>
      </c>
      <c r="AV3">
        <v>1</v>
      </c>
      <c r="AW3">
        <v>4094</v>
      </c>
      <c r="AY3" s="1" t="s">
        <v>296</v>
      </c>
      <c r="BB3">
        <v>2</v>
      </c>
      <c r="BC3" t="s">
        <v>139</v>
      </c>
      <c r="BD3" t="s">
        <v>59</v>
      </c>
      <c r="BE3">
        <v>1</v>
      </c>
      <c r="BF3">
        <v>1</v>
      </c>
      <c r="BG3">
        <v>3459</v>
      </c>
    </row>
    <row r="4" spans="1:59" ht="15.75" x14ac:dyDescent="0.25">
      <c r="A4" s="1" t="s">
        <v>88</v>
      </c>
      <c r="D4">
        <v>3</v>
      </c>
      <c r="E4" t="s">
        <v>125</v>
      </c>
      <c r="F4" t="s">
        <v>64</v>
      </c>
      <c r="G4">
        <v>1</v>
      </c>
      <c r="H4" s="4">
        <v>0</v>
      </c>
      <c r="I4" s="4">
        <v>7367</v>
      </c>
      <c r="K4" s="1" t="s">
        <v>89</v>
      </c>
      <c r="N4">
        <v>3</v>
      </c>
      <c r="O4" t="s">
        <v>142</v>
      </c>
      <c r="P4" t="s">
        <v>59</v>
      </c>
      <c r="Q4">
        <v>1</v>
      </c>
      <c r="R4">
        <v>1</v>
      </c>
      <c r="S4">
        <v>4322</v>
      </c>
      <c r="U4" s="1" t="s">
        <v>87</v>
      </c>
      <c r="X4">
        <v>3</v>
      </c>
      <c r="Y4" t="s">
        <v>152</v>
      </c>
      <c r="Z4" t="s">
        <v>59</v>
      </c>
      <c r="AA4">
        <v>1</v>
      </c>
      <c r="AB4">
        <v>1</v>
      </c>
      <c r="AC4">
        <v>4628</v>
      </c>
      <c r="AE4" s="1"/>
      <c r="AH4">
        <v>3</v>
      </c>
      <c r="AJ4" t="s">
        <v>59</v>
      </c>
      <c r="AK4">
        <v>1</v>
      </c>
      <c r="AL4">
        <v>2130</v>
      </c>
      <c r="AM4">
        <v>2130</v>
      </c>
      <c r="AO4" s="13">
        <v>43559</v>
      </c>
      <c r="AR4">
        <v>3</v>
      </c>
      <c r="AS4" t="s">
        <v>156</v>
      </c>
      <c r="AT4" t="s">
        <v>64</v>
      </c>
      <c r="AU4">
        <v>2</v>
      </c>
      <c r="AV4">
        <v>1</v>
      </c>
      <c r="AW4">
        <v>5082</v>
      </c>
      <c r="AY4" s="13">
        <v>43580</v>
      </c>
      <c r="BB4">
        <v>3</v>
      </c>
      <c r="BC4" t="s">
        <v>136</v>
      </c>
      <c r="BD4" t="s">
        <v>59</v>
      </c>
      <c r="BE4">
        <v>2</v>
      </c>
      <c r="BF4">
        <v>1</v>
      </c>
      <c r="BG4">
        <v>3016</v>
      </c>
    </row>
    <row r="5" spans="1:59" x14ac:dyDescent="0.25">
      <c r="D5">
        <v>4</v>
      </c>
      <c r="E5" t="s">
        <v>126</v>
      </c>
      <c r="F5" t="s">
        <v>59</v>
      </c>
      <c r="G5">
        <v>2</v>
      </c>
      <c r="H5" s="4">
        <v>0</v>
      </c>
      <c r="I5" s="4">
        <v>7603</v>
      </c>
      <c r="N5">
        <v>4</v>
      </c>
      <c r="O5" t="s">
        <v>130</v>
      </c>
      <c r="P5" t="s">
        <v>64</v>
      </c>
      <c r="Q5">
        <v>2</v>
      </c>
      <c r="R5">
        <v>1</v>
      </c>
      <c r="S5">
        <v>5864</v>
      </c>
      <c r="X5">
        <v>4</v>
      </c>
      <c r="Y5" t="s">
        <v>153</v>
      </c>
      <c r="Z5" t="s">
        <v>64</v>
      </c>
      <c r="AA5">
        <v>2</v>
      </c>
      <c r="AB5">
        <v>1</v>
      </c>
      <c r="AC5">
        <v>6669</v>
      </c>
      <c r="AH5">
        <v>4</v>
      </c>
      <c r="AJ5" t="s">
        <v>64</v>
      </c>
      <c r="AK5">
        <v>1</v>
      </c>
      <c r="AL5">
        <v>2314</v>
      </c>
      <c r="AM5">
        <v>2314</v>
      </c>
      <c r="AR5">
        <v>4</v>
      </c>
      <c r="AS5" t="s">
        <v>174</v>
      </c>
      <c r="AT5" t="s">
        <v>59</v>
      </c>
      <c r="AU5">
        <v>2</v>
      </c>
      <c r="AV5">
        <v>1</v>
      </c>
      <c r="AW5">
        <v>3800</v>
      </c>
      <c r="BB5">
        <v>4</v>
      </c>
      <c r="BC5" t="s">
        <v>145</v>
      </c>
      <c r="BD5" t="s">
        <v>64</v>
      </c>
      <c r="BE5">
        <v>2</v>
      </c>
      <c r="BF5">
        <v>1</v>
      </c>
      <c r="BG5">
        <v>3926</v>
      </c>
    </row>
    <row r="6" spans="1:59" x14ac:dyDescent="0.25">
      <c r="D6">
        <v>5</v>
      </c>
      <c r="E6" t="s">
        <v>127</v>
      </c>
      <c r="F6" t="s">
        <v>64</v>
      </c>
      <c r="G6">
        <v>2</v>
      </c>
      <c r="H6">
        <v>1</v>
      </c>
      <c r="I6">
        <v>6739</v>
      </c>
      <c r="N6">
        <v>5</v>
      </c>
      <c r="O6" t="s">
        <v>134</v>
      </c>
      <c r="P6" t="s">
        <v>64</v>
      </c>
      <c r="Q6">
        <v>1</v>
      </c>
      <c r="R6">
        <v>1</v>
      </c>
      <c r="S6">
        <v>5693</v>
      </c>
      <c r="X6">
        <v>5</v>
      </c>
      <c r="Y6" t="s">
        <v>154</v>
      </c>
      <c r="Z6" t="s">
        <v>64</v>
      </c>
      <c r="AA6">
        <v>1</v>
      </c>
      <c r="AB6">
        <v>1</v>
      </c>
      <c r="AC6">
        <v>4948</v>
      </c>
      <c r="AH6">
        <v>5</v>
      </c>
      <c r="AJ6" t="s">
        <v>59</v>
      </c>
      <c r="AK6">
        <v>1</v>
      </c>
      <c r="AL6">
        <v>2218</v>
      </c>
      <c r="AM6">
        <v>2218</v>
      </c>
      <c r="AR6">
        <v>5</v>
      </c>
      <c r="AS6" t="s">
        <v>161</v>
      </c>
      <c r="AT6" t="s">
        <v>59</v>
      </c>
      <c r="AU6">
        <v>2</v>
      </c>
      <c r="AV6">
        <v>0</v>
      </c>
      <c r="AW6">
        <v>3730</v>
      </c>
      <c r="BB6">
        <v>5</v>
      </c>
      <c r="BC6" t="s">
        <v>128</v>
      </c>
      <c r="BD6" t="s">
        <v>59</v>
      </c>
      <c r="BE6">
        <v>1</v>
      </c>
      <c r="BF6">
        <v>1</v>
      </c>
      <c r="BG6">
        <v>4561</v>
      </c>
    </row>
    <row r="7" spans="1:59" x14ac:dyDescent="0.25">
      <c r="D7">
        <v>6</v>
      </c>
      <c r="E7" t="s">
        <v>128</v>
      </c>
      <c r="F7" t="s">
        <v>59</v>
      </c>
      <c r="G7">
        <v>1</v>
      </c>
      <c r="H7">
        <v>1</v>
      </c>
      <c r="I7">
        <v>6033</v>
      </c>
      <c r="N7">
        <v>6</v>
      </c>
      <c r="O7" t="s">
        <v>139</v>
      </c>
      <c r="P7" t="s">
        <v>59</v>
      </c>
      <c r="Q7">
        <v>1</v>
      </c>
      <c r="R7">
        <v>1</v>
      </c>
      <c r="S7">
        <v>4505</v>
      </c>
      <c r="X7">
        <v>6</v>
      </c>
      <c r="Y7" t="s">
        <v>155</v>
      </c>
      <c r="Z7" t="s">
        <v>59</v>
      </c>
      <c r="AA7">
        <v>2</v>
      </c>
      <c r="AB7">
        <v>1</v>
      </c>
      <c r="AC7">
        <v>2885</v>
      </c>
      <c r="AH7">
        <v>6</v>
      </c>
      <c r="AJ7" t="s">
        <v>64</v>
      </c>
      <c r="AK7">
        <v>1</v>
      </c>
      <c r="AL7">
        <v>2696</v>
      </c>
      <c r="AM7">
        <v>2696</v>
      </c>
      <c r="AR7">
        <v>6</v>
      </c>
      <c r="AS7" t="s">
        <v>168</v>
      </c>
      <c r="AT7" t="s">
        <v>59</v>
      </c>
      <c r="AU7">
        <v>1</v>
      </c>
      <c r="AV7">
        <v>1</v>
      </c>
      <c r="AW7">
        <v>4433</v>
      </c>
      <c r="BB7">
        <v>6</v>
      </c>
      <c r="BC7" t="s">
        <v>141</v>
      </c>
      <c r="BD7" t="s">
        <v>59</v>
      </c>
      <c r="BE7">
        <v>1</v>
      </c>
      <c r="BF7">
        <v>1</v>
      </c>
      <c r="BG7">
        <v>3586</v>
      </c>
    </row>
    <row r="8" spans="1:59" x14ac:dyDescent="0.25">
      <c r="D8">
        <v>7</v>
      </c>
      <c r="E8" t="s">
        <v>129</v>
      </c>
      <c r="F8" t="s">
        <v>59</v>
      </c>
      <c r="G8">
        <v>2</v>
      </c>
      <c r="H8">
        <v>1</v>
      </c>
      <c r="I8">
        <v>6738</v>
      </c>
      <c r="N8">
        <v>7</v>
      </c>
      <c r="O8" t="s">
        <v>135</v>
      </c>
      <c r="P8" t="s">
        <v>59</v>
      </c>
      <c r="Q8">
        <v>2</v>
      </c>
      <c r="R8">
        <v>1</v>
      </c>
      <c r="S8">
        <v>5847</v>
      </c>
      <c r="X8">
        <v>7</v>
      </c>
      <c r="Y8" t="s">
        <v>156</v>
      </c>
      <c r="Z8" t="s">
        <v>64</v>
      </c>
      <c r="AA8">
        <v>2</v>
      </c>
      <c r="AB8">
        <v>1</v>
      </c>
      <c r="AC8">
        <v>4259</v>
      </c>
      <c r="AH8">
        <v>7</v>
      </c>
      <c r="AJ8" t="s">
        <v>64</v>
      </c>
      <c r="AK8">
        <v>1</v>
      </c>
      <c r="AL8">
        <v>2822</v>
      </c>
      <c r="AM8">
        <v>2822</v>
      </c>
      <c r="AR8">
        <v>7</v>
      </c>
      <c r="AS8" t="s">
        <v>155</v>
      </c>
      <c r="AT8" t="s">
        <v>59</v>
      </c>
      <c r="AU8">
        <v>2</v>
      </c>
      <c r="AV8">
        <v>1</v>
      </c>
      <c r="AW8">
        <v>3578</v>
      </c>
      <c r="BB8">
        <v>7</v>
      </c>
      <c r="BC8" t="s">
        <v>126</v>
      </c>
      <c r="BD8" t="s">
        <v>59</v>
      </c>
      <c r="BE8">
        <v>2</v>
      </c>
      <c r="BF8">
        <v>0</v>
      </c>
      <c r="BG8">
        <v>4491</v>
      </c>
    </row>
    <row r="9" spans="1:59" x14ac:dyDescent="0.25">
      <c r="D9">
        <v>8</v>
      </c>
      <c r="E9" t="s">
        <v>130</v>
      </c>
      <c r="F9" t="s">
        <v>64</v>
      </c>
      <c r="G9">
        <v>2</v>
      </c>
      <c r="H9">
        <v>1</v>
      </c>
      <c r="I9">
        <v>7448</v>
      </c>
      <c r="N9">
        <v>8</v>
      </c>
      <c r="O9" t="s">
        <v>148</v>
      </c>
      <c r="P9" t="s">
        <v>59</v>
      </c>
      <c r="Q9">
        <v>1</v>
      </c>
      <c r="R9">
        <v>1</v>
      </c>
      <c r="S9">
        <v>4803</v>
      </c>
      <c r="X9">
        <v>8</v>
      </c>
      <c r="Y9" t="s">
        <v>157</v>
      </c>
      <c r="Z9" t="s">
        <v>64</v>
      </c>
      <c r="AA9">
        <v>1</v>
      </c>
      <c r="AB9">
        <v>1</v>
      </c>
      <c r="AC9">
        <v>4973</v>
      </c>
      <c r="AH9">
        <v>8</v>
      </c>
      <c r="AJ9" t="s">
        <v>64</v>
      </c>
      <c r="AK9" s="4">
        <v>0</v>
      </c>
      <c r="AL9" s="4">
        <v>2177</v>
      </c>
      <c r="AM9" s="4"/>
      <c r="AR9">
        <v>8</v>
      </c>
      <c r="AS9" t="s">
        <v>164</v>
      </c>
      <c r="AT9" t="s">
        <v>64</v>
      </c>
      <c r="AU9">
        <v>1</v>
      </c>
      <c r="AV9">
        <v>1</v>
      </c>
      <c r="AW9">
        <v>4366</v>
      </c>
      <c r="BB9">
        <v>8</v>
      </c>
      <c r="BC9" t="s">
        <v>135</v>
      </c>
      <c r="BD9" t="s">
        <v>59</v>
      </c>
      <c r="BE9">
        <v>2</v>
      </c>
      <c r="BF9">
        <v>1</v>
      </c>
      <c r="BG9">
        <v>2904</v>
      </c>
    </row>
    <row r="10" spans="1:59" x14ac:dyDescent="0.25">
      <c r="D10">
        <v>9</v>
      </c>
      <c r="E10" t="s">
        <v>131</v>
      </c>
      <c r="F10" t="s">
        <v>64</v>
      </c>
      <c r="G10">
        <v>1</v>
      </c>
      <c r="H10">
        <v>1</v>
      </c>
      <c r="I10">
        <v>4623</v>
      </c>
      <c r="N10">
        <v>9</v>
      </c>
      <c r="O10" t="s">
        <v>141</v>
      </c>
      <c r="P10" t="s">
        <v>59</v>
      </c>
      <c r="Q10">
        <v>1</v>
      </c>
      <c r="R10">
        <v>1</v>
      </c>
      <c r="S10">
        <v>5552</v>
      </c>
      <c r="X10">
        <v>9</v>
      </c>
      <c r="Y10" t="s">
        <v>158</v>
      </c>
      <c r="Z10" t="s">
        <v>59</v>
      </c>
      <c r="AA10">
        <v>2</v>
      </c>
      <c r="AB10">
        <v>1</v>
      </c>
      <c r="AC10">
        <v>5376</v>
      </c>
      <c r="AH10">
        <v>9</v>
      </c>
      <c r="AJ10" t="s">
        <v>59</v>
      </c>
      <c r="AK10">
        <v>1</v>
      </c>
      <c r="AL10">
        <v>2216</v>
      </c>
      <c r="AM10">
        <v>2216</v>
      </c>
      <c r="AR10">
        <v>9</v>
      </c>
      <c r="AS10" t="s">
        <v>166</v>
      </c>
      <c r="AT10" t="s">
        <v>59</v>
      </c>
      <c r="AU10">
        <v>1</v>
      </c>
      <c r="AV10">
        <v>1</v>
      </c>
      <c r="AW10">
        <v>5315</v>
      </c>
      <c r="BB10">
        <v>9</v>
      </c>
      <c r="BC10" t="s">
        <v>138</v>
      </c>
      <c r="BD10" t="s">
        <v>59</v>
      </c>
      <c r="BE10">
        <v>2</v>
      </c>
      <c r="BF10">
        <v>1</v>
      </c>
      <c r="BG10">
        <v>5258</v>
      </c>
    </row>
    <row r="11" spans="1:59" x14ac:dyDescent="0.25">
      <c r="D11">
        <v>10</v>
      </c>
      <c r="E11" t="s">
        <v>132</v>
      </c>
      <c r="F11" t="s">
        <v>59</v>
      </c>
      <c r="G11">
        <v>2</v>
      </c>
      <c r="H11">
        <v>1</v>
      </c>
      <c r="I11">
        <v>5477</v>
      </c>
      <c r="N11">
        <v>10</v>
      </c>
      <c r="O11" t="s">
        <v>129</v>
      </c>
      <c r="P11" t="s">
        <v>59</v>
      </c>
      <c r="Q11">
        <v>2</v>
      </c>
      <c r="R11">
        <v>1</v>
      </c>
      <c r="S11">
        <v>3975</v>
      </c>
      <c r="X11">
        <v>10</v>
      </c>
      <c r="Y11" t="s">
        <v>159</v>
      </c>
      <c r="Z11" t="s">
        <v>64</v>
      </c>
      <c r="AA11">
        <v>1</v>
      </c>
      <c r="AB11" s="4">
        <v>0</v>
      </c>
      <c r="AC11" s="4">
        <v>5623</v>
      </c>
      <c r="AH11">
        <v>10</v>
      </c>
      <c r="AJ11" t="s">
        <v>64</v>
      </c>
      <c r="AK11">
        <v>1</v>
      </c>
      <c r="AL11">
        <v>2451</v>
      </c>
      <c r="AM11">
        <v>2451</v>
      </c>
      <c r="AR11">
        <v>10</v>
      </c>
      <c r="AS11" t="s">
        <v>170</v>
      </c>
      <c r="AT11" t="s">
        <v>59</v>
      </c>
      <c r="AU11">
        <v>2</v>
      </c>
      <c r="AV11">
        <v>0</v>
      </c>
      <c r="AW11">
        <v>4396</v>
      </c>
      <c r="BB11">
        <v>10</v>
      </c>
      <c r="BC11" t="s">
        <v>144</v>
      </c>
      <c r="BD11" t="s">
        <v>64</v>
      </c>
      <c r="BE11">
        <v>1</v>
      </c>
      <c r="BF11">
        <v>1</v>
      </c>
      <c r="BG11">
        <v>5852</v>
      </c>
    </row>
    <row r="12" spans="1:59" x14ac:dyDescent="0.25">
      <c r="D12">
        <v>11</v>
      </c>
      <c r="E12" t="s">
        <v>133</v>
      </c>
      <c r="F12" t="s">
        <v>64</v>
      </c>
      <c r="G12">
        <v>1</v>
      </c>
      <c r="H12">
        <v>1</v>
      </c>
      <c r="I12">
        <v>4847</v>
      </c>
      <c r="N12">
        <v>11</v>
      </c>
      <c r="O12" t="s">
        <v>123</v>
      </c>
      <c r="P12" t="s">
        <v>64</v>
      </c>
      <c r="Q12">
        <v>2</v>
      </c>
      <c r="R12">
        <v>1</v>
      </c>
      <c r="S12">
        <v>4641</v>
      </c>
      <c r="X12">
        <v>11</v>
      </c>
      <c r="Y12" t="s">
        <v>160</v>
      </c>
      <c r="Z12" t="s">
        <v>59</v>
      </c>
      <c r="AA12">
        <v>1</v>
      </c>
      <c r="AB12" s="4">
        <v>0</v>
      </c>
      <c r="AC12" s="4">
        <v>7326</v>
      </c>
      <c r="AH12">
        <v>11</v>
      </c>
      <c r="AJ12" t="s">
        <v>64</v>
      </c>
      <c r="AK12">
        <v>1</v>
      </c>
      <c r="AL12">
        <v>2386</v>
      </c>
      <c r="AM12">
        <v>2386</v>
      </c>
      <c r="AR12">
        <v>11</v>
      </c>
      <c r="AS12" t="s">
        <v>157</v>
      </c>
      <c r="AT12" t="s">
        <v>64</v>
      </c>
      <c r="AU12">
        <v>1</v>
      </c>
      <c r="AV12">
        <v>1</v>
      </c>
      <c r="AW12">
        <v>4996</v>
      </c>
      <c r="BB12">
        <v>11</v>
      </c>
      <c r="BC12" t="s">
        <v>132</v>
      </c>
      <c r="BD12" t="s">
        <v>59</v>
      </c>
      <c r="BE12">
        <v>2</v>
      </c>
      <c r="BF12">
        <v>1</v>
      </c>
      <c r="BG12">
        <v>4592</v>
      </c>
    </row>
    <row r="13" spans="1:59" x14ac:dyDescent="0.25">
      <c r="D13">
        <v>12</v>
      </c>
      <c r="E13" t="s">
        <v>134</v>
      </c>
      <c r="F13" t="s">
        <v>64</v>
      </c>
      <c r="G13">
        <v>1</v>
      </c>
      <c r="H13">
        <v>1</v>
      </c>
      <c r="I13">
        <v>4973</v>
      </c>
      <c r="N13">
        <v>12</v>
      </c>
      <c r="O13" t="s">
        <v>133</v>
      </c>
      <c r="P13" t="s">
        <v>64</v>
      </c>
      <c r="Q13">
        <v>1</v>
      </c>
      <c r="R13">
        <v>1</v>
      </c>
      <c r="S13">
        <v>3995</v>
      </c>
      <c r="X13">
        <v>12</v>
      </c>
      <c r="Y13" t="s">
        <v>161</v>
      </c>
      <c r="Z13" t="s">
        <v>59</v>
      </c>
      <c r="AA13">
        <v>2</v>
      </c>
      <c r="AB13">
        <v>1</v>
      </c>
      <c r="AC13">
        <v>4616</v>
      </c>
      <c r="AH13">
        <v>12</v>
      </c>
      <c r="AJ13" t="s">
        <v>64</v>
      </c>
      <c r="AK13">
        <v>1</v>
      </c>
      <c r="AL13">
        <v>2570</v>
      </c>
      <c r="AM13">
        <v>2570</v>
      </c>
      <c r="AR13">
        <v>12</v>
      </c>
      <c r="AS13" t="s">
        <v>152</v>
      </c>
      <c r="AT13" t="s">
        <v>59</v>
      </c>
      <c r="AU13">
        <v>1</v>
      </c>
      <c r="AV13">
        <v>1</v>
      </c>
      <c r="AW13">
        <v>4567</v>
      </c>
      <c r="BB13">
        <v>12</v>
      </c>
      <c r="BC13" t="s">
        <v>137</v>
      </c>
      <c r="BD13" t="s">
        <v>64</v>
      </c>
      <c r="BE13">
        <v>1</v>
      </c>
      <c r="BF13">
        <v>1</v>
      </c>
      <c r="BG13">
        <v>5363</v>
      </c>
    </row>
    <row r="14" spans="1:59" x14ac:dyDescent="0.25">
      <c r="D14">
        <v>13</v>
      </c>
      <c r="E14" t="s">
        <v>135</v>
      </c>
      <c r="F14" t="s">
        <v>59</v>
      </c>
      <c r="G14">
        <v>2</v>
      </c>
      <c r="H14">
        <v>1</v>
      </c>
      <c r="I14">
        <v>7057</v>
      </c>
      <c r="N14">
        <v>13</v>
      </c>
      <c r="O14" t="s">
        <v>144</v>
      </c>
      <c r="P14" t="s">
        <v>64</v>
      </c>
      <c r="Q14">
        <v>1</v>
      </c>
      <c r="R14" s="4">
        <v>0</v>
      </c>
      <c r="S14" s="4">
        <v>5380</v>
      </c>
      <c r="X14">
        <v>13</v>
      </c>
      <c r="Y14" t="s">
        <v>162</v>
      </c>
      <c r="Z14" t="s">
        <v>64</v>
      </c>
      <c r="AA14">
        <v>1</v>
      </c>
      <c r="AB14">
        <v>1</v>
      </c>
      <c r="AC14">
        <v>4881</v>
      </c>
      <c r="AH14">
        <v>13</v>
      </c>
      <c r="AJ14" t="s">
        <v>59</v>
      </c>
      <c r="AK14" s="4">
        <v>0</v>
      </c>
      <c r="AL14" s="4">
        <v>2682</v>
      </c>
      <c r="AM14" s="4"/>
      <c r="AR14">
        <v>13</v>
      </c>
      <c r="AS14" t="s">
        <v>173</v>
      </c>
      <c r="AT14" t="s">
        <v>64</v>
      </c>
      <c r="AU14">
        <v>2</v>
      </c>
      <c r="AV14">
        <v>1</v>
      </c>
      <c r="AW14">
        <v>3585</v>
      </c>
      <c r="BB14">
        <v>13</v>
      </c>
      <c r="BC14" t="s">
        <v>123</v>
      </c>
      <c r="BD14" t="s">
        <v>64</v>
      </c>
      <c r="BE14">
        <v>2</v>
      </c>
      <c r="BF14">
        <v>1</v>
      </c>
      <c r="BG14">
        <v>4872</v>
      </c>
    </row>
    <row r="15" spans="1:59" x14ac:dyDescent="0.25">
      <c r="D15">
        <v>14</v>
      </c>
      <c r="E15" t="s">
        <v>136</v>
      </c>
      <c r="F15" t="s">
        <v>59</v>
      </c>
      <c r="G15">
        <v>2</v>
      </c>
      <c r="H15" s="4">
        <v>0</v>
      </c>
      <c r="I15" s="4">
        <v>6764</v>
      </c>
      <c r="N15">
        <v>14</v>
      </c>
      <c r="O15" t="s">
        <v>146</v>
      </c>
      <c r="P15" t="s">
        <v>64</v>
      </c>
      <c r="Q15">
        <v>2</v>
      </c>
      <c r="R15" s="4">
        <v>0</v>
      </c>
      <c r="S15" s="4">
        <v>5301</v>
      </c>
      <c r="X15">
        <v>14</v>
      </c>
      <c r="Y15" t="s">
        <v>163</v>
      </c>
      <c r="Z15" t="s">
        <v>59</v>
      </c>
      <c r="AA15">
        <v>1</v>
      </c>
      <c r="AB15">
        <v>1</v>
      </c>
      <c r="AC15">
        <v>5563</v>
      </c>
      <c r="AH15">
        <v>14</v>
      </c>
      <c r="AJ15" t="s">
        <v>59</v>
      </c>
      <c r="AK15" s="4">
        <v>0</v>
      </c>
      <c r="AL15" s="4">
        <v>2859</v>
      </c>
      <c r="AM15" s="4"/>
      <c r="AR15">
        <v>14</v>
      </c>
      <c r="AS15" t="s">
        <v>151</v>
      </c>
      <c r="AT15" t="s">
        <v>64</v>
      </c>
      <c r="AU15">
        <v>2</v>
      </c>
      <c r="AV15">
        <v>0</v>
      </c>
      <c r="AW15">
        <v>0</v>
      </c>
      <c r="BB15">
        <v>14</v>
      </c>
      <c r="BC15" t="s">
        <v>142</v>
      </c>
      <c r="BD15" t="s">
        <v>59</v>
      </c>
      <c r="BE15">
        <v>1</v>
      </c>
      <c r="BF15">
        <v>0</v>
      </c>
      <c r="BG15">
        <v>5298</v>
      </c>
    </row>
    <row r="16" spans="1:59" x14ac:dyDescent="0.25">
      <c r="D16">
        <v>15</v>
      </c>
      <c r="E16" t="s">
        <v>137</v>
      </c>
      <c r="F16" t="s">
        <v>64</v>
      </c>
      <c r="G16">
        <v>1</v>
      </c>
      <c r="H16" s="4">
        <v>0</v>
      </c>
      <c r="I16" s="4">
        <v>6023</v>
      </c>
      <c r="N16">
        <v>15</v>
      </c>
      <c r="O16" t="s">
        <v>138</v>
      </c>
      <c r="P16" t="s">
        <v>59</v>
      </c>
      <c r="Q16">
        <v>2</v>
      </c>
      <c r="R16">
        <v>1</v>
      </c>
      <c r="S16">
        <v>6318</v>
      </c>
      <c r="X16">
        <v>15</v>
      </c>
      <c r="Y16" t="s">
        <v>164</v>
      </c>
      <c r="Z16" t="s">
        <v>64</v>
      </c>
      <c r="AA16">
        <v>1</v>
      </c>
      <c r="AB16">
        <v>1</v>
      </c>
      <c r="AC16">
        <v>6596</v>
      </c>
      <c r="AH16">
        <v>15</v>
      </c>
      <c r="AJ16" t="s">
        <v>59</v>
      </c>
      <c r="AK16" s="4">
        <v>0</v>
      </c>
      <c r="AL16" s="4">
        <v>2329</v>
      </c>
      <c r="AM16" s="4"/>
      <c r="AR16">
        <v>15</v>
      </c>
      <c r="AS16" t="s">
        <v>175</v>
      </c>
      <c r="AT16" t="s">
        <v>64</v>
      </c>
      <c r="AU16">
        <v>2</v>
      </c>
      <c r="AV16">
        <v>1</v>
      </c>
      <c r="AW16">
        <v>5166</v>
      </c>
      <c r="BB16">
        <v>15</v>
      </c>
      <c r="BC16" t="s">
        <v>124</v>
      </c>
      <c r="BD16" t="s">
        <v>59</v>
      </c>
      <c r="BE16">
        <v>1</v>
      </c>
      <c r="BF16">
        <v>1</v>
      </c>
      <c r="BG16">
        <v>3251</v>
      </c>
    </row>
    <row r="17" spans="4:59" x14ac:dyDescent="0.25">
      <c r="D17">
        <v>16</v>
      </c>
      <c r="E17" t="s">
        <v>138</v>
      </c>
      <c r="F17" t="s">
        <v>59</v>
      </c>
      <c r="G17">
        <v>2</v>
      </c>
      <c r="H17">
        <v>1</v>
      </c>
      <c r="I17">
        <v>7448</v>
      </c>
      <c r="N17">
        <v>16</v>
      </c>
      <c r="O17" t="s">
        <v>140</v>
      </c>
      <c r="P17" t="s">
        <v>64</v>
      </c>
      <c r="Q17">
        <v>2</v>
      </c>
      <c r="R17" s="4">
        <v>0</v>
      </c>
      <c r="S17" s="4">
        <v>4441</v>
      </c>
      <c r="X17">
        <v>16</v>
      </c>
      <c r="Y17" t="s">
        <v>165</v>
      </c>
      <c r="Z17" t="s">
        <v>64</v>
      </c>
      <c r="AA17">
        <v>1</v>
      </c>
      <c r="AB17">
        <v>0</v>
      </c>
      <c r="AC17">
        <v>5452</v>
      </c>
      <c r="AH17">
        <v>16</v>
      </c>
      <c r="AJ17" t="s">
        <v>64</v>
      </c>
      <c r="AK17" s="4">
        <v>0</v>
      </c>
      <c r="AL17" s="4">
        <v>2640</v>
      </c>
      <c r="AM17" s="4"/>
      <c r="AR17">
        <v>16</v>
      </c>
      <c r="AS17" t="s">
        <v>171</v>
      </c>
      <c r="AT17" t="s">
        <v>59</v>
      </c>
      <c r="AU17">
        <v>2</v>
      </c>
      <c r="AV17">
        <v>0</v>
      </c>
      <c r="AW17">
        <v>3121</v>
      </c>
      <c r="BB17">
        <v>16</v>
      </c>
      <c r="BC17" t="s">
        <v>130</v>
      </c>
      <c r="BD17" t="s">
        <v>64</v>
      </c>
      <c r="BE17">
        <v>2</v>
      </c>
      <c r="BF17">
        <v>0</v>
      </c>
      <c r="BG17">
        <v>3139</v>
      </c>
    </row>
    <row r="18" spans="4:59" x14ac:dyDescent="0.25">
      <c r="D18">
        <v>17</v>
      </c>
      <c r="E18" t="s">
        <v>139</v>
      </c>
      <c r="F18" t="s">
        <v>59</v>
      </c>
      <c r="G18">
        <v>1</v>
      </c>
      <c r="H18">
        <v>1</v>
      </c>
      <c r="I18">
        <v>5617</v>
      </c>
      <c r="N18">
        <v>17</v>
      </c>
      <c r="O18" t="s">
        <v>132</v>
      </c>
      <c r="P18" t="s">
        <v>59</v>
      </c>
      <c r="Q18">
        <v>2</v>
      </c>
      <c r="R18">
        <v>1</v>
      </c>
      <c r="S18">
        <v>5705</v>
      </c>
      <c r="X18">
        <v>17</v>
      </c>
      <c r="Y18" t="s">
        <v>166</v>
      </c>
      <c r="Z18" t="s">
        <v>59</v>
      </c>
      <c r="AA18">
        <v>1</v>
      </c>
      <c r="AB18">
        <v>1</v>
      </c>
      <c r="AC18">
        <v>6646</v>
      </c>
      <c r="AH18">
        <v>17</v>
      </c>
      <c r="AJ18" t="s">
        <v>59</v>
      </c>
      <c r="AK18">
        <v>1</v>
      </c>
      <c r="AL18">
        <v>1968</v>
      </c>
      <c r="AM18">
        <v>1968</v>
      </c>
      <c r="AR18">
        <v>17</v>
      </c>
      <c r="AS18" t="s">
        <v>154</v>
      </c>
      <c r="AT18" t="s">
        <v>64</v>
      </c>
      <c r="AU18">
        <v>1</v>
      </c>
      <c r="AV18">
        <v>1</v>
      </c>
      <c r="AW18">
        <v>3108</v>
      </c>
      <c r="BB18">
        <v>17</v>
      </c>
      <c r="BC18" t="s">
        <v>134</v>
      </c>
      <c r="BD18" t="s">
        <v>64</v>
      </c>
      <c r="BE18">
        <v>1</v>
      </c>
      <c r="BF18">
        <v>0</v>
      </c>
      <c r="BG18">
        <v>3674</v>
      </c>
    </row>
    <row r="19" spans="4:59" x14ac:dyDescent="0.25">
      <c r="D19">
        <v>18</v>
      </c>
      <c r="E19" t="s">
        <v>140</v>
      </c>
      <c r="F19" t="s">
        <v>64</v>
      </c>
      <c r="G19">
        <v>2</v>
      </c>
      <c r="H19">
        <v>1</v>
      </c>
      <c r="I19">
        <v>6809</v>
      </c>
      <c r="N19">
        <v>18</v>
      </c>
      <c r="O19" t="s">
        <v>125</v>
      </c>
      <c r="P19" t="s">
        <v>64</v>
      </c>
      <c r="Q19">
        <v>1</v>
      </c>
      <c r="R19" s="4">
        <v>0</v>
      </c>
      <c r="S19" s="4">
        <v>6738</v>
      </c>
      <c r="X19">
        <v>18</v>
      </c>
      <c r="Y19" t="s">
        <v>167</v>
      </c>
      <c r="Z19" t="s">
        <v>64</v>
      </c>
      <c r="AA19">
        <v>1</v>
      </c>
      <c r="AB19" s="4">
        <v>0</v>
      </c>
      <c r="AC19" s="4">
        <v>3898</v>
      </c>
      <c r="AH19">
        <v>18</v>
      </c>
      <c r="AJ19" t="s">
        <v>64</v>
      </c>
      <c r="AK19" s="4">
        <v>0</v>
      </c>
      <c r="AL19" s="4">
        <v>2842</v>
      </c>
      <c r="AM19" s="4"/>
      <c r="AR19">
        <v>18</v>
      </c>
      <c r="AS19" t="s">
        <v>160</v>
      </c>
      <c r="AT19" t="s">
        <v>59</v>
      </c>
      <c r="AU19">
        <v>1</v>
      </c>
      <c r="AV19">
        <v>0</v>
      </c>
      <c r="AW19">
        <v>3760</v>
      </c>
      <c r="BB19">
        <v>18</v>
      </c>
      <c r="BC19" t="s">
        <v>125</v>
      </c>
      <c r="BD19" t="s">
        <v>64</v>
      </c>
      <c r="BE19">
        <v>1</v>
      </c>
      <c r="BF19">
        <v>1</v>
      </c>
      <c r="BG19">
        <v>4212</v>
      </c>
    </row>
    <row r="20" spans="4:59" x14ac:dyDescent="0.25">
      <c r="D20">
        <v>19</v>
      </c>
      <c r="E20" t="s">
        <v>141</v>
      </c>
      <c r="F20" t="s">
        <v>59</v>
      </c>
      <c r="G20">
        <v>1</v>
      </c>
      <c r="H20">
        <v>1</v>
      </c>
      <c r="I20">
        <v>5044</v>
      </c>
      <c r="N20">
        <v>19</v>
      </c>
      <c r="O20" t="s">
        <v>124</v>
      </c>
      <c r="P20" t="s">
        <v>59</v>
      </c>
      <c r="Q20">
        <v>1</v>
      </c>
      <c r="R20">
        <v>1</v>
      </c>
      <c r="S20">
        <v>3465</v>
      </c>
      <c r="X20">
        <v>19</v>
      </c>
      <c r="Y20" t="s">
        <v>168</v>
      </c>
      <c r="Z20" t="s">
        <v>59</v>
      </c>
      <c r="AA20">
        <v>1</v>
      </c>
      <c r="AB20" s="4">
        <v>0</v>
      </c>
      <c r="AC20" s="4">
        <v>6369</v>
      </c>
      <c r="AH20">
        <v>19</v>
      </c>
      <c r="AJ20" t="s">
        <v>59</v>
      </c>
      <c r="AK20">
        <v>1</v>
      </c>
      <c r="AL20">
        <v>2799</v>
      </c>
      <c r="AM20">
        <v>2799</v>
      </c>
      <c r="AR20">
        <v>19</v>
      </c>
      <c r="AS20" t="s">
        <v>158</v>
      </c>
      <c r="AT20" t="s">
        <v>59</v>
      </c>
      <c r="AU20">
        <v>2</v>
      </c>
      <c r="AV20">
        <v>0</v>
      </c>
      <c r="AW20">
        <v>4266</v>
      </c>
      <c r="BB20">
        <v>19</v>
      </c>
      <c r="BC20" t="s">
        <v>143</v>
      </c>
      <c r="BD20" t="s">
        <v>59</v>
      </c>
      <c r="BE20">
        <v>1</v>
      </c>
      <c r="BF20">
        <v>1</v>
      </c>
      <c r="BG20">
        <v>4604</v>
      </c>
    </row>
    <row r="21" spans="4:59" x14ac:dyDescent="0.25">
      <c r="D21">
        <v>20</v>
      </c>
      <c r="E21" t="s">
        <v>142</v>
      </c>
      <c r="F21" t="s">
        <v>59</v>
      </c>
      <c r="G21">
        <v>1</v>
      </c>
      <c r="H21">
        <v>1</v>
      </c>
      <c r="I21">
        <v>6442</v>
      </c>
      <c r="N21">
        <v>20</v>
      </c>
      <c r="O21" t="s">
        <v>143</v>
      </c>
      <c r="P21" t="s">
        <v>59</v>
      </c>
      <c r="Q21">
        <v>1</v>
      </c>
      <c r="R21" s="4">
        <v>0</v>
      </c>
      <c r="S21" s="4">
        <v>5269</v>
      </c>
      <c r="X21">
        <v>20</v>
      </c>
      <c r="Y21" t="s">
        <v>169</v>
      </c>
      <c r="Z21" t="s">
        <v>64</v>
      </c>
      <c r="AA21">
        <v>2</v>
      </c>
      <c r="AB21">
        <v>1</v>
      </c>
      <c r="AC21">
        <v>6126</v>
      </c>
      <c r="AH21">
        <v>20</v>
      </c>
      <c r="AJ21" t="s">
        <v>64</v>
      </c>
      <c r="AK21" s="4">
        <v>0</v>
      </c>
      <c r="AL21" s="4">
        <v>3352</v>
      </c>
      <c r="AM21" s="4"/>
      <c r="AR21">
        <v>20</v>
      </c>
      <c r="AS21" t="s">
        <v>165</v>
      </c>
      <c r="AT21" t="s">
        <v>64</v>
      </c>
      <c r="AU21">
        <v>1</v>
      </c>
      <c r="AV21">
        <v>0</v>
      </c>
      <c r="AW21">
        <v>4210</v>
      </c>
      <c r="BB21">
        <v>20</v>
      </c>
      <c r="BC21" t="s">
        <v>146</v>
      </c>
      <c r="BD21" t="s">
        <v>64</v>
      </c>
      <c r="BE21">
        <v>2</v>
      </c>
      <c r="BF21">
        <v>1</v>
      </c>
      <c r="BG21">
        <v>4765</v>
      </c>
    </row>
    <row r="22" spans="4:59" x14ac:dyDescent="0.25">
      <c r="D22">
        <v>21</v>
      </c>
      <c r="E22" t="s">
        <v>143</v>
      </c>
      <c r="F22" t="s">
        <v>59</v>
      </c>
      <c r="G22">
        <v>1</v>
      </c>
      <c r="H22" s="4">
        <v>0</v>
      </c>
      <c r="I22" s="4">
        <v>6163</v>
      </c>
      <c r="N22">
        <v>21</v>
      </c>
      <c r="O22" t="s">
        <v>127</v>
      </c>
      <c r="P22" t="s">
        <v>64</v>
      </c>
      <c r="Q22">
        <v>2</v>
      </c>
      <c r="R22">
        <v>1</v>
      </c>
      <c r="S22">
        <v>5879</v>
      </c>
      <c r="X22">
        <v>21</v>
      </c>
      <c r="Y22" t="s">
        <v>170</v>
      </c>
      <c r="Z22" t="s">
        <v>59</v>
      </c>
      <c r="AA22">
        <v>2</v>
      </c>
      <c r="AB22">
        <v>1</v>
      </c>
      <c r="AC22">
        <v>6724</v>
      </c>
      <c r="AH22">
        <v>21</v>
      </c>
      <c r="AJ22" t="s">
        <v>59</v>
      </c>
      <c r="AK22">
        <v>1</v>
      </c>
      <c r="AL22">
        <v>2793</v>
      </c>
      <c r="AM22">
        <v>2793</v>
      </c>
      <c r="AR22">
        <v>21</v>
      </c>
      <c r="AS22" t="s">
        <v>169</v>
      </c>
      <c r="AT22" t="s">
        <v>64</v>
      </c>
      <c r="AU22">
        <v>2</v>
      </c>
      <c r="AV22">
        <v>1</v>
      </c>
      <c r="AW22">
        <v>3425</v>
      </c>
      <c r="BB22">
        <v>21</v>
      </c>
      <c r="BC22" t="s">
        <v>131</v>
      </c>
      <c r="BD22" t="s">
        <v>64</v>
      </c>
      <c r="BE22">
        <v>1</v>
      </c>
      <c r="BF22">
        <v>1</v>
      </c>
      <c r="BG22">
        <v>3924</v>
      </c>
    </row>
    <row r="23" spans="4:59" x14ac:dyDescent="0.25">
      <c r="D23">
        <v>22</v>
      </c>
      <c r="E23" t="s">
        <v>144</v>
      </c>
      <c r="F23" t="s">
        <v>64</v>
      </c>
      <c r="G23">
        <v>1</v>
      </c>
      <c r="H23">
        <v>1</v>
      </c>
      <c r="I23">
        <v>7391</v>
      </c>
      <c r="N23">
        <v>22</v>
      </c>
      <c r="O23" t="s">
        <v>131</v>
      </c>
      <c r="P23" t="s">
        <v>64</v>
      </c>
      <c r="Q23">
        <v>1</v>
      </c>
      <c r="R23">
        <v>1</v>
      </c>
      <c r="S23">
        <v>7579</v>
      </c>
      <c r="X23">
        <v>22</v>
      </c>
      <c r="Y23" t="s">
        <v>171</v>
      </c>
      <c r="Z23" t="s">
        <v>59</v>
      </c>
      <c r="AA23">
        <v>2</v>
      </c>
      <c r="AB23" s="4">
        <v>0</v>
      </c>
      <c r="AC23" s="4">
        <v>4888</v>
      </c>
      <c r="AH23">
        <v>22</v>
      </c>
      <c r="AJ23" t="s">
        <v>59</v>
      </c>
      <c r="AK23">
        <v>1</v>
      </c>
      <c r="AL23">
        <v>2804</v>
      </c>
      <c r="AM23">
        <v>2804</v>
      </c>
      <c r="AR23">
        <v>22</v>
      </c>
      <c r="AS23" t="s">
        <v>172</v>
      </c>
      <c r="AT23" t="s">
        <v>59</v>
      </c>
      <c r="AU23">
        <v>1</v>
      </c>
      <c r="AV23">
        <v>0</v>
      </c>
      <c r="AW23">
        <v>4085</v>
      </c>
      <c r="BB23">
        <v>22</v>
      </c>
      <c r="BC23" t="s">
        <v>148</v>
      </c>
      <c r="BD23" t="s">
        <v>59</v>
      </c>
      <c r="BE23">
        <v>1</v>
      </c>
      <c r="BF23">
        <v>1</v>
      </c>
      <c r="BG23">
        <v>3664</v>
      </c>
    </row>
    <row r="24" spans="4:59" x14ac:dyDescent="0.25">
      <c r="D24">
        <v>23</v>
      </c>
      <c r="E24" t="s">
        <v>145</v>
      </c>
      <c r="F24" t="s">
        <v>64</v>
      </c>
      <c r="G24">
        <v>2</v>
      </c>
      <c r="H24">
        <v>1</v>
      </c>
      <c r="I24">
        <v>5881</v>
      </c>
      <c r="N24">
        <v>23</v>
      </c>
      <c r="O24" t="s">
        <v>126</v>
      </c>
      <c r="P24" t="s">
        <v>59</v>
      </c>
      <c r="Q24">
        <v>2</v>
      </c>
      <c r="R24">
        <v>1</v>
      </c>
      <c r="S24">
        <v>5645</v>
      </c>
      <c r="X24">
        <v>23</v>
      </c>
      <c r="Y24" t="s">
        <v>172</v>
      </c>
      <c r="Z24" t="s">
        <v>59</v>
      </c>
      <c r="AA24">
        <v>1</v>
      </c>
      <c r="AB24" s="4">
        <v>0</v>
      </c>
      <c r="AC24" s="4">
        <v>6849</v>
      </c>
      <c r="AH24">
        <v>23</v>
      </c>
      <c r="AJ24" t="s">
        <v>64</v>
      </c>
      <c r="AK24">
        <v>1</v>
      </c>
      <c r="AL24">
        <v>3531</v>
      </c>
      <c r="AM24">
        <v>3531</v>
      </c>
      <c r="AR24">
        <v>23</v>
      </c>
      <c r="AS24" t="s">
        <v>159</v>
      </c>
      <c r="AT24" t="s">
        <v>64</v>
      </c>
      <c r="AU24">
        <v>1</v>
      </c>
      <c r="AV24">
        <v>1</v>
      </c>
      <c r="AW24">
        <v>4032</v>
      </c>
      <c r="BB24">
        <v>23</v>
      </c>
      <c r="BC24" t="s">
        <v>127</v>
      </c>
      <c r="BD24" t="s">
        <v>64</v>
      </c>
      <c r="BE24">
        <v>2</v>
      </c>
      <c r="BF24">
        <v>0</v>
      </c>
      <c r="BG24">
        <v>3207</v>
      </c>
    </row>
    <row r="25" spans="4:59" x14ac:dyDescent="0.25">
      <c r="D25">
        <v>24</v>
      </c>
      <c r="E25" t="s">
        <v>146</v>
      </c>
      <c r="F25" t="s">
        <v>64</v>
      </c>
      <c r="G25">
        <v>2</v>
      </c>
      <c r="H25">
        <v>0</v>
      </c>
      <c r="I25">
        <v>6296</v>
      </c>
      <c r="N25">
        <v>24</v>
      </c>
      <c r="O25" t="s">
        <v>136</v>
      </c>
      <c r="P25" t="s">
        <v>59</v>
      </c>
      <c r="Q25">
        <v>2</v>
      </c>
      <c r="R25">
        <v>1</v>
      </c>
      <c r="S25">
        <v>6971</v>
      </c>
      <c r="X25">
        <v>24</v>
      </c>
      <c r="Y25" t="s">
        <v>173</v>
      </c>
      <c r="Z25" t="s">
        <v>64</v>
      </c>
      <c r="AA25">
        <v>2</v>
      </c>
      <c r="AB25">
        <v>1</v>
      </c>
      <c r="AC25">
        <v>4117</v>
      </c>
      <c r="AH25">
        <v>24</v>
      </c>
      <c r="AJ25" t="s">
        <v>59</v>
      </c>
      <c r="AK25">
        <v>1</v>
      </c>
      <c r="AL25">
        <v>3313</v>
      </c>
      <c r="AM25">
        <v>3313</v>
      </c>
      <c r="AR25">
        <v>24</v>
      </c>
      <c r="AS25" t="s">
        <v>153</v>
      </c>
      <c r="AT25" t="s">
        <v>64</v>
      </c>
      <c r="AU25">
        <v>2</v>
      </c>
      <c r="AV25">
        <v>0</v>
      </c>
      <c r="AW25">
        <v>4450</v>
      </c>
      <c r="BB25">
        <v>24</v>
      </c>
      <c r="BC25" t="s">
        <v>129</v>
      </c>
      <c r="BD25" t="s">
        <v>59</v>
      </c>
      <c r="BE25">
        <v>2</v>
      </c>
      <c r="BF25">
        <v>0</v>
      </c>
      <c r="BG25">
        <v>4608</v>
      </c>
    </row>
    <row r="26" spans="4:59" x14ac:dyDescent="0.25">
      <c r="D26">
        <v>25</v>
      </c>
      <c r="E26" t="s">
        <v>147</v>
      </c>
      <c r="F26" t="s">
        <v>64</v>
      </c>
      <c r="G26">
        <v>2</v>
      </c>
      <c r="H26" s="4">
        <v>0</v>
      </c>
      <c r="I26" s="4">
        <v>0</v>
      </c>
      <c r="N26">
        <v>25</v>
      </c>
      <c r="O26" t="s">
        <v>128</v>
      </c>
      <c r="P26" t="s">
        <v>59</v>
      </c>
      <c r="Q26">
        <v>1</v>
      </c>
      <c r="R26">
        <v>1</v>
      </c>
      <c r="S26">
        <v>5717</v>
      </c>
      <c r="X26">
        <v>25</v>
      </c>
      <c r="Y26" t="s">
        <v>174</v>
      </c>
      <c r="Z26" t="s">
        <v>59</v>
      </c>
      <c r="AA26">
        <v>2</v>
      </c>
      <c r="AB26">
        <v>1</v>
      </c>
      <c r="AC26">
        <v>4719</v>
      </c>
      <c r="AH26">
        <v>25</v>
      </c>
      <c r="AJ26" t="s">
        <v>59</v>
      </c>
      <c r="AK26" s="4">
        <v>0</v>
      </c>
      <c r="AL26" s="4">
        <v>2970</v>
      </c>
      <c r="AM26" s="4"/>
      <c r="AR26">
        <v>25</v>
      </c>
      <c r="AS26" t="s">
        <v>163</v>
      </c>
      <c r="AT26" t="s">
        <v>59</v>
      </c>
      <c r="AU26">
        <v>1</v>
      </c>
      <c r="AV26">
        <v>1</v>
      </c>
      <c r="AW26">
        <v>4309</v>
      </c>
      <c r="BB26">
        <v>25</v>
      </c>
      <c r="BC26" t="s">
        <v>147</v>
      </c>
      <c r="BD26" t="s">
        <v>64</v>
      </c>
      <c r="BE26">
        <v>2</v>
      </c>
      <c r="BF26">
        <v>0</v>
      </c>
      <c r="BG26">
        <v>4349</v>
      </c>
    </row>
    <row r="27" spans="4:59" x14ac:dyDescent="0.25">
      <c r="D27">
        <v>26</v>
      </c>
      <c r="E27" t="s">
        <v>148</v>
      </c>
      <c r="F27" t="s">
        <v>59</v>
      </c>
      <c r="G27">
        <v>1</v>
      </c>
      <c r="H27">
        <v>1</v>
      </c>
      <c r="I27">
        <v>4498</v>
      </c>
      <c r="N27">
        <v>26</v>
      </c>
      <c r="O27" t="s">
        <v>137</v>
      </c>
      <c r="P27" t="s">
        <v>64</v>
      </c>
      <c r="Q27">
        <v>1</v>
      </c>
      <c r="R27" s="4">
        <v>0</v>
      </c>
      <c r="S27" s="4">
        <v>6317</v>
      </c>
      <c r="X27">
        <v>26</v>
      </c>
      <c r="Y27" t="s">
        <v>175</v>
      </c>
      <c r="Z27" t="s">
        <v>64</v>
      </c>
      <c r="AA27">
        <v>2</v>
      </c>
      <c r="AB27" s="4">
        <v>0</v>
      </c>
      <c r="AC27" s="4">
        <v>6014</v>
      </c>
      <c r="AH27">
        <v>26</v>
      </c>
      <c r="AJ27" t="s">
        <v>64</v>
      </c>
      <c r="AK27" s="4">
        <v>0</v>
      </c>
      <c r="AL27" s="4">
        <v>3335</v>
      </c>
      <c r="AM27" s="4"/>
      <c r="AR27">
        <v>26</v>
      </c>
      <c r="AS27" t="s">
        <v>167</v>
      </c>
      <c r="AT27" t="s">
        <v>64</v>
      </c>
      <c r="AU27">
        <v>1</v>
      </c>
      <c r="AV27">
        <v>0</v>
      </c>
      <c r="AW27">
        <v>3611</v>
      </c>
      <c r="BB27">
        <v>26</v>
      </c>
      <c r="BC27" t="s">
        <v>133</v>
      </c>
      <c r="BD27" t="s">
        <v>64</v>
      </c>
      <c r="BE27">
        <v>1</v>
      </c>
      <c r="BF27">
        <v>1</v>
      </c>
      <c r="BG27">
        <v>3883</v>
      </c>
    </row>
    <row r="28" spans="4:59" x14ac:dyDescent="0.25">
      <c r="H28" s="5">
        <f>SUM(H2:H27)</f>
        <v>19</v>
      </c>
      <c r="R28" s="5">
        <f>SUM(R2:R27)</f>
        <v>20</v>
      </c>
      <c r="AB28" s="5">
        <f>SUM(AB2:AB27)</f>
        <v>18</v>
      </c>
      <c r="AK28" s="5">
        <f>SUM(AK2:AK27)</f>
        <v>17</v>
      </c>
      <c r="AM28">
        <f>SUM(AM2:AM27)</f>
        <v>43927</v>
      </c>
      <c r="AV28">
        <f>SUM(AV2:AV27)</f>
        <v>16</v>
      </c>
      <c r="BF28">
        <f>SUM(BF2:BF27)</f>
        <v>18</v>
      </c>
    </row>
    <row r="30" spans="4:59" x14ac:dyDescent="0.25">
      <c r="AL30">
        <f>AM28/AK28</f>
        <v>2583.9411764705883</v>
      </c>
    </row>
    <row r="31" spans="4:59" x14ac:dyDescent="0.25">
      <c r="I31">
        <v>6471</v>
      </c>
      <c r="S31">
        <v>4383</v>
      </c>
      <c r="AC31">
        <v>4944</v>
      </c>
    </row>
    <row r="32" spans="4:59" x14ac:dyDescent="0.25">
      <c r="I32">
        <v>6355</v>
      </c>
      <c r="S32">
        <v>4773</v>
      </c>
      <c r="AC32">
        <v>4825</v>
      </c>
    </row>
    <row r="33" spans="2:29" x14ac:dyDescent="0.25">
      <c r="B33" t="s">
        <v>179</v>
      </c>
      <c r="C33" t="s">
        <v>116</v>
      </c>
      <c r="D33" t="s">
        <v>117</v>
      </c>
      <c r="E33" t="s">
        <v>118</v>
      </c>
      <c r="F33" t="s">
        <v>119</v>
      </c>
      <c r="I33">
        <v>6739</v>
      </c>
      <c r="S33">
        <v>4322</v>
      </c>
      <c r="AC33">
        <v>4628</v>
      </c>
    </row>
    <row r="34" spans="2:29" x14ac:dyDescent="0.25">
      <c r="B34" t="s">
        <v>177</v>
      </c>
      <c r="C34">
        <v>19</v>
      </c>
      <c r="D34">
        <v>20</v>
      </c>
      <c r="E34">
        <v>19</v>
      </c>
      <c r="F34">
        <v>17</v>
      </c>
      <c r="I34">
        <v>6033</v>
      </c>
      <c r="S34">
        <v>5864</v>
      </c>
      <c r="AC34">
        <v>6669</v>
      </c>
    </row>
    <row r="35" spans="2:29" x14ac:dyDescent="0.25">
      <c r="B35" t="s">
        <v>178</v>
      </c>
      <c r="C35">
        <v>6430.89</v>
      </c>
      <c r="D35">
        <v>5281.6</v>
      </c>
      <c r="E35">
        <v>5497.05</v>
      </c>
      <c r="F35">
        <v>2583.9411764705883</v>
      </c>
      <c r="I35">
        <v>6738</v>
      </c>
      <c r="S35">
        <v>5693</v>
      </c>
      <c r="AC35">
        <v>4948</v>
      </c>
    </row>
    <row r="36" spans="2:29" x14ac:dyDescent="0.25">
      <c r="I36">
        <v>7448</v>
      </c>
      <c r="S36">
        <v>4505</v>
      </c>
      <c r="AC36">
        <v>2885</v>
      </c>
    </row>
    <row r="37" spans="2:29" x14ac:dyDescent="0.25">
      <c r="I37">
        <v>4623</v>
      </c>
      <c r="S37">
        <v>5847</v>
      </c>
      <c r="AC37">
        <v>4259</v>
      </c>
    </row>
    <row r="38" spans="2:29" x14ac:dyDescent="0.25">
      <c r="I38">
        <v>5477</v>
      </c>
      <c r="S38">
        <v>4803</v>
      </c>
      <c r="AC38">
        <v>4973</v>
      </c>
    </row>
    <row r="39" spans="2:29" x14ac:dyDescent="0.25">
      <c r="I39">
        <v>4847</v>
      </c>
      <c r="S39">
        <v>5552</v>
      </c>
      <c r="AC39">
        <v>5376</v>
      </c>
    </row>
    <row r="40" spans="2:29" x14ac:dyDescent="0.25">
      <c r="B40" t="s">
        <v>179</v>
      </c>
      <c r="C40" t="s">
        <v>116</v>
      </c>
      <c r="D40" t="s">
        <v>117</v>
      </c>
      <c r="E40" t="s">
        <v>118</v>
      </c>
      <c r="F40" t="s">
        <v>119</v>
      </c>
      <c r="I40">
        <v>4973</v>
      </c>
      <c r="S40">
        <v>3975</v>
      </c>
      <c r="AC40">
        <v>4616</v>
      </c>
    </row>
    <row r="41" spans="2:29" x14ac:dyDescent="0.25">
      <c r="B41" t="s">
        <v>177</v>
      </c>
      <c r="C41">
        <v>19</v>
      </c>
      <c r="D41">
        <v>20</v>
      </c>
      <c r="E41">
        <v>18</v>
      </c>
      <c r="F41">
        <v>17</v>
      </c>
      <c r="I41">
        <v>7057</v>
      </c>
      <c r="S41">
        <v>4641</v>
      </c>
      <c r="AC41">
        <v>4881</v>
      </c>
    </row>
    <row r="42" spans="2:29" x14ac:dyDescent="0.25">
      <c r="I42">
        <v>7448</v>
      </c>
      <c r="S42">
        <v>3995</v>
      </c>
      <c r="AC42">
        <v>5563</v>
      </c>
    </row>
    <row r="43" spans="2:29" x14ac:dyDescent="0.25">
      <c r="I43">
        <v>5617</v>
      </c>
      <c r="S43">
        <v>6318</v>
      </c>
      <c r="AC43">
        <v>6596</v>
      </c>
    </row>
    <row r="44" spans="2:29" x14ac:dyDescent="0.25">
      <c r="I44">
        <v>6809</v>
      </c>
      <c r="S44">
        <v>5705</v>
      </c>
      <c r="AC44">
        <v>5452</v>
      </c>
    </row>
    <row r="45" spans="2:29" x14ac:dyDescent="0.25">
      <c r="B45" t="s">
        <v>179</v>
      </c>
      <c r="C45" t="s">
        <v>116</v>
      </c>
      <c r="D45" t="s">
        <v>117</v>
      </c>
      <c r="E45" t="s">
        <v>118</v>
      </c>
      <c r="F45" t="s">
        <v>119</v>
      </c>
      <c r="I45">
        <v>5044</v>
      </c>
      <c r="S45">
        <v>3465</v>
      </c>
      <c r="AC45">
        <v>6646</v>
      </c>
    </row>
    <row r="46" spans="2:29" x14ac:dyDescent="0.25">
      <c r="B46" t="s">
        <v>178</v>
      </c>
      <c r="C46">
        <v>6430.89</v>
      </c>
      <c r="D46">
        <v>5281.6</v>
      </c>
      <c r="E46">
        <v>5497.05</v>
      </c>
      <c r="F46">
        <v>2583.9411764705883</v>
      </c>
      <c r="I46">
        <v>6442</v>
      </c>
      <c r="S46">
        <v>5879</v>
      </c>
      <c r="AC46">
        <v>6126</v>
      </c>
    </row>
    <row r="47" spans="2:29" x14ac:dyDescent="0.25">
      <c r="I47">
        <v>7391</v>
      </c>
      <c r="S47">
        <v>7579</v>
      </c>
      <c r="AC47">
        <v>6724</v>
      </c>
    </row>
    <row r="48" spans="2:29" x14ac:dyDescent="0.25">
      <c r="I48">
        <v>5881</v>
      </c>
      <c r="S48">
        <v>5645</v>
      </c>
      <c r="AC48">
        <v>4117</v>
      </c>
    </row>
    <row r="49" spans="8:30" x14ac:dyDescent="0.25">
      <c r="I49">
        <v>6296</v>
      </c>
      <c r="S49">
        <v>6971</v>
      </c>
      <c r="AC49">
        <v>4719</v>
      </c>
    </row>
    <row r="50" spans="8:30" x14ac:dyDescent="0.25">
      <c r="I50">
        <v>4498</v>
      </c>
      <c r="S50">
        <v>5717</v>
      </c>
      <c r="AC50" s="5">
        <f>SUM(AC31:AC49)</f>
        <v>98947</v>
      </c>
    </row>
    <row r="51" spans="8:30" x14ac:dyDescent="0.25">
      <c r="I51" s="2">
        <f>SUM(I31:I50)</f>
        <v>122187</v>
      </c>
      <c r="J51" s="4">
        <v>19</v>
      </c>
      <c r="S51" s="5">
        <f>SUM(S31:S50)</f>
        <v>105632</v>
      </c>
      <c r="T51">
        <v>20</v>
      </c>
      <c r="AB51" s="9">
        <f>AC51/AD51</f>
        <v>5497.0555555555557</v>
      </c>
      <c r="AC51">
        <v>98947</v>
      </c>
      <c r="AD51">
        <v>18</v>
      </c>
    </row>
    <row r="52" spans="8:30" x14ac:dyDescent="0.25">
      <c r="H52" s="5">
        <f>I52/J52</f>
        <v>6430.894736842105</v>
      </c>
      <c r="I52">
        <v>122187</v>
      </c>
      <c r="J52">
        <v>19</v>
      </c>
      <c r="R52">
        <f>S52/T52</f>
        <v>5281.6</v>
      </c>
      <c r="S52">
        <v>105632</v>
      </c>
      <c r="T52">
        <v>20</v>
      </c>
    </row>
    <row r="53" spans="8:30" x14ac:dyDescent="0.25">
      <c r="AB53">
        <v>5497.05</v>
      </c>
    </row>
    <row r="54" spans="8:30" x14ac:dyDescent="0.25">
      <c r="H54">
        <v>6430.89</v>
      </c>
      <c r="R54">
        <v>5281.6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"/>
  <sheetViews>
    <sheetView topLeftCell="Q1" workbookViewId="0">
      <selection activeCell="AB3" sqref="AB3"/>
    </sheetView>
  </sheetViews>
  <sheetFormatPr baseColWidth="10" defaultRowHeight="15" x14ac:dyDescent="0.25"/>
  <cols>
    <col min="1" max="1" width="15.85546875" customWidth="1"/>
    <col min="7" max="7" width="17.85546875" customWidth="1"/>
    <col min="8" max="8" width="18.7109375" customWidth="1"/>
    <col min="10" max="10" width="17" customWidth="1"/>
    <col min="16" max="16" width="18.140625" customWidth="1"/>
    <col min="17" max="17" width="15.85546875" customWidth="1"/>
    <col min="19" max="19" width="12.140625" bestFit="1" customWidth="1"/>
    <col min="24" max="24" width="19" customWidth="1"/>
    <col min="25" max="25" width="18.85546875" customWidth="1"/>
    <col min="27" max="27" width="18.7109375" customWidth="1"/>
    <col min="32" max="32" width="17.42578125" customWidth="1"/>
    <col min="33" max="34" width="17" customWidth="1"/>
    <col min="36" max="36" width="19.140625" customWidth="1"/>
    <col min="42" max="42" width="17.42578125" customWidth="1"/>
    <col min="43" max="43" width="14.28515625" customWidth="1"/>
    <col min="45" max="45" width="17.28515625" customWidth="1"/>
    <col min="51" max="51" width="19.85546875" customWidth="1"/>
    <col min="52" max="52" width="17.140625" customWidth="1"/>
  </cols>
  <sheetData>
    <row r="1" spans="1:52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53</v>
      </c>
      <c r="F1" s="2" t="s">
        <v>177</v>
      </c>
      <c r="G1" s="2" t="s">
        <v>56</v>
      </c>
      <c r="H1" s="2" t="s">
        <v>57</v>
      </c>
      <c r="J1" s="1" t="s">
        <v>30</v>
      </c>
      <c r="K1" s="2" t="s">
        <v>0</v>
      </c>
      <c r="L1" s="2" t="s">
        <v>1</v>
      </c>
      <c r="M1" s="2" t="s">
        <v>2</v>
      </c>
      <c r="N1" s="2" t="s">
        <v>53</v>
      </c>
      <c r="O1" s="2" t="s">
        <v>177</v>
      </c>
      <c r="P1" s="2" t="s">
        <v>56</v>
      </c>
      <c r="Q1" s="2" t="s">
        <v>57</v>
      </c>
      <c r="S1" s="1" t="s">
        <v>30</v>
      </c>
      <c r="T1" s="2" t="s">
        <v>0</v>
      </c>
      <c r="U1" s="2" t="s">
        <v>1</v>
      </c>
      <c r="V1" s="2" t="s">
        <v>2</v>
      </c>
      <c r="W1" s="2" t="s">
        <v>53</v>
      </c>
      <c r="X1" s="2" t="s">
        <v>56</v>
      </c>
      <c r="Y1" s="2" t="s">
        <v>57</v>
      </c>
      <c r="AA1" s="1" t="s">
        <v>30</v>
      </c>
      <c r="AB1" s="2" t="s">
        <v>0</v>
      </c>
      <c r="AC1" s="2" t="s">
        <v>1</v>
      </c>
      <c r="AD1" s="2" t="s">
        <v>2</v>
      </c>
      <c r="AE1" s="2" t="s">
        <v>464</v>
      </c>
      <c r="AF1" s="2" t="s">
        <v>56</v>
      </c>
      <c r="AG1" s="2" t="s">
        <v>57</v>
      </c>
      <c r="AH1" s="2"/>
      <c r="AJ1" s="1" t="s">
        <v>30</v>
      </c>
      <c r="AK1" s="2" t="s">
        <v>0</v>
      </c>
      <c r="AL1" s="2" t="s">
        <v>1</v>
      </c>
      <c r="AM1" s="2" t="s">
        <v>2</v>
      </c>
      <c r="AN1" s="2" t="s">
        <v>53</v>
      </c>
      <c r="AO1" s="2" t="s">
        <v>177</v>
      </c>
      <c r="AP1" s="2" t="s">
        <v>56</v>
      </c>
      <c r="AQ1" s="2" t="s">
        <v>57</v>
      </c>
      <c r="AS1" s="1" t="s">
        <v>30</v>
      </c>
      <c r="AT1" s="2" t="s">
        <v>0</v>
      </c>
      <c r="AU1" s="2" t="s">
        <v>1</v>
      </c>
      <c r="AV1" s="2" t="s">
        <v>2</v>
      </c>
      <c r="AW1" s="2" t="s">
        <v>53</v>
      </c>
      <c r="AX1" s="2" t="s">
        <v>177</v>
      </c>
      <c r="AY1" s="2" t="s">
        <v>56</v>
      </c>
      <c r="AZ1" s="2" t="s">
        <v>57</v>
      </c>
    </row>
    <row r="2" spans="1:52" ht="15.75" x14ac:dyDescent="0.25">
      <c r="A2" s="3" t="s">
        <v>8</v>
      </c>
      <c r="B2">
        <v>1</v>
      </c>
      <c r="C2">
        <v>1</v>
      </c>
      <c r="D2">
        <v>1</v>
      </c>
      <c r="E2" t="s">
        <v>184</v>
      </c>
      <c r="F2">
        <v>2</v>
      </c>
      <c r="G2">
        <v>0</v>
      </c>
      <c r="H2">
        <v>0</v>
      </c>
      <c r="J2" s="3" t="s">
        <v>242</v>
      </c>
      <c r="K2">
        <v>1</v>
      </c>
      <c r="L2">
        <v>2</v>
      </c>
      <c r="M2">
        <v>1</v>
      </c>
      <c r="N2" t="s">
        <v>208</v>
      </c>
      <c r="O2">
        <v>2</v>
      </c>
      <c r="P2">
        <v>1</v>
      </c>
      <c r="Q2">
        <v>3720</v>
      </c>
      <c r="S2" s="3" t="s">
        <v>118</v>
      </c>
      <c r="T2">
        <v>2</v>
      </c>
      <c r="U2">
        <v>3</v>
      </c>
      <c r="V2">
        <v>1</v>
      </c>
      <c r="W2" t="s">
        <v>243</v>
      </c>
      <c r="X2">
        <v>0</v>
      </c>
      <c r="Y2">
        <v>4642</v>
      </c>
      <c r="AA2" s="3" t="s">
        <v>119</v>
      </c>
      <c r="AB2">
        <v>2</v>
      </c>
      <c r="AC2">
        <v>4</v>
      </c>
      <c r="AD2">
        <v>1</v>
      </c>
      <c r="AE2" t="s">
        <v>261</v>
      </c>
      <c r="AF2">
        <v>0</v>
      </c>
      <c r="AG2">
        <v>2916</v>
      </c>
      <c r="AJ2" s="3" t="s">
        <v>300</v>
      </c>
      <c r="AK2">
        <v>2</v>
      </c>
      <c r="AL2">
        <v>5</v>
      </c>
      <c r="AM2">
        <v>1</v>
      </c>
      <c r="AN2" t="s">
        <v>247</v>
      </c>
      <c r="AO2">
        <v>1</v>
      </c>
      <c r="AP2">
        <v>1</v>
      </c>
      <c r="AQ2">
        <v>2628</v>
      </c>
      <c r="AS2" s="3" t="s">
        <v>301</v>
      </c>
      <c r="AT2">
        <v>1</v>
      </c>
      <c r="AU2">
        <v>6</v>
      </c>
      <c r="AV2">
        <v>1</v>
      </c>
      <c r="AW2" t="s">
        <v>187</v>
      </c>
      <c r="AX2">
        <v>2</v>
      </c>
      <c r="AY2">
        <v>1</v>
      </c>
      <c r="AZ2">
        <v>3862</v>
      </c>
    </row>
    <row r="3" spans="1:52" ht="15.75" x14ac:dyDescent="0.25">
      <c r="A3" s="1" t="s">
        <v>183</v>
      </c>
      <c r="D3">
        <v>2</v>
      </c>
      <c r="E3" t="s">
        <v>185</v>
      </c>
      <c r="F3">
        <v>1</v>
      </c>
      <c r="G3">
        <v>0</v>
      </c>
      <c r="H3">
        <v>4697</v>
      </c>
      <c r="J3" s="1" t="s">
        <v>183</v>
      </c>
      <c r="M3">
        <v>2</v>
      </c>
      <c r="N3" t="s">
        <v>196</v>
      </c>
      <c r="O3">
        <v>1</v>
      </c>
      <c r="P3">
        <v>1</v>
      </c>
      <c r="Q3">
        <v>5079</v>
      </c>
      <c r="S3" s="1" t="s">
        <v>183</v>
      </c>
      <c r="V3">
        <v>2</v>
      </c>
      <c r="W3" t="s">
        <v>244</v>
      </c>
      <c r="X3">
        <v>0</v>
      </c>
      <c r="Y3">
        <v>4934</v>
      </c>
      <c r="AA3" s="1" t="s">
        <v>183</v>
      </c>
      <c r="AD3">
        <v>2</v>
      </c>
      <c r="AE3" t="s">
        <v>266</v>
      </c>
      <c r="AF3">
        <v>1</v>
      </c>
      <c r="AG3">
        <v>2810</v>
      </c>
      <c r="AJ3" s="1" t="s">
        <v>183</v>
      </c>
      <c r="AM3">
        <v>2</v>
      </c>
      <c r="AN3" t="s">
        <v>243</v>
      </c>
      <c r="AO3">
        <v>1</v>
      </c>
      <c r="AP3">
        <v>1</v>
      </c>
      <c r="AQ3">
        <v>2333</v>
      </c>
      <c r="AS3" s="1" t="s">
        <v>183</v>
      </c>
      <c r="AV3">
        <v>2</v>
      </c>
      <c r="AW3" t="s">
        <v>184</v>
      </c>
      <c r="AX3">
        <v>2</v>
      </c>
      <c r="AY3">
        <v>1</v>
      </c>
      <c r="AZ3">
        <v>3929</v>
      </c>
    </row>
    <row r="4" spans="1:52" ht="15.75" x14ac:dyDescent="0.25">
      <c r="A4" s="1" t="s">
        <v>88</v>
      </c>
      <c r="D4">
        <v>3</v>
      </c>
      <c r="E4" t="s">
        <v>186</v>
      </c>
      <c r="F4">
        <v>2</v>
      </c>
      <c r="G4">
        <v>0</v>
      </c>
      <c r="H4">
        <v>6687</v>
      </c>
      <c r="J4" s="10">
        <v>43374</v>
      </c>
      <c r="M4">
        <v>3</v>
      </c>
      <c r="N4" t="s">
        <v>199</v>
      </c>
      <c r="O4">
        <v>1</v>
      </c>
      <c r="P4">
        <v>1</v>
      </c>
      <c r="Q4">
        <v>4387</v>
      </c>
      <c r="S4" s="10">
        <v>43384</v>
      </c>
      <c r="V4">
        <v>3</v>
      </c>
      <c r="W4" t="s">
        <v>245</v>
      </c>
      <c r="X4">
        <v>0</v>
      </c>
      <c r="Y4">
        <v>4619</v>
      </c>
      <c r="AA4" s="10">
        <v>43493</v>
      </c>
      <c r="AD4">
        <v>3</v>
      </c>
      <c r="AE4" t="s">
        <v>255</v>
      </c>
      <c r="AF4">
        <v>0</v>
      </c>
      <c r="AG4">
        <v>3073</v>
      </c>
      <c r="AJ4" s="10">
        <v>43559</v>
      </c>
      <c r="AM4">
        <v>3</v>
      </c>
      <c r="AN4" t="s">
        <v>261</v>
      </c>
      <c r="AO4">
        <v>1</v>
      </c>
      <c r="AP4">
        <v>0</v>
      </c>
      <c r="AQ4">
        <v>2306</v>
      </c>
      <c r="AS4" s="10">
        <v>43580</v>
      </c>
      <c r="AV4">
        <v>3</v>
      </c>
      <c r="AW4" t="s">
        <v>200</v>
      </c>
      <c r="AX4">
        <v>1</v>
      </c>
      <c r="AY4">
        <v>0</v>
      </c>
      <c r="AZ4">
        <v>2951</v>
      </c>
    </row>
    <row r="5" spans="1:52" x14ac:dyDescent="0.25">
      <c r="D5">
        <v>4</v>
      </c>
      <c r="E5" t="s">
        <v>187</v>
      </c>
      <c r="F5">
        <v>2</v>
      </c>
      <c r="G5">
        <v>1</v>
      </c>
      <c r="H5">
        <v>5676</v>
      </c>
      <c r="M5">
        <v>4</v>
      </c>
      <c r="N5" t="s">
        <v>187</v>
      </c>
      <c r="O5">
        <v>2</v>
      </c>
      <c r="P5">
        <v>1</v>
      </c>
      <c r="Q5">
        <v>3337</v>
      </c>
      <c r="V5">
        <v>4</v>
      </c>
      <c r="W5" t="s">
        <v>246</v>
      </c>
      <c r="X5">
        <v>1</v>
      </c>
      <c r="Y5">
        <v>4865</v>
      </c>
      <c r="AD5">
        <v>4</v>
      </c>
      <c r="AE5" t="s">
        <v>258</v>
      </c>
      <c r="AF5">
        <v>1</v>
      </c>
      <c r="AG5">
        <v>2801</v>
      </c>
      <c r="AM5">
        <v>4</v>
      </c>
      <c r="AN5" t="s">
        <v>268</v>
      </c>
      <c r="AO5">
        <v>1</v>
      </c>
      <c r="AP5">
        <v>0</v>
      </c>
      <c r="AQ5">
        <v>2569</v>
      </c>
      <c r="AV5">
        <v>4</v>
      </c>
      <c r="AW5" t="s">
        <v>196</v>
      </c>
      <c r="AX5">
        <v>1</v>
      </c>
      <c r="AY5">
        <v>0</v>
      </c>
      <c r="AZ5">
        <v>5097</v>
      </c>
    </row>
    <row r="6" spans="1:52" x14ac:dyDescent="0.25">
      <c r="D6">
        <v>5</v>
      </c>
      <c r="E6" t="s">
        <v>188</v>
      </c>
      <c r="F6">
        <v>1</v>
      </c>
      <c r="G6">
        <v>1</v>
      </c>
      <c r="H6">
        <v>3823</v>
      </c>
      <c r="M6">
        <v>5</v>
      </c>
      <c r="N6" t="s">
        <v>184</v>
      </c>
      <c r="O6">
        <v>2</v>
      </c>
      <c r="P6">
        <v>1</v>
      </c>
      <c r="Q6">
        <v>4511</v>
      </c>
      <c r="V6">
        <v>5</v>
      </c>
      <c r="W6" t="s">
        <v>247</v>
      </c>
      <c r="X6">
        <v>1</v>
      </c>
      <c r="Y6">
        <v>4993</v>
      </c>
      <c r="AD6">
        <v>5</v>
      </c>
      <c r="AE6" t="s">
        <v>248</v>
      </c>
      <c r="AF6">
        <v>0</v>
      </c>
      <c r="AG6">
        <v>3819</v>
      </c>
      <c r="AM6">
        <v>5</v>
      </c>
      <c r="AN6" t="s">
        <v>259</v>
      </c>
      <c r="AO6">
        <v>2</v>
      </c>
      <c r="AP6">
        <v>0</v>
      </c>
      <c r="AQ6">
        <v>2779</v>
      </c>
      <c r="AV6">
        <v>5</v>
      </c>
      <c r="AW6" t="s">
        <v>189</v>
      </c>
      <c r="AX6">
        <v>1</v>
      </c>
      <c r="AY6">
        <v>0</v>
      </c>
      <c r="AZ6">
        <v>4369</v>
      </c>
    </row>
    <row r="7" spans="1:52" x14ac:dyDescent="0.25">
      <c r="D7">
        <v>6</v>
      </c>
      <c r="E7" t="s">
        <v>189</v>
      </c>
      <c r="F7">
        <v>1</v>
      </c>
      <c r="G7">
        <v>1</v>
      </c>
      <c r="H7">
        <v>4099</v>
      </c>
      <c r="M7">
        <v>6</v>
      </c>
      <c r="N7" t="s">
        <v>195</v>
      </c>
      <c r="O7">
        <v>2</v>
      </c>
      <c r="P7">
        <v>0</v>
      </c>
      <c r="Q7">
        <v>4486</v>
      </c>
      <c r="V7">
        <v>6</v>
      </c>
      <c r="W7" t="s">
        <v>248</v>
      </c>
      <c r="X7">
        <v>0</v>
      </c>
      <c r="Y7">
        <v>5657</v>
      </c>
      <c r="AD7">
        <v>6</v>
      </c>
      <c r="AE7" t="s">
        <v>245</v>
      </c>
      <c r="AF7">
        <v>0</v>
      </c>
      <c r="AG7">
        <v>4296</v>
      </c>
      <c r="AM7">
        <v>6</v>
      </c>
      <c r="AN7" t="s">
        <v>251</v>
      </c>
      <c r="AO7">
        <v>2</v>
      </c>
      <c r="AP7">
        <v>1</v>
      </c>
      <c r="AQ7">
        <v>2992</v>
      </c>
      <c r="AV7">
        <v>6</v>
      </c>
      <c r="AW7" t="s">
        <v>188</v>
      </c>
      <c r="AX7">
        <v>1</v>
      </c>
      <c r="AY7">
        <v>1</v>
      </c>
      <c r="AZ7">
        <v>3778</v>
      </c>
    </row>
    <row r="8" spans="1:52" x14ac:dyDescent="0.25">
      <c r="D8">
        <v>7</v>
      </c>
      <c r="E8" t="s">
        <v>190</v>
      </c>
      <c r="F8">
        <v>1</v>
      </c>
      <c r="G8">
        <v>0</v>
      </c>
      <c r="H8">
        <v>5323</v>
      </c>
      <c r="M8">
        <v>7</v>
      </c>
      <c r="N8" t="s">
        <v>205</v>
      </c>
      <c r="O8">
        <v>1</v>
      </c>
      <c r="P8">
        <v>1</v>
      </c>
      <c r="Q8">
        <v>4545</v>
      </c>
      <c r="V8">
        <v>7</v>
      </c>
      <c r="W8" t="s">
        <v>249</v>
      </c>
      <c r="X8">
        <v>0</v>
      </c>
      <c r="Y8">
        <v>4659</v>
      </c>
      <c r="AD8">
        <v>7</v>
      </c>
      <c r="AE8" t="s">
        <v>264</v>
      </c>
      <c r="AF8">
        <v>1</v>
      </c>
      <c r="AG8">
        <v>3507</v>
      </c>
      <c r="AM8">
        <v>7</v>
      </c>
      <c r="AN8" t="s">
        <v>262</v>
      </c>
      <c r="AO8">
        <v>2</v>
      </c>
      <c r="AP8">
        <v>0</v>
      </c>
      <c r="AQ8">
        <v>2573</v>
      </c>
      <c r="AV8">
        <v>7</v>
      </c>
      <c r="AW8" t="s">
        <v>194</v>
      </c>
      <c r="AX8">
        <v>2</v>
      </c>
      <c r="AY8">
        <v>1</v>
      </c>
      <c r="AZ8">
        <v>3296</v>
      </c>
    </row>
    <row r="9" spans="1:52" x14ac:dyDescent="0.25">
      <c r="D9">
        <v>8</v>
      </c>
      <c r="E9" t="s">
        <v>191</v>
      </c>
      <c r="F9">
        <v>2</v>
      </c>
      <c r="G9">
        <v>1</v>
      </c>
      <c r="H9">
        <v>5230</v>
      </c>
      <c r="M9">
        <v>8</v>
      </c>
      <c r="N9" t="s">
        <v>206</v>
      </c>
      <c r="O9">
        <v>2</v>
      </c>
      <c r="P9">
        <v>1</v>
      </c>
      <c r="Q9">
        <v>4557</v>
      </c>
      <c r="V9">
        <v>8</v>
      </c>
      <c r="W9" t="s">
        <v>250</v>
      </c>
      <c r="X9">
        <v>1</v>
      </c>
      <c r="Y9">
        <v>5425</v>
      </c>
      <c r="AD9">
        <v>8</v>
      </c>
      <c r="AE9" t="s">
        <v>251</v>
      </c>
      <c r="AF9">
        <v>0</v>
      </c>
      <c r="AG9">
        <v>3208</v>
      </c>
      <c r="AM9">
        <v>8</v>
      </c>
      <c r="AN9" t="s">
        <v>250</v>
      </c>
      <c r="AO9">
        <v>2</v>
      </c>
      <c r="AP9">
        <v>1</v>
      </c>
      <c r="AQ9">
        <v>3314</v>
      </c>
      <c r="AV9">
        <v>8</v>
      </c>
      <c r="AW9" t="s">
        <v>207</v>
      </c>
      <c r="AX9">
        <v>1</v>
      </c>
      <c r="AY9">
        <v>1</v>
      </c>
      <c r="AZ9">
        <v>3903</v>
      </c>
    </row>
    <row r="10" spans="1:52" x14ac:dyDescent="0.25">
      <c r="D10">
        <v>9</v>
      </c>
      <c r="E10" t="s">
        <v>192</v>
      </c>
      <c r="F10">
        <v>1</v>
      </c>
      <c r="G10">
        <v>0</v>
      </c>
      <c r="H10">
        <v>5386</v>
      </c>
      <c r="M10">
        <v>9</v>
      </c>
      <c r="N10" t="s">
        <v>192</v>
      </c>
      <c r="O10">
        <v>1</v>
      </c>
      <c r="P10">
        <v>0</v>
      </c>
      <c r="Q10">
        <v>3610</v>
      </c>
      <c r="V10">
        <v>9</v>
      </c>
      <c r="W10" t="s">
        <v>251</v>
      </c>
      <c r="X10">
        <v>0</v>
      </c>
      <c r="Y10">
        <v>5593</v>
      </c>
      <c r="AD10">
        <v>9</v>
      </c>
      <c r="AE10" t="s">
        <v>267</v>
      </c>
      <c r="AF10">
        <v>1</v>
      </c>
      <c r="AG10">
        <v>3585</v>
      </c>
      <c r="AM10">
        <v>9</v>
      </c>
      <c r="AN10" t="s">
        <v>246</v>
      </c>
      <c r="AO10">
        <v>1</v>
      </c>
      <c r="AP10">
        <v>1</v>
      </c>
      <c r="AQ10">
        <v>3986</v>
      </c>
      <c r="AV10">
        <v>9</v>
      </c>
      <c r="AW10" t="s">
        <v>190</v>
      </c>
      <c r="AX10">
        <v>1</v>
      </c>
      <c r="AY10">
        <v>0</v>
      </c>
      <c r="AZ10">
        <v>3868</v>
      </c>
    </row>
    <row r="11" spans="1:52" x14ac:dyDescent="0.25">
      <c r="D11">
        <v>10</v>
      </c>
      <c r="E11" t="s">
        <v>193</v>
      </c>
      <c r="F11">
        <v>1</v>
      </c>
      <c r="G11">
        <v>1</v>
      </c>
      <c r="H11">
        <v>4030</v>
      </c>
      <c r="M11">
        <v>10</v>
      </c>
      <c r="N11" t="s">
        <v>197</v>
      </c>
      <c r="O11">
        <v>2</v>
      </c>
      <c r="P11">
        <v>0</v>
      </c>
      <c r="Q11">
        <v>4631</v>
      </c>
      <c r="V11">
        <v>10</v>
      </c>
      <c r="W11" t="s">
        <v>252</v>
      </c>
      <c r="X11">
        <v>1</v>
      </c>
      <c r="Y11">
        <v>7031</v>
      </c>
      <c r="AD11">
        <v>10</v>
      </c>
      <c r="AE11" t="s">
        <v>244</v>
      </c>
      <c r="AF11">
        <v>0</v>
      </c>
      <c r="AG11">
        <v>3151</v>
      </c>
      <c r="AM11">
        <v>10</v>
      </c>
      <c r="AN11" t="s">
        <v>260</v>
      </c>
      <c r="AO11">
        <v>2</v>
      </c>
      <c r="AP11">
        <v>1</v>
      </c>
      <c r="AQ11">
        <v>3335</v>
      </c>
      <c r="AV11">
        <v>10</v>
      </c>
      <c r="AW11" t="s">
        <v>201</v>
      </c>
      <c r="AX11">
        <v>1</v>
      </c>
      <c r="AY11">
        <v>1</v>
      </c>
      <c r="AZ11">
        <v>4411</v>
      </c>
    </row>
    <row r="12" spans="1:52" x14ac:dyDescent="0.25">
      <c r="D12">
        <v>11</v>
      </c>
      <c r="E12" t="s">
        <v>194</v>
      </c>
      <c r="F12">
        <v>2</v>
      </c>
      <c r="G12">
        <v>1</v>
      </c>
      <c r="H12">
        <v>4675</v>
      </c>
      <c r="M12">
        <v>11</v>
      </c>
      <c r="N12" t="s">
        <v>188</v>
      </c>
      <c r="O12">
        <v>1</v>
      </c>
      <c r="P12">
        <v>0</v>
      </c>
      <c r="Q12">
        <v>4409</v>
      </c>
      <c r="V12">
        <v>11</v>
      </c>
      <c r="W12" t="s">
        <v>253</v>
      </c>
      <c r="X12">
        <v>0</v>
      </c>
      <c r="Y12">
        <v>6561</v>
      </c>
      <c r="AD12">
        <v>11</v>
      </c>
      <c r="AE12" t="s">
        <v>252</v>
      </c>
      <c r="AF12">
        <v>0</v>
      </c>
      <c r="AG12">
        <v>3249</v>
      </c>
      <c r="AM12">
        <v>11</v>
      </c>
      <c r="AN12" t="s">
        <v>263</v>
      </c>
      <c r="AO12">
        <v>2</v>
      </c>
      <c r="AP12">
        <v>0</v>
      </c>
      <c r="AQ12">
        <v>3349</v>
      </c>
      <c r="AV12">
        <v>11</v>
      </c>
      <c r="AW12" t="s">
        <v>204</v>
      </c>
      <c r="AX12">
        <v>2</v>
      </c>
      <c r="AY12">
        <v>0</v>
      </c>
      <c r="AZ12">
        <v>4268</v>
      </c>
    </row>
    <row r="13" spans="1:52" x14ac:dyDescent="0.25">
      <c r="D13">
        <v>12</v>
      </c>
      <c r="E13" t="s">
        <v>195</v>
      </c>
      <c r="F13">
        <v>2</v>
      </c>
      <c r="G13">
        <v>0</v>
      </c>
      <c r="H13">
        <v>6534</v>
      </c>
      <c r="M13">
        <v>12</v>
      </c>
      <c r="N13" t="s">
        <v>185</v>
      </c>
      <c r="O13">
        <v>1</v>
      </c>
      <c r="P13">
        <v>0</v>
      </c>
      <c r="Q13">
        <v>6322</v>
      </c>
      <c r="V13">
        <v>12</v>
      </c>
      <c r="W13" t="s">
        <v>254</v>
      </c>
      <c r="X13">
        <v>1</v>
      </c>
      <c r="Y13">
        <v>6869</v>
      </c>
      <c r="AD13">
        <v>12</v>
      </c>
      <c r="AE13" t="s">
        <v>247</v>
      </c>
      <c r="AF13">
        <v>1</v>
      </c>
      <c r="AG13">
        <v>3560</v>
      </c>
      <c r="AM13">
        <v>12</v>
      </c>
      <c r="AN13" t="s">
        <v>267</v>
      </c>
      <c r="AO13">
        <v>1</v>
      </c>
      <c r="AP13">
        <v>1</v>
      </c>
      <c r="AQ13">
        <v>2808</v>
      </c>
      <c r="AV13">
        <v>12</v>
      </c>
      <c r="AW13" t="s">
        <v>202</v>
      </c>
      <c r="AX13">
        <v>1</v>
      </c>
      <c r="AY13">
        <v>0</v>
      </c>
      <c r="AZ13">
        <v>4979</v>
      </c>
    </row>
    <row r="14" spans="1:52" x14ac:dyDescent="0.25">
      <c r="D14">
        <v>13</v>
      </c>
      <c r="E14" t="s">
        <v>196</v>
      </c>
      <c r="F14">
        <v>1</v>
      </c>
      <c r="G14">
        <v>0</v>
      </c>
      <c r="H14">
        <v>0</v>
      </c>
      <c r="M14">
        <v>13</v>
      </c>
      <c r="N14" t="s">
        <v>190</v>
      </c>
      <c r="O14">
        <v>1</v>
      </c>
      <c r="P14">
        <v>0</v>
      </c>
      <c r="Q14">
        <v>5682</v>
      </c>
      <c r="V14">
        <v>13</v>
      </c>
      <c r="W14" t="s">
        <v>255</v>
      </c>
      <c r="X14">
        <v>0</v>
      </c>
      <c r="Y14">
        <v>5489</v>
      </c>
      <c r="AD14">
        <v>13</v>
      </c>
      <c r="AE14" t="s">
        <v>250</v>
      </c>
      <c r="AF14">
        <v>1</v>
      </c>
      <c r="AG14">
        <v>3530</v>
      </c>
      <c r="AM14">
        <v>13</v>
      </c>
      <c r="AN14" t="s">
        <v>258</v>
      </c>
      <c r="AO14">
        <v>2</v>
      </c>
      <c r="AP14">
        <v>1</v>
      </c>
      <c r="AQ14">
        <v>2931</v>
      </c>
      <c r="AV14">
        <v>13</v>
      </c>
      <c r="AW14" t="s">
        <v>185</v>
      </c>
      <c r="AX14">
        <v>1</v>
      </c>
      <c r="AY14">
        <v>1</v>
      </c>
      <c r="AZ14">
        <v>5122</v>
      </c>
    </row>
    <row r="15" spans="1:52" x14ac:dyDescent="0.25">
      <c r="D15">
        <v>14</v>
      </c>
      <c r="E15" t="s">
        <v>197</v>
      </c>
      <c r="F15">
        <v>2</v>
      </c>
      <c r="G15">
        <v>1</v>
      </c>
      <c r="H15">
        <v>5741</v>
      </c>
      <c r="M15">
        <v>14</v>
      </c>
      <c r="N15" t="s">
        <v>204</v>
      </c>
      <c r="O15">
        <v>2</v>
      </c>
      <c r="P15">
        <v>0</v>
      </c>
      <c r="Q15">
        <v>4403</v>
      </c>
      <c r="V15">
        <v>14</v>
      </c>
      <c r="W15" t="s">
        <v>256</v>
      </c>
      <c r="X15">
        <v>0</v>
      </c>
      <c r="Y15">
        <v>6260</v>
      </c>
      <c r="AD15">
        <v>14</v>
      </c>
      <c r="AE15" t="s">
        <v>254</v>
      </c>
      <c r="AF15">
        <v>1</v>
      </c>
      <c r="AG15">
        <v>3001</v>
      </c>
      <c r="AM15">
        <v>14</v>
      </c>
      <c r="AN15" t="s">
        <v>256</v>
      </c>
      <c r="AO15">
        <v>2</v>
      </c>
      <c r="AP15">
        <v>1</v>
      </c>
      <c r="AQ15">
        <v>2643</v>
      </c>
      <c r="AV15">
        <v>14</v>
      </c>
      <c r="AW15" t="s">
        <v>191</v>
      </c>
      <c r="AX15">
        <v>2</v>
      </c>
      <c r="AY15">
        <v>0</v>
      </c>
      <c r="AZ15">
        <v>3812</v>
      </c>
    </row>
    <row r="16" spans="1:52" x14ac:dyDescent="0.25">
      <c r="D16">
        <v>15</v>
      </c>
      <c r="E16" t="s">
        <v>198</v>
      </c>
      <c r="F16">
        <v>2</v>
      </c>
      <c r="G16">
        <v>1</v>
      </c>
      <c r="H16">
        <v>6104</v>
      </c>
      <c r="M16">
        <v>15</v>
      </c>
      <c r="N16" t="s">
        <v>186</v>
      </c>
      <c r="O16">
        <v>2</v>
      </c>
      <c r="P16">
        <v>1</v>
      </c>
      <c r="Q16">
        <v>6364</v>
      </c>
      <c r="V16">
        <v>15</v>
      </c>
      <c r="W16" t="s">
        <v>257</v>
      </c>
      <c r="X16">
        <v>0</v>
      </c>
      <c r="Y16">
        <v>5496</v>
      </c>
      <c r="AD16">
        <v>15</v>
      </c>
      <c r="AE16" t="s">
        <v>249</v>
      </c>
      <c r="AF16">
        <v>0</v>
      </c>
      <c r="AG16">
        <v>3618</v>
      </c>
      <c r="AM16">
        <v>15</v>
      </c>
      <c r="AN16" t="s">
        <v>255</v>
      </c>
      <c r="AO16">
        <v>2</v>
      </c>
      <c r="AP16">
        <v>0</v>
      </c>
      <c r="AQ16">
        <v>2918</v>
      </c>
      <c r="AV16">
        <v>15</v>
      </c>
      <c r="AW16" t="s">
        <v>186</v>
      </c>
      <c r="AX16">
        <v>2</v>
      </c>
      <c r="AY16">
        <v>1</v>
      </c>
      <c r="AZ16">
        <v>5298</v>
      </c>
    </row>
    <row r="17" spans="4:52" x14ac:dyDescent="0.25">
      <c r="D17">
        <v>16</v>
      </c>
      <c r="E17" t="s">
        <v>199</v>
      </c>
      <c r="F17">
        <v>1</v>
      </c>
      <c r="G17">
        <v>1</v>
      </c>
      <c r="H17">
        <v>5589</v>
      </c>
      <c r="M17">
        <v>16</v>
      </c>
      <c r="N17" t="s">
        <v>209</v>
      </c>
      <c r="O17">
        <v>2</v>
      </c>
      <c r="P17">
        <v>0</v>
      </c>
      <c r="Q17">
        <v>5739</v>
      </c>
      <c r="V17">
        <v>16</v>
      </c>
      <c r="W17" t="s">
        <v>258</v>
      </c>
      <c r="X17">
        <v>0</v>
      </c>
      <c r="Y17">
        <v>6888</v>
      </c>
      <c r="AD17">
        <v>16</v>
      </c>
      <c r="AE17" t="s">
        <v>256</v>
      </c>
      <c r="AF17">
        <v>0</v>
      </c>
      <c r="AG17">
        <v>2664</v>
      </c>
      <c r="AM17">
        <v>16</v>
      </c>
      <c r="AN17" t="s">
        <v>249</v>
      </c>
      <c r="AO17">
        <v>1</v>
      </c>
      <c r="AP17">
        <v>0</v>
      </c>
      <c r="AQ17">
        <v>2700</v>
      </c>
      <c r="AV17">
        <v>16</v>
      </c>
      <c r="AW17" t="s">
        <v>197</v>
      </c>
      <c r="AX17">
        <v>2</v>
      </c>
      <c r="AY17">
        <v>0</v>
      </c>
      <c r="AZ17">
        <v>4436</v>
      </c>
    </row>
    <row r="18" spans="4:52" x14ac:dyDescent="0.25">
      <c r="D18">
        <v>17</v>
      </c>
      <c r="E18" t="s">
        <v>200</v>
      </c>
      <c r="F18">
        <v>1</v>
      </c>
      <c r="G18">
        <v>0</v>
      </c>
      <c r="H18">
        <v>6071</v>
      </c>
      <c r="M18">
        <v>17</v>
      </c>
      <c r="N18" t="s">
        <v>191</v>
      </c>
      <c r="O18">
        <v>2</v>
      </c>
      <c r="P18">
        <v>0</v>
      </c>
      <c r="Q18">
        <v>6417</v>
      </c>
      <c r="V18">
        <v>17</v>
      </c>
      <c r="W18" t="s">
        <v>259</v>
      </c>
      <c r="X18">
        <v>0</v>
      </c>
      <c r="Y18">
        <v>7696</v>
      </c>
      <c r="AD18">
        <v>17</v>
      </c>
      <c r="AE18" t="s">
        <v>265</v>
      </c>
      <c r="AF18">
        <v>0</v>
      </c>
      <c r="AG18">
        <v>2855</v>
      </c>
      <c r="AM18">
        <v>17</v>
      </c>
      <c r="AN18" t="s">
        <v>265</v>
      </c>
      <c r="AO18">
        <v>2</v>
      </c>
      <c r="AP18">
        <v>0</v>
      </c>
      <c r="AQ18">
        <v>2549</v>
      </c>
      <c r="AV18">
        <v>17</v>
      </c>
      <c r="AW18" t="s">
        <v>198</v>
      </c>
      <c r="AX18">
        <v>2</v>
      </c>
      <c r="AY18">
        <v>0</v>
      </c>
      <c r="AZ18">
        <v>5264</v>
      </c>
    </row>
    <row r="19" spans="4:52" x14ac:dyDescent="0.25">
      <c r="D19">
        <v>18</v>
      </c>
      <c r="E19" t="s">
        <v>201</v>
      </c>
      <c r="F19">
        <v>1</v>
      </c>
      <c r="G19">
        <v>1</v>
      </c>
      <c r="H19">
        <v>6514</v>
      </c>
      <c r="M19">
        <v>18</v>
      </c>
      <c r="N19" t="s">
        <v>200</v>
      </c>
      <c r="O19">
        <v>1</v>
      </c>
      <c r="P19">
        <v>0</v>
      </c>
      <c r="Q19">
        <v>6586</v>
      </c>
      <c r="V19">
        <v>18</v>
      </c>
      <c r="W19" t="s">
        <v>260</v>
      </c>
      <c r="X19">
        <v>0</v>
      </c>
      <c r="Y19">
        <v>6775</v>
      </c>
      <c r="AD19">
        <v>18</v>
      </c>
      <c r="AE19" t="s">
        <v>257</v>
      </c>
      <c r="AF19">
        <v>0</v>
      </c>
      <c r="AG19">
        <v>2667</v>
      </c>
      <c r="AM19">
        <v>18</v>
      </c>
      <c r="AN19" t="s">
        <v>257</v>
      </c>
      <c r="AO19">
        <v>1</v>
      </c>
      <c r="AP19">
        <v>0</v>
      </c>
      <c r="AQ19">
        <v>2091</v>
      </c>
      <c r="AV19">
        <v>18</v>
      </c>
      <c r="AW19" t="s">
        <v>205</v>
      </c>
      <c r="AX19">
        <v>1</v>
      </c>
      <c r="AY19">
        <v>1</v>
      </c>
      <c r="AZ19">
        <v>5522</v>
      </c>
    </row>
    <row r="20" spans="4:52" x14ac:dyDescent="0.25">
      <c r="D20">
        <v>19</v>
      </c>
      <c r="E20" t="s">
        <v>202</v>
      </c>
      <c r="F20">
        <v>1</v>
      </c>
      <c r="G20">
        <v>0</v>
      </c>
      <c r="H20">
        <v>7942</v>
      </c>
      <c r="M20">
        <v>19</v>
      </c>
      <c r="N20" t="s">
        <v>189</v>
      </c>
      <c r="O20">
        <v>1</v>
      </c>
      <c r="P20">
        <v>1</v>
      </c>
      <c r="Q20">
        <v>6332</v>
      </c>
      <c r="V20">
        <v>19</v>
      </c>
      <c r="W20" t="s">
        <v>261</v>
      </c>
      <c r="X20">
        <v>1</v>
      </c>
      <c r="Y20">
        <v>7489</v>
      </c>
      <c r="AD20">
        <v>19</v>
      </c>
      <c r="AE20" t="s">
        <v>268</v>
      </c>
      <c r="AF20">
        <v>0</v>
      </c>
      <c r="AG20">
        <v>4064</v>
      </c>
      <c r="AM20">
        <v>19</v>
      </c>
      <c r="AN20" t="s">
        <v>252</v>
      </c>
      <c r="AO20">
        <v>2</v>
      </c>
      <c r="AP20">
        <v>0</v>
      </c>
      <c r="AQ20">
        <v>2643</v>
      </c>
      <c r="AV20">
        <v>19</v>
      </c>
      <c r="AW20" t="s">
        <v>203</v>
      </c>
      <c r="AX20">
        <v>1</v>
      </c>
      <c r="AY20">
        <v>0</v>
      </c>
      <c r="AZ20">
        <v>3600</v>
      </c>
    </row>
    <row r="21" spans="4:52" x14ac:dyDescent="0.25">
      <c r="D21">
        <v>20</v>
      </c>
      <c r="E21" t="s">
        <v>203</v>
      </c>
      <c r="F21">
        <v>1</v>
      </c>
      <c r="G21">
        <v>0</v>
      </c>
      <c r="H21">
        <v>5143</v>
      </c>
      <c r="M21">
        <v>20</v>
      </c>
      <c r="N21" t="s">
        <v>201</v>
      </c>
      <c r="O21">
        <v>1</v>
      </c>
      <c r="P21">
        <v>1</v>
      </c>
      <c r="Q21">
        <v>5675</v>
      </c>
      <c r="V21">
        <v>20</v>
      </c>
      <c r="W21" t="s">
        <v>262</v>
      </c>
      <c r="X21">
        <v>1</v>
      </c>
      <c r="Y21">
        <v>5656</v>
      </c>
      <c r="AD21">
        <v>20</v>
      </c>
      <c r="AE21" t="s">
        <v>262</v>
      </c>
      <c r="AF21">
        <v>0</v>
      </c>
      <c r="AG21">
        <v>3654</v>
      </c>
      <c r="AM21">
        <v>20</v>
      </c>
      <c r="AN21" t="s">
        <v>253</v>
      </c>
      <c r="AO21">
        <v>1</v>
      </c>
      <c r="AP21">
        <v>0</v>
      </c>
      <c r="AQ21">
        <v>3014</v>
      </c>
      <c r="AV21">
        <v>20</v>
      </c>
      <c r="AW21" t="s">
        <v>193</v>
      </c>
      <c r="AX21">
        <v>1</v>
      </c>
      <c r="AY21">
        <v>0</v>
      </c>
      <c r="AZ21">
        <v>4779</v>
      </c>
    </row>
    <row r="22" spans="4:52" x14ac:dyDescent="0.25">
      <c r="D22">
        <v>21</v>
      </c>
      <c r="E22" t="s">
        <v>204</v>
      </c>
      <c r="F22">
        <v>2</v>
      </c>
      <c r="G22">
        <v>0</v>
      </c>
      <c r="H22">
        <v>0</v>
      </c>
      <c r="M22">
        <v>21</v>
      </c>
      <c r="N22" t="s">
        <v>193</v>
      </c>
      <c r="O22">
        <v>1</v>
      </c>
      <c r="P22">
        <v>0</v>
      </c>
      <c r="Q22">
        <v>7026</v>
      </c>
      <c r="V22">
        <v>21</v>
      </c>
      <c r="W22" t="s">
        <v>263</v>
      </c>
      <c r="X22">
        <v>0</v>
      </c>
      <c r="Y22">
        <v>7959</v>
      </c>
      <c r="AD22">
        <v>21</v>
      </c>
      <c r="AE22" t="s">
        <v>260</v>
      </c>
      <c r="AF22">
        <v>0</v>
      </c>
      <c r="AG22">
        <v>3791</v>
      </c>
      <c r="AM22">
        <v>21</v>
      </c>
      <c r="AN22" t="s">
        <v>244</v>
      </c>
      <c r="AO22">
        <v>1</v>
      </c>
      <c r="AP22">
        <v>0</v>
      </c>
      <c r="AQ22">
        <v>3150</v>
      </c>
      <c r="AV22">
        <v>21</v>
      </c>
      <c r="AW22" t="s">
        <v>192</v>
      </c>
      <c r="AX22">
        <v>1</v>
      </c>
      <c r="AY22">
        <v>0</v>
      </c>
      <c r="AZ22">
        <v>2638</v>
      </c>
    </row>
    <row r="23" spans="4:52" x14ac:dyDescent="0.25">
      <c r="D23">
        <v>22</v>
      </c>
      <c r="E23" t="s">
        <v>205</v>
      </c>
      <c r="F23">
        <v>1</v>
      </c>
      <c r="G23">
        <v>1</v>
      </c>
      <c r="H23">
        <v>4343</v>
      </c>
      <c r="M23">
        <v>22</v>
      </c>
      <c r="N23" t="s">
        <v>207</v>
      </c>
      <c r="O23">
        <v>1</v>
      </c>
      <c r="P23">
        <v>0</v>
      </c>
      <c r="Q23">
        <v>7227</v>
      </c>
      <c r="V23">
        <v>22</v>
      </c>
      <c r="W23" t="s">
        <v>264</v>
      </c>
      <c r="X23">
        <v>0</v>
      </c>
      <c r="Y23">
        <v>6852</v>
      </c>
      <c r="AD23">
        <v>22</v>
      </c>
      <c r="AE23" t="s">
        <v>243</v>
      </c>
      <c r="AF23">
        <v>0</v>
      </c>
      <c r="AG23">
        <v>3970</v>
      </c>
      <c r="AM23">
        <v>22</v>
      </c>
      <c r="AN23" t="s">
        <v>248</v>
      </c>
      <c r="AO23">
        <v>1</v>
      </c>
      <c r="AP23">
        <v>1</v>
      </c>
      <c r="AQ23">
        <v>2875</v>
      </c>
      <c r="AV23">
        <v>22</v>
      </c>
      <c r="AW23" t="s">
        <v>208</v>
      </c>
      <c r="AX23">
        <v>2</v>
      </c>
      <c r="AY23">
        <v>0</v>
      </c>
      <c r="AZ23">
        <v>4694</v>
      </c>
    </row>
    <row r="24" spans="4:52" x14ac:dyDescent="0.25">
      <c r="D24">
        <v>23</v>
      </c>
      <c r="E24" t="s">
        <v>206</v>
      </c>
      <c r="F24">
        <v>2</v>
      </c>
      <c r="G24">
        <v>0</v>
      </c>
      <c r="H24">
        <v>5096</v>
      </c>
      <c r="M24">
        <v>23</v>
      </c>
      <c r="N24" t="s">
        <v>198</v>
      </c>
      <c r="O24">
        <v>2</v>
      </c>
      <c r="P24">
        <v>0</v>
      </c>
      <c r="Q24">
        <v>7938</v>
      </c>
      <c r="V24">
        <v>23</v>
      </c>
      <c r="W24" t="s">
        <v>265</v>
      </c>
      <c r="X24">
        <v>0</v>
      </c>
      <c r="Y24">
        <v>4916</v>
      </c>
      <c r="AD24">
        <v>23</v>
      </c>
      <c r="AE24" t="s">
        <v>263</v>
      </c>
      <c r="AF24">
        <v>0</v>
      </c>
      <c r="AG24">
        <v>3528</v>
      </c>
      <c r="AM24">
        <v>23</v>
      </c>
      <c r="AN24" t="s">
        <v>264</v>
      </c>
      <c r="AO24">
        <v>2</v>
      </c>
      <c r="AP24">
        <v>1</v>
      </c>
      <c r="AQ24">
        <v>3405</v>
      </c>
      <c r="AV24">
        <v>23</v>
      </c>
      <c r="AW24" t="s">
        <v>195</v>
      </c>
      <c r="AX24">
        <v>2</v>
      </c>
      <c r="AY24">
        <v>0</v>
      </c>
      <c r="AZ24">
        <v>6516</v>
      </c>
    </row>
    <row r="25" spans="4:52" x14ac:dyDescent="0.25">
      <c r="D25">
        <v>24</v>
      </c>
      <c r="E25" t="s">
        <v>207</v>
      </c>
      <c r="F25">
        <v>1</v>
      </c>
      <c r="G25">
        <v>1</v>
      </c>
      <c r="H25">
        <v>4544</v>
      </c>
      <c r="M25">
        <v>24</v>
      </c>
      <c r="N25" t="s">
        <v>203</v>
      </c>
      <c r="O25">
        <v>1</v>
      </c>
      <c r="P25">
        <v>0</v>
      </c>
      <c r="Q25">
        <v>4605</v>
      </c>
      <c r="V25">
        <v>24</v>
      </c>
      <c r="W25" t="s">
        <v>266</v>
      </c>
      <c r="X25">
        <v>0</v>
      </c>
      <c r="Y25">
        <v>5306</v>
      </c>
      <c r="AD25">
        <v>24</v>
      </c>
      <c r="AE25" t="s">
        <v>253</v>
      </c>
      <c r="AF25">
        <v>0</v>
      </c>
      <c r="AG25">
        <v>4300</v>
      </c>
      <c r="AM25">
        <v>24</v>
      </c>
      <c r="AN25" t="s">
        <v>245</v>
      </c>
      <c r="AO25">
        <v>1</v>
      </c>
      <c r="AP25">
        <v>0</v>
      </c>
      <c r="AQ25">
        <v>2945</v>
      </c>
      <c r="AV25">
        <v>24</v>
      </c>
      <c r="AW25" t="s">
        <v>209</v>
      </c>
      <c r="AX25">
        <v>2</v>
      </c>
      <c r="AY25">
        <v>0</v>
      </c>
      <c r="AZ25">
        <v>4561</v>
      </c>
    </row>
    <row r="26" spans="4:52" x14ac:dyDescent="0.25">
      <c r="D26">
        <v>25</v>
      </c>
      <c r="E26" t="s">
        <v>208</v>
      </c>
      <c r="F26">
        <v>2</v>
      </c>
      <c r="G26">
        <v>1</v>
      </c>
      <c r="H26">
        <v>5838</v>
      </c>
      <c r="M26">
        <v>25</v>
      </c>
      <c r="N26" t="s">
        <v>202</v>
      </c>
      <c r="O26">
        <v>1</v>
      </c>
      <c r="P26">
        <v>0</v>
      </c>
      <c r="Q26">
        <v>7158</v>
      </c>
      <c r="V26">
        <v>25</v>
      </c>
      <c r="W26" t="s">
        <v>267</v>
      </c>
      <c r="X26">
        <v>1</v>
      </c>
      <c r="Y26">
        <v>7372</v>
      </c>
      <c r="AD26">
        <v>25</v>
      </c>
      <c r="AE26" t="s">
        <v>259</v>
      </c>
      <c r="AF26">
        <v>0</v>
      </c>
      <c r="AG26">
        <v>4146</v>
      </c>
      <c r="AM26">
        <v>25</v>
      </c>
      <c r="AN26" t="s">
        <v>266</v>
      </c>
      <c r="AO26">
        <v>1</v>
      </c>
      <c r="AP26">
        <v>0</v>
      </c>
      <c r="AQ26">
        <v>2757</v>
      </c>
      <c r="AV26">
        <v>25</v>
      </c>
      <c r="AW26" t="s">
        <v>199</v>
      </c>
      <c r="AX26">
        <v>1</v>
      </c>
      <c r="AY26">
        <v>1</v>
      </c>
      <c r="AZ26">
        <v>5172</v>
      </c>
    </row>
    <row r="27" spans="4:52" x14ac:dyDescent="0.25">
      <c r="D27">
        <v>26</v>
      </c>
      <c r="E27" t="s">
        <v>209</v>
      </c>
      <c r="F27">
        <v>2</v>
      </c>
      <c r="G27">
        <v>0</v>
      </c>
      <c r="H27">
        <v>5394</v>
      </c>
      <c r="M27">
        <v>26</v>
      </c>
      <c r="N27" t="s">
        <v>194</v>
      </c>
      <c r="O27">
        <v>2</v>
      </c>
      <c r="P27">
        <v>1</v>
      </c>
      <c r="Q27">
        <v>4991</v>
      </c>
      <c r="V27">
        <v>26</v>
      </c>
      <c r="W27" t="s">
        <v>268</v>
      </c>
      <c r="X27">
        <v>0</v>
      </c>
      <c r="Y27">
        <v>6407</v>
      </c>
      <c r="AD27">
        <v>26</v>
      </c>
      <c r="AE27" t="s">
        <v>246</v>
      </c>
      <c r="AF27">
        <v>1</v>
      </c>
      <c r="AG27">
        <v>3958</v>
      </c>
      <c r="AM27">
        <v>26</v>
      </c>
      <c r="AN27" t="s">
        <v>254</v>
      </c>
      <c r="AO27">
        <v>1</v>
      </c>
      <c r="AP27">
        <v>0</v>
      </c>
      <c r="AQ27">
        <v>3436</v>
      </c>
      <c r="AV27">
        <v>26</v>
      </c>
      <c r="AW27" t="s">
        <v>206</v>
      </c>
      <c r="AX27">
        <v>2</v>
      </c>
      <c r="AY27">
        <v>0</v>
      </c>
      <c r="AZ27">
        <v>4754</v>
      </c>
    </row>
    <row r="28" spans="4:52" x14ac:dyDescent="0.25">
      <c r="G28">
        <f>SUM(G2:G27)</f>
        <v>13</v>
      </c>
      <c r="H28">
        <f>AVERAGE(H2:H27)</f>
        <v>4787.6538461538457</v>
      </c>
      <c r="AF28">
        <f>SUM(AF2:AF27)</f>
        <v>8</v>
      </c>
      <c r="AP28">
        <f>SUM(AP2:AP27)</f>
        <v>11</v>
      </c>
      <c r="AY28">
        <f>SUM(AY2:AY27)</f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tabSelected="1" topLeftCell="J1" workbookViewId="0">
      <selection activeCell="Y5" sqref="Y5"/>
    </sheetView>
  </sheetViews>
  <sheetFormatPr baseColWidth="10" defaultRowHeight="15" x14ac:dyDescent="0.25"/>
  <cols>
    <col min="1" max="1" width="18.42578125" customWidth="1"/>
    <col min="6" max="6" width="19.140625" customWidth="1"/>
    <col min="7" max="7" width="16.28515625" customWidth="1"/>
    <col min="9" max="9" width="16.42578125" customWidth="1"/>
    <col min="14" max="14" width="17.7109375" customWidth="1"/>
    <col min="15" max="15" width="16.85546875" customWidth="1"/>
    <col min="17" max="17" width="16.28515625" customWidth="1"/>
    <col min="22" max="22" width="18.85546875" customWidth="1"/>
    <col min="23" max="23" width="16.85546875" customWidth="1"/>
    <col min="25" max="25" width="19" customWidth="1"/>
    <col min="34" max="34" width="22" customWidth="1"/>
    <col min="41" max="41" width="20" customWidth="1"/>
    <col min="43" max="43" width="20.85546875" customWidth="1"/>
    <col min="49" max="49" width="20.5703125" customWidth="1"/>
  </cols>
  <sheetData>
    <row r="1" spans="1:50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53</v>
      </c>
      <c r="F1" s="2" t="s">
        <v>56</v>
      </c>
      <c r="G1" s="2" t="s">
        <v>57</v>
      </c>
      <c r="I1" s="1" t="s">
        <v>30</v>
      </c>
      <c r="J1" s="2" t="s">
        <v>0</v>
      </c>
      <c r="K1" s="2" t="s">
        <v>1</v>
      </c>
      <c r="L1" s="2" t="s">
        <v>2</v>
      </c>
      <c r="M1" s="2" t="s">
        <v>53</v>
      </c>
      <c r="N1" s="2" t="s">
        <v>56</v>
      </c>
      <c r="O1" s="2" t="s">
        <v>57</v>
      </c>
      <c r="Q1" s="1" t="s">
        <v>30</v>
      </c>
      <c r="R1" s="2" t="s">
        <v>0</v>
      </c>
      <c r="S1" s="2" t="s">
        <v>1</v>
      </c>
      <c r="T1" s="2" t="s">
        <v>2</v>
      </c>
      <c r="U1" s="2" t="s">
        <v>53</v>
      </c>
      <c r="V1" s="2" t="s">
        <v>56</v>
      </c>
      <c r="W1" s="2" t="s">
        <v>57</v>
      </c>
      <c r="Y1" s="1" t="s">
        <v>30</v>
      </c>
      <c r="Z1" s="2" t="s">
        <v>0</v>
      </c>
      <c r="AA1" s="2" t="s">
        <v>1</v>
      </c>
      <c r="AB1" s="2" t="s">
        <v>2</v>
      </c>
      <c r="AC1" s="2" t="s">
        <v>464</v>
      </c>
      <c r="AD1" s="2" t="s">
        <v>56</v>
      </c>
      <c r="AE1" s="2" t="s">
        <v>57</v>
      </c>
      <c r="AH1" s="1" t="s">
        <v>30</v>
      </c>
      <c r="AI1" s="2" t="s">
        <v>0</v>
      </c>
      <c r="AJ1" s="2" t="s">
        <v>1</v>
      </c>
      <c r="AK1" s="2" t="s">
        <v>2</v>
      </c>
      <c r="AL1" s="2" t="s">
        <v>53</v>
      </c>
      <c r="AM1" s="2" t="s">
        <v>177</v>
      </c>
      <c r="AN1" s="2" t="s">
        <v>56</v>
      </c>
      <c r="AO1" s="2" t="s">
        <v>57</v>
      </c>
      <c r="AQ1" s="1" t="s">
        <v>30</v>
      </c>
      <c r="AR1" s="2" t="s">
        <v>0</v>
      </c>
      <c r="AS1" s="2" t="s">
        <v>1</v>
      </c>
      <c r="AT1" s="2" t="s">
        <v>2</v>
      </c>
      <c r="AU1" s="2" t="s">
        <v>53</v>
      </c>
      <c r="AV1" s="2" t="s">
        <v>177</v>
      </c>
      <c r="AW1" s="2" t="s">
        <v>56</v>
      </c>
      <c r="AX1" s="2" t="s">
        <v>57</v>
      </c>
    </row>
    <row r="2" spans="1:50" ht="15.75" x14ac:dyDescent="0.25">
      <c r="A2" s="3" t="s">
        <v>8</v>
      </c>
      <c r="B2">
        <v>1</v>
      </c>
      <c r="C2">
        <v>1</v>
      </c>
      <c r="D2">
        <v>1</v>
      </c>
      <c r="E2" t="s">
        <v>211</v>
      </c>
      <c r="F2">
        <v>0</v>
      </c>
      <c r="G2">
        <v>0</v>
      </c>
      <c r="I2" s="3" t="s">
        <v>117</v>
      </c>
      <c r="J2">
        <v>1</v>
      </c>
      <c r="K2">
        <v>2</v>
      </c>
      <c r="L2">
        <v>1</v>
      </c>
      <c r="M2" t="s">
        <v>234</v>
      </c>
      <c r="N2">
        <v>1</v>
      </c>
      <c r="O2">
        <v>3344</v>
      </c>
      <c r="Q2" s="3" t="s">
        <v>118</v>
      </c>
      <c r="R2">
        <v>2</v>
      </c>
      <c r="S2">
        <v>3</v>
      </c>
      <c r="T2">
        <v>1</v>
      </c>
      <c r="U2" t="s">
        <v>269</v>
      </c>
      <c r="V2">
        <v>0</v>
      </c>
      <c r="W2">
        <v>3876</v>
      </c>
      <c r="Y2" s="3" t="s">
        <v>119</v>
      </c>
      <c r="AB2">
        <v>1</v>
      </c>
      <c r="AC2" t="s">
        <v>276</v>
      </c>
      <c r="AD2">
        <v>1</v>
      </c>
      <c r="AE2">
        <v>1610</v>
      </c>
      <c r="AH2" s="3" t="s">
        <v>302</v>
      </c>
      <c r="AI2">
        <v>2</v>
      </c>
      <c r="AJ2">
        <v>5</v>
      </c>
      <c r="AK2">
        <v>1</v>
      </c>
      <c r="AL2" t="s">
        <v>287</v>
      </c>
      <c r="AM2">
        <v>2</v>
      </c>
      <c r="AN2">
        <v>1</v>
      </c>
      <c r="AO2">
        <v>2334</v>
      </c>
      <c r="AQ2" s="3" t="s">
        <v>303</v>
      </c>
      <c r="AR2">
        <v>1</v>
      </c>
      <c r="AS2">
        <v>6</v>
      </c>
      <c r="AT2">
        <v>1</v>
      </c>
      <c r="AU2" t="s">
        <v>218</v>
      </c>
      <c r="AV2">
        <v>1</v>
      </c>
      <c r="AW2">
        <v>1</v>
      </c>
      <c r="AX2">
        <v>2724</v>
      </c>
    </row>
    <row r="3" spans="1:50" ht="15.75" x14ac:dyDescent="0.25">
      <c r="A3" s="1" t="s">
        <v>210</v>
      </c>
      <c r="D3">
        <v>2</v>
      </c>
      <c r="E3" t="s">
        <v>212</v>
      </c>
      <c r="F3">
        <v>1</v>
      </c>
      <c r="G3">
        <v>1887</v>
      </c>
      <c r="I3" s="1" t="s">
        <v>210</v>
      </c>
      <c r="L3">
        <v>2</v>
      </c>
      <c r="M3" t="s">
        <v>214</v>
      </c>
      <c r="N3">
        <v>1</v>
      </c>
      <c r="O3">
        <v>3089</v>
      </c>
      <c r="Q3" s="1" t="s">
        <v>210</v>
      </c>
      <c r="T3">
        <v>2</v>
      </c>
      <c r="U3" t="s">
        <v>270</v>
      </c>
      <c r="V3">
        <v>1</v>
      </c>
      <c r="W3">
        <v>3366</v>
      </c>
      <c r="Y3" s="1" t="s">
        <v>210</v>
      </c>
      <c r="AB3">
        <v>2</v>
      </c>
      <c r="AC3" t="s">
        <v>282</v>
      </c>
      <c r="AD3">
        <v>1</v>
      </c>
      <c r="AE3">
        <v>2780</v>
      </c>
      <c r="AH3" s="1" t="s">
        <v>210</v>
      </c>
      <c r="AK3">
        <v>2</v>
      </c>
      <c r="AL3" t="s">
        <v>285</v>
      </c>
      <c r="AM3">
        <v>2</v>
      </c>
      <c r="AN3">
        <v>1</v>
      </c>
      <c r="AO3">
        <v>1655</v>
      </c>
      <c r="AQ3" s="1" t="s">
        <v>210</v>
      </c>
      <c r="AT3">
        <v>2</v>
      </c>
      <c r="AU3" t="s">
        <v>231</v>
      </c>
      <c r="AV3">
        <v>2</v>
      </c>
      <c r="AW3">
        <v>1</v>
      </c>
      <c r="AX3">
        <v>2677</v>
      </c>
    </row>
    <row r="4" spans="1:50" ht="15.75" x14ac:dyDescent="0.25">
      <c r="A4" s="1" t="s">
        <v>88</v>
      </c>
      <c r="D4">
        <v>3</v>
      </c>
      <c r="E4" t="s">
        <v>213</v>
      </c>
      <c r="F4">
        <v>1</v>
      </c>
      <c r="G4">
        <v>4152</v>
      </c>
      <c r="I4" s="10">
        <v>43374</v>
      </c>
      <c r="L4">
        <v>3</v>
      </c>
      <c r="M4" t="s">
        <v>219</v>
      </c>
      <c r="N4">
        <v>1</v>
      </c>
      <c r="O4">
        <v>4633</v>
      </c>
      <c r="Q4" s="10">
        <v>43384</v>
      </c>
      <c r="T4">
        <v>3</v>
      </c>
      <c r="U4" t="s">
        <v>271</v>
      </c>
      <c r="V4">
        <v>1</v>
      </c>
      <c r="W4">
        <v>3618</v>
      </c>
      <c r="Y4" s="10">
        <v>43493</v>
      </c>
      <c r="AB4">
        <v>3</v>
      </c>
      <c r="AC4" t="s">
        <v>284</v>
      </c>
      <c r="AD4">
        <v>1</v>
      </c>
      <c r="AE4">
        <v>1972</v>
      </c>
      <c r="AH4" s="11">
        <v>43559</v>
      </c>
      <c r="AK4">
        <v>3</v>
      </c>
      <c r="AL4" t="s">
        <v>277</v>
      </c>
      <c r="AM4">
        <v>1</v>
      </c>
      <c r="AN4">
        <v>0</v>
      </c>
      <c r="AO4">
        <v>2549</v>
      </c>
      <c r="AQ4" s="11">
        <v>43580</v>
      </c>
      <c r="AT4">
        <v>3</v>
      </c>
      <c r="AU4" t="s">
        <v>230</v>
      </c>
      <c r="AV4">
        <v>1</v>
      </c>
      <c r="AW4">
        <v>1</v>
      </c>
      <c r="AX4">
        <v>2723</v>
      </c>
    </row>
    <row r="5" spans="1:50" x14ac:dyDescent="0.25">
      <c r="D5">
        <v>4</v>
      </c>
      <c r="E5" t="s">
        <v>214</v>
      </c>
      <c r="F5">
        <v>1</v>
      </c>
      <c r="G5">
        <v>1715</v>
      </c>
      <c r="L5">
        <v>4</v>
      </c>
      <c r="M5" t="s">
        <v>216</v>
      </c>
      <c r="N5">
        <v>1</v>
      </c>
      <c r="O5">
        <v>2246</v>
      </c>
      <c r="T5">
        <v>4</v>
      </c>
      <c r="U5" t="s">
        <v>272</v>
      </c>
      <c r="V5">
        <v>1</v>
      </c>
      <c r="W5">
        <v>3066</v>
      </c>
      <c r="AB5">
        <v>4</v>
      </c>
      <c r="AC5" t="s">
        <v>288</v>
      </c>
      <c r="AD5">
        <v>1</v>
      </c>
      <c r="AE5">
        <v>1232</v>
      </c>
      <c r="AK5">
        <v>4</v>
      </c>
      <c r="AL5" t="s">
        <v>294</v>
      </c>
      <c r="AM5">
        <v>2</v>
      </c>
      <c r="AN5">
        <v>1</v>
      </c>
      <c r="AO5">
        <v>2045</v>
      </c>
      <c r="AT5">
        <v>4</v>
      </c>
      <c r="AU5" t="s">
        <v>216</v>
      </c>
      <c r="AV5">
        <v>1</v>
      </c>
      <c r="AW5">
        <v>1</v>
      </c>
      <c r="AX5">
        <v>1764</v>
      </c>
    </row>
    <row r="6" spans="1:50" x14ac:dyDescent="0.25">
      <c r="D6">
        <v>5</v>
      </c>
      <c r="E6" t="s">
        <v>215</v>
      </c>
      <c r="F6">
        <v>1</v>
      </c>
      <c r="G6">
        <v>1774</v>
      </c>
      <c r="L6">
        <v>5</v>
      </c>
      <c r="M6" t="s">
        <v>222</v>
      </c>
      <c r="N6">
        <v>1</v>
      </c>
      <c r="O6">
        <v>2910</v>
      </c>
      <c r="T6">
        <v>5</v>
      </c>
      <c r="U6" t="s">
        <v>273</v>
      </c>
      <c r="V6">
        <v>1</v>
      </c>
      <c r="W6">
        <v>4403</v>
      </c>
      <c r="AB6">
        <v>5</v>
      </c>
      <c r="AC6" t="s">
        <v>269</v>
      </c>
      <c r="AD6">
        <v>1</v>
      </c>
      <c r="AE6">
        <v>4416</v>
      </c>
      <c r="AK6">
        <v>5</v>
      </c>
      <c r="AL6" t="s">
        <v>275</v>
      </c>
      <c r="AM6">
        <v>2</v>
      </c>
      <c r="AN6">
        <v>1</v>
      </c>
      <c r="AO6">
        <v>2589</v>
      </c>
      <c r="AT6">
        <v>5</v>
      </c>
      <c r="AU6" t="s">
        <v>211</v>
      </c>
      <c r="AV6">
        <v>2</v>
      </c>
      <c r="AW6">
        <v>0</v>
      </c>
      <c r="AX6">
        <v>2850</v>
      </c>
    </row>
    <row r="7" spans="1:50" x14ac:dyDescent="0.25">
      <c r="D7">
        <v>6</v>
      </c>
      <c r="E7" t="s">
        <v>216</v>
      </c>
      <c r="F7">
        <v>1</v>
      </c>
      <c r="G7">
        <v>1605</v>
      </c>
      <c r="L7">
        <v>6</v>
      </c>
      <c r="M7" t="s">
        <v>223</v>
      </c>
      <c r="N7">
        <v>1</v>
      </c>
      <c r="O7">
        <v>3071</v>
      </c>
      <c r="T7">
        <v>6</v>
      </c>
      <c r="U7" t="s">
        <v>274</v>
      </c>
      <c r="V7">
        <v>1</v>
      </c>
      <c r="W7">
        <v>6695</v>
      </c>
      <c r="AB7">
        <v>6</v>
      </c>
      <c r="AC7" t="s">
        <v>286</v>
      </c>
      <c r="AD7">
        <v>0</v>
      </c>
      <c r="AE7">
        <v>3249</v>
      </c>
      <c r="AK7">
        <v>6</v>
      </c>
      <c r="AL7" t="s">
        <v>271</v>
      </c>
      <c r="AM7">
        <v>2</v>
      </c>
      <c r="AN7">
        <v>1</v>
      </c>
      <c r="AO7">
        <v>2683</v>
      </c>
      <c r="AT7">
        <v>6</v>
      </c>
      <c r="AU7" t="s">
        <v>234</v>
      </c>
      <c r="AV7">
        <v>2</v>
      </c>
      <c r="AW7">
        <v>1</v>
      </c>
      <c r="AX7">
        <v>2819</v>
      </c>
    </row>
    <row r="8" spans="1:50" x14ac:dyDescent="0.25">
      <c r="D8">
        <v>7</v>
      </c>
      <c r="E8" t="s">
        <v>217</v>
      </c>
      <c r="F8">
        <v>1</v>
      </c>
      <c r="G8">
        <v>3359</v>
      </c>
      <c r="L8">
        <v>7</v>
      </c>
      <c r="M8" t="s">
        <v>233</v>
      </c>
      <c r="N8">
        <v>0</v>
      </c>
      <c r="O8">
        <v>4803</v>
      </c>
      <c r="T8">
        <v>7</v>
      </c>
      <c r="U8" t="s">
        <v>275</v>
      </c>
      <c r="V8">
        <v>1</v>
      </c>
      <c r="W8">
        <v>5342</v>
      </c>
      <c r="AB8">
        <v>7</v>
      </c>
      <c r="AC8" t="s">
        <v>278</v>
      </c>
      <c r="AD8">
        <v>1</v>
      </c>
      <c r="AE8">
        <v>3144</v>
      </c>
      <c r="AK8">
        <v>7</v>
      </c>
      <c r="AL8" t="s">
        <v>273</v>
      </c>
      <c r="AM8">
        <v>1</v>
      </c>
      <c r="AN8">
        <v>1</v>
      </c>
      <c r="AO8">
        <v>2676</v>
      </c>
      <c r="AT8">
        <v>7</v>
      </c>
      <c r="AU8" t="s">
        <v>212</v>
      </c>
      <c r="AV8">
        <v>1</v>
      </c>
      <c r="AW8">
        <v>1</v>
      </c>
      <c r="AX8">
        <v>2468</v>
      </c>
    </row>
    <row r="9" spans="1:50" x14ac:dyDescent="0.25">
      <c r="D9">
        <v>8</v>
      </c>
      <c r="E9" t="s">
        <v>218</v>
      </c>
      <c r="F9">
        <v>1</v>
      </c>
      <c r="G9">
        <v>1669</v>
      </c>
      <c r="L9">
        <v>8</v>
      </c>
      <c r="M9" t="s">
        <v>227</v>
      </c>
      <c r="N9">
        <v>1</v>
      </c>
      <c r="O9">
        <v>3892</v>
      </c>
      <c r="T9">
        <v>8</v>
      </c>
      <c r="U9" t="s">
        <v>276</v>
      </c>
      <c r="V9">
        <v>1</v>
      </c>
      <c r="W9">
        <v>4769</v>
      </c>
      <c r="AB9">
        <v>8</v>
      </c>
      <c r="AC9" t="s">
        <v>272</v>
      </c>
      <c r="AD9">
        <v>1</v>
      </c>
      <c r="AE9">
        <v>2508</v>
      </c>
      <c r="AK9">
        <v>8</v>
      </c>
      <c r="AL9" t="s">
        <v>282</v>
      </c>
      <c r="AM9">
        <v>1</v>
      </c>
      <c r="AN9">
        <v>1</v>
      </c>
      <c r="AO9">
        <v>3159</v>
      </c>
      <c r="AT9">
        <v>8</v>
      </c>
      <c r="AU9" t="s">
        <v>219</v>
      </c>
      <c r="AV9">
        <v>1</v>
      </c>
      <c r="AW9">
        <v>1</v>
      </c>
      <c r="AX9">
        <v>4093</v>
      </c>
    </row>
    <row r="10" spans="1:50" x14ac:dyDescent="0.25">
      <c r="D10">
        <v>9</v>
      </c>
      <c r="E10" t="s">
        <v>219</v>
      </c>
      <c r="F10">
        <v>0</v>
      </c>
      <c r="G10">
        <v>5373</v>
      </c>
      <c r="L10">
        <v>9</v>
      </c>
      <c r="M10" t="s">
        <v>211</v>
      </c>
      <c r="N10">
        <v>1</v>
      </c>
      <c r="O10">
        <v>3913</v>
      </c>
      <c r="T10">
        <v>9</v>
      </c>
      <c r="U10" t="s">
        <v>277</v>
      </c>
      <c r="V10">
        <v>1</v>
      </c>
      <c r="W10">
        <v>4833</v>
      </c>
      <c r="AB10">
        <v>9</v>
      </c>
      <c r="AC10" t="s">
        <v>274</v>
      </c>
      <c r="AD10">
        <v>1</v>
      </c>
      <c r="AE10">
        <v>1806</v>
      </c>
      <c r="AK10">
        <v>9</v>
      </c>
      <c r="AL10" t="s">
        <v>281</v>
      </c>
      <c r="AM10">
        <v>2</v>
      </c>
      <c r="AN10">
        <v>1</v>
      </c>
      <c r="AO10">
        <v>1835</v>
      </c>
      <c r="AT10">
        <v>9</v>
      </c>
      <c r="AU10" t="s">
        <v>236</v>
      </c>
      <c r="AV10">
        <v>2</v>
      </c>
      <c r="AW10">
        <v>0</v>
      </c>
      <c r="AX10">
        <v>4195</v>
      </c>
    </row>
    <row r="11" spans="1:50" x14ac:dyDescent="0.25">
      <c r="D11">
        <v>10</v>
      </c>
      <c r="E11" t="s">
        <v>220</v>
      </c>
      <c r="F11">
        <v>1</v>
      </c>
      <c r="G11">
        <v>1981</v>
      </c>
      <c r="L11">
        <v>10</v>
      </c>
      <c r="M11" t="s">
        <v>230</v>
      </c>
      <c r="N11">
        <v>1</v>
      </c>
      <c r="O11">
        <v>2847</v>
      </c>
      <c r="T11">
        <v>10</v>
      </c>
      <c r="U11" t="s">
        <v>278</v>
      </c>
      <c r="V11">
        <v>1</v>
      </c>
      <c r="W11">
        <v>6706</v>
      </c>
      <c r="AB11">
        <v>10</v>
      </c>
      <c r="AC11" t="s">
        <v>289</v>
      </c>
      <c r="AD11">
        <v>1</v>
      </c>
      <c r="AE11">
        <v>2256</v>
      </c>
      <c r="AK11">
        <v>10</v>
      </c>
      <c r="AL11" t="s">
        <v>276</v>
      </c>
      <c r="AM11">
        <v>2</v>
      </c>
      <c r="AN11">
        <v>1</v>
      </c>
      <c r="AO11">
        <v>2288</v>
      </c>
      <c r="AT11">
        <v>10</v>
      </c>
      <c r="AU11" t="s">
        <v>226</v>
      </c>
      <c r="AV11">
        <v>1</v>
      </c>
      <c r="AW11">
        <v>1</v>
      </c>
      <c r="AX11">
        <v>2615</v>
      </c>
    </row>
    <row r="12" spans="1:50" x14ac:dyDescent="0.25">
      <c r="D12">
        <v>11</v>
      </c>
      <c r="E12" t="s">
        <v>221</v>
      </c>
      <c r="F12">
        <v>1</v>
      </c>
      <c r="G12">
        <v>2343</v>
      </c>
      <c r="L12">
        <v>11</v>
      </c>
      <c r="M12" t="s">
        <v>221</v>
      </c>
      <c r="N12">
        <v>1</v>
      </c>
      <c r="O12">
        <v>3451</v>
      </c>
      <c r="T12">
        <v>11</v>
      </c>
      <c r="U12" t="s">
        <v>279</v>
      </c>
      <c r="V12">
        <v>0</v>
      </c>
      <c r="W12">
        <v>0</v>
      </c>
      <c r="AB12">
        <v>11</v>
      </c>
      <c r="AC12" t="s">
        <v>285</v>
      </c>
      <c r="AD12">
        <v>1</v>
      </c>
      <c r="AE12">
        <v>1833</v>
      </c>
      <c r="AK12">
        <v>11</v>
      </c>
      <c r="AL12" t="s">
        <v>274</v>
      </c>
      <c r="AM12">
        <v>1</v>
      </c>
      <c r="AN12">
        <v>1</v>
      </c>
      <c r="AO12">
        <v>2404</v>
      </c>
      <c r="AT12">
        <v>11</v>
      </c>
      <c r="AU12" t="s">
        <v>228</v>
      </c>
      <c r="AV12">
        <v>1</v>
      </c>
      <c r="AW12">
        <v>1</v>
      </c>
      <c r="AX12">
        <v>2328</v>
      </c>
    </row>
    <row r="13" spans="1:50" x14ac:dyDescent="0.25">
      <c r="D13">
        <v>12</v>
      </c>
      <c r="E13" t="s">
        <v>222</v>
      </c>
      <c r="F13">
        <v>1</v>
      </c>
      <c r="G13">
        <v>3235</v>
      </c>
      <c r="L13">
        <v>12</v>
      </c>
      <c r="M13" t="s">
        <v>215</v>
      </c>
      <c r="N13">
        <v>1</v>
      </c>
      <c r="O13">
        <v>3015</v>
      </c>
      <c r="T13">
        <v>12</v>
      </c>
      <c r="U13" t="s">
        <v>280</v>
      </c>
      <c r="V13">
        <v>1</v>
      </c>
      <c r="W13">
        <v>3013</v>
      </c>
      <c r="AB13">
        <v>12</v>
      </c>
      <c r="AC13" t="s">
        <v>294</v>
      </c>
      <c r="AD13">
        <v>1</v>
      </c>
      <c r="AE13">
        <v>2008</v>
      </c>
      <c r="AK13">
        <v>12</v>
      </c>
      <c r="AL13" t="s">
        <v>290</v>
      </c>
      <c r="AM13">
        <v>2</v>
      </c>
      <c r="AN13">
        <v>0</v>
      </c>
      <c r="AO13">
        <v>2973</v>
      </c>
      <c r="AT13">
        <v>12</v>
      </c>
      <c r="AU13" t="s">
        <v>223</v>
      </c>
      <c r="AV13">
        <v>1</v>
      </c>
      <c r="AW13">
        <v>1</v>
      </c>
      <c r="AX13">
        <v>1969</v>
      </c>
    </row>
    <row r="14" spans="1:50" x14ac:dyDescent="0.25">
      <c r="D14">
        <v>13</v>
      </c>
      <c r="E14" t="s">
        <v>223</v>
      </c>
      <c r="F14">
        <v>0</v>
      </c>
      <c r="G14">
        <v>6809</v>
      </c>
      <c r="L14">
        <v>13</v>
      </c>
      <c r="M14" t="s">
        <v>232</v>
      </c>
      <c r="N14">
        <v>1</v>
      </c>
      <c r="O14">
        <v>3623</v>
      </c>
      <c r="T14">
        <v>13</v>
      </c>
      <c r="U14" t="s">
        <v>281</v>
      </c>
      <c r="V14">
        <v>1</v>
      </c>
      <c r="W14">
        <v>3225</v>
      </c>
      <c r="AB14">
        <v>13</v>
      </c>
      <c r="AC14" t="s">
        <v>280</v>
      </c>
      <c r="AD14">
        <v>1</v>
      </c>
      <c r="AE14">
        <v>2750</v>
      </c>
      <c r="AK14">
        <v>13</v>
      </c>
      <c r="AL14" t="s">
        <v>279</v>
      </c>
      <c r="AM14">
        <v>1</v>
      </c>
      <c r="AN14">
        <v>0</v>
      </c>
      <c r="AO14">
        <v>2780</v>
      </c>
      <c r="AT14">
        <v>13</v>
      </c>
      <c r="AU14" t="s">
        <v>213</v>
      </c>
      <c r="AV14">
        <v>1</v>
      </c>
      <c r="AW14">
        <v>1</v>
      </c>
      <c r="AX14">
        <v>3329</v>
      </c>
    </row>
    <row r="15" spans="1:50" x14ac:dyDescent="0.25">
      <c r="D15">
        <v>14</v>
      </c>
      <c r="E15" t="s">
        <v>224</v>
      </c>
      <c r="F15">
        <v>1</v>
      </c>
      <c r="G15">
        <v>5074</v>
      </c>
      <c r="L15">
        <v>14</v>
      </c>
      <c r="M15" t="s">
        <v>224</v>
      </c>
      <c r="N15">
        <v>1</v>
      </c>
      <c r="O15">
        <v>4147</v>
      </c>
      <c r="T15">
        <v>14</v>
      </c>
      <c r="U15" t="s">
        <v>282</v>
      </c>
      <c r="V15">
        <v>1</v>
      </c>
      <c r="W15">
        <v>3318</v>
      </c>
      <c r="AB15">
        <v>14</v>
      </c>
      <c r="AC15" t="s">
        <v>292</v>
      </c>
      <c r="AD15">
        <v>0</v>
      </c>
      <c r="AE15">
        <v>3763</v>
      </c>
      <c r="AK15">
        <v>14</v>
      </c>
      <c r="AL15" t="s">
        <v>272</v>
      </c>
      <c r="AM15">
        <v>1</v>
      </c>
      <c r="AN15">
        <v>1</v>
      </c>
      <c r="AO15">
        <v>2279</v>
      </c>
      <c r="AT15">
        <v>14</v>
      </c>
      <c r="AU15" t="s">
        <v>214</v>
      </c>
      <c r="AV15">
        <v>1</v>
      </c>
      <c r="AW15">
        <v>1</v>
      </c>
      <c r="AX15">
        <v>2143</v>
      </c>
    </row>
    <row r="16" spans="1:50" x14ac:dyDescent="0.25">
      <c r="D16">
        <v>15</v>
      </c>
      <c r="E16" t="s">
        <v>225</v>
      </c>
      <c r="F16">
        <v>1</v>
      </c>
      <c r="G16">
        <v>4712</v>
      </c>
      <c r="L16">
        <v>15</v>
      </c>
      <c r="M16" t="s">
        <v>236</v>
      </c>
      <c r="N16">
        <v>0</v>
      </c>
      <c r="O16">
        <v>4309</v>
      </c>
      <c r="T16">
        <v>15</v>
      </c>
      <c r="U16" t="s">
        <v>283</v>
      </c>
      <c r="V16">
        <v>1</v>
      </c>
      <c r="W16">
        <v>4047</v>
      </c>
      <c r="AB16">
        <v>15</v>
      </c>
      <c r="AC16" t="s">
        <v>283</v>
      </c>
      <c r="AD16">
        <v>1</v>
      </c>
      <c r="AE16">
        <v>2593</v>
      </c>
      <c r="AK16">
        <v>15</v>
      </c>
      <c r="AL16" t="s">
        <v>270</v>
      </c>
      <c r="AM16">
        <v>2</v>
      </c>
      <c r="AN16">
        <v>1</v>
      </c>
      <c r="AO16">
        <v>2899</v>
      </c>
      <c r="AT16">
        <v>15</v>
      </c>
      <c r="AU16" t="s">
        <v>224</v>
      </c>
      <c r="AV16">
        <v>2</v>
      </c>
      <c r="AW16">
        <v>1</v>
      </c>
      <c r="AX16">
        <v>2944</v>
      </c>
    </row>
    <row r="17" spans="4:50" x14ac:dyDescent="0.25">
      <c r="D17">
        <v>16</v>
      </c>
      <c r="E17" t="s">
        <v>226</v>
      </c>
      <c r="F17">
        <v>1</v>
      </c>
      <c r="G17">
        <v>1937</v>
      </c>
      <c r="L17">
        <v>16</v>
      </c>
      <c r="M17" t="s">
        <v>220</v>
      </c>
      <c r="N17">
        <v>1</v>
      </c>
      <c r="O17">
        <v>2389</v>
      </c>
      <c r="T17">
        <v>16</v>
      </c>
      <c r="U17" t="s">
        <v>284</v>
      </c>
      <c r="V17">
        <v>1</v>
      </c>
      <c r="W17">
        <v>5084</v>
      </c>
      <c r="AB17">
        <v>16</v>
      </c>
      <c r="AC17" t="s">
        <v>273</v>
      </c>
      <c r="AD17">
        <v>1</v>
      </c>
      <c r="AE17">
        <v>3109</v>
      </c>
      <c r="AK17">
        <v>16</v>
      </c>
      <c r="AL17" t="s">
        <v>292</v>
      </c>
      <c r="AM17">
        <v>1</v>
      </c>
      <c r="AN17">
        <v>1</v>
      </c>
      <c r="AO17">
        <v>2135</v>
      </c>
      <c r="AT17">
        <v>16</v>
      </c>
      <c r="AU17" t="s">
        <v>229</v>
      </c>
      <c r="AV17">
        <v>2</v>
      </c>
      <c r="AW17">
        <v>1</v>
      </c>
      <c r="AX17">
        <v>3233</v>
      </c>
    </row>
    <row r="18" spans="4:50" x14ac:dyDescent="0.25">
      <c r="D18">
        <v>17</v>
      </c>
      <c r="E18" t="s">
        <v>227</v>
      </c>
      <c r="F18">
        <v>1</v>
      </c>
      <c r="G18">
        <v>2529</v>
      </c>
      <c r="L18">
        <v>17</v>
      </c>
      <c r="M18" t="s">
        <v>212</v>
      </c>
      <c r="N18">
        <v>1</v>
      </c>
      <c r="O18">
        <v>5516</v>
      </c>
      <c r="T18">
        <v>17</v>
      </c>
      <c r="U18" t="s">
        <v>285</v>
      </c>
      <c r="V18">
        <v>1</v>
      </c>
      <c r="W18">
        <v>3051</v>
      </c>
      <c r="AB18">
        <v>17</v>
      </c>
      <c r="AC18" t="s">
        <v>277</v>
      </c>
      <c r="AD18">
        <v>0</v>
      </c>
      <c r="AE18">
        <v>2865</v>
      </c>
      <c r="AK18">
        <v>17</v>
      </c>
      <c r="AL18" t="s">
        <v>291</v>
      </c>
      <c r="AM18">
        <v>2</v>
      </c>
      <c r="AN18">
        <v>1</v>
      </c>
      <c r="AO18">
        <v>1836</v>
      </c>
      <c r="AT18">
        <v>17</v>
      </c>
      <c r="AU18" t="s">
        <v>233</v>
      </c>
      <c r="AV18">
        <v>2</v>
      </c>
      <c r="AW18">
        <v>0</v>
      </c>
      <c r="AX18">
        <v>3425</v>
      </c>
    </row>
    <row r="19" spans="4:50" x14ac:dyDescent="0.25">
      <c r="D19">
        <v>18</v>
      </c>
      <c r="E19" t="s">
        <v>228</v>
      </c>
      <c r="F19">
        <v>1</v>
      </c>
      <c r="G19">
        <v>2846</v>
      </c>
      <c r="L19">
        <v>18</v>
      </c>
      <c r="M19" t="s">
        <v>235</v>
      </c>
      <c r="N19">
        <v>1</v>
      </c>
      <c r="O19">
        <v>3225</v>
      </c>
      <c r="T19">
        <v>18</v>
      </c>
      <c r="U19" t="s">
        <v>286</v>
      </c>
      <c r="V19">
        <v>1</v>
      </c>
      <c r="W19">
        <v>5903</v>
      </c>
      <c r="AB19">
        <v>18</v>
      </c>
      <c r="AC19" t="s">
        <v>270</v>
      </c>
      <c r="AD19">
        <v>1</v>
      </c>
      <c r="AE19">
        <v>3034</v>
      </c>
      <c r="AK19">
        <v>18</v>
      </c>
      <c r="AL19" t="s">
        <v>280</v>
      </c>
      <c r="AM19">
        <v>1</v>
      </c>
      <c r="AN19">
        <v>1</v>
      </c>
      <c r="AO19">
        <v>3674</v>
      </c>
      <c r="AT19">
        <v>18</v>
      </c>
      <c r="AU19" t="s">
        <v>225</v>
      </c>
      <c r="AV19">
        <v>2</v>
      </c>
      <c r="AW19">
        <v>1</v>
      </c>
      <c r="AX19">
        <v>2655</v>
      </c>
    </row>
    <row r="20" spans="4:50" x14ac:dyDescent="0.25">
      <c r="D20">
        <v>19</v>
      </c>
      <c r="E20" t="s">
        <v>229</v>
      </c>
      <c r="F20">
        <v>1</v>
      </c>
      <c r="G20">
        <v>5434</v>
      </c>
      <c r="L20">
        <v>19</v>
      </c>
      <c r="M20" t="s">
        <v>226</v>
      </c>
      <c r="N20">
        <v>1</v>
      </c>
      <c r="O20">
        <v>3845</v>
      </c>
      <c r="T20">
        <v>19</v>
      </c>
      <c r="U20" t="s">
        <v>287</v>
      </c>
      <c r="V20">
        <v>0</v>
      </c>
      <c r="W20">
        <v>5030</v>
      </c>
      <c r="AB20">
        <v>19</v>
      </c>
      <c r="AC20" t="s">
        <v>291</v>
      </c>
      <c r="AD20">
        <v>1</v>
      </c>
      <c r="AE20">
        <v>2806</v>
      </c>
      <c r="AK20">
        <v>19</v>
      </c>
      <c r="AL20" t="s">
        <v>278</v>
      </c>
      <c r="AM20">
        <v>1</v>
      </c>
      <c r="AN20">
        <v>1</v>
      </c>
      <c r="AO20">
        <v>2883</v>
      </c>
      <c r="AT20">
        <v>19</v>
      </c>
      <c r="AU20" t="s">
        <v>215</v>
      </c>
      <c r="AV20">
        <v>2</v>
      </c>
      <c r="AW20">
        <v>1</v>
      </c>
      <c r="AX20">
        <v>2573</v>
      </c>
    </row>
    <row r="21" spans="4:50" x14ac:dyDescent="0.25">
      <c r="D21">
        <v>20</v>
      </c>
      <c r="E21" t="s">
        <v>230</v>
      </c>
      <c r="F21">
        <v>1</v>
      </c>
      <c r="G21">
        <v>1470</v>
      </c>
      <c r="L21">
        <v>20</v>
      </c>
      <c r="M21" t="s">
        <v>218</v>
      </c>
      <c r="N21">
        <v>1</v>
      </c>
      <c r="O21">
        <v>6142</v>
      </c>
      <c r="T21">
        <v>20</v>
      </c>
      <c r="U21" t="s">
        <v>288</v>
      </c>
      <c r="V21">
        <v>1</v>
      </c>
      <c r="W21">
        <v>3846</v>
      </c>
      <c r="AB21">
        <v>20</v>
      </c>
      <c r="AC21" t="s">
        <v>271</v>
      </c>
      <c r="AD21">
        <v>1</v>
      </c>
      <c r="AE21">
        <v>2911</v>
      </c>
      <c r="AK21">
        <v>20</v>
      </c>
      <c r="AL21" t="s">
        <v>293</v>
      </c>
      <c r="AM21">
        <v>2</v>
      </c>
      <c r="AN21">
        <v>1</v>
      </c>
      <c r="AO21">
        <v>2445</v>
      </c>
      <c r="AT21">
        <v>20</v>
      </c>
      <c r="AU21" t="s">
        <v>235</v>
      </c>
      <c r="AV21">
        <v>2</v>
      </c>
      <c r="AW21">
        <v>1</v>
      </c>
      <c r="AX21">
        <v>2332</v>
      </c>
    </row>
    <row r="22" spans="4:50" x14ac:dyDescent="0.25">
      <c r="D22">
        <v>21</v>
      </c>
      <c r="E22" t="s">
        <v>231</v>
      </c>
      <c r="F22">
        <v>1</v>
      </c>
      <c r="G22">
        <v>1990</v>
      </c>
      <c r="L22">
        <v>21</v>
      </c>
      <c r="M22" t="s">
        <v>213</v>
      </c>
      <c r="N22">
        <v>1</v>
      </c>
      <c r="O22">
        <v>2844</v>
      </c>
      <c r="T22">
        <v>21</v>
      </c>
      <c r="U22" t="s">
        <v>289</v>
      </c>
      <c r="V22">
        <v>1</v>
      </c>
      <c r="W22">
        <v>2698</v>
      </c>
      <c r="AB22">
        <v>21</v>
      </c>
      <c r="AC22" t="s">
        <v>275</v>
      </c>
      <c r="AD22">
        <v>1</v>
      </c>
      <c r="AE22">
        <v>4285</v>
      </c>
      <c r="AK22">
        <v>21</v>
      </c>
      <c r="AL22" t="s">
        <v>284</v>
      </c>
      <c r="AM22">
        <v>1</v>
      </c>
      <c r="AN22">
        <v>1</v>
      </c>
      <c r="AO22">
        <v>2809</v>
      </c>
      <c r="AT22">
        <v>21</v>
      </c>
      <c r="AU22" t="s">
        <v>222</v>
      </c>
      <c r="AV22">
        <v>1</v>
      </c>
      <c r="AW22">
        <v>1</v>
      </c>
      <c r="AX22">
        <v>2977</v>
      </c>
    </row>
    <row r="23" spans="4:50" x14ac:dyDescent="0.25">
      <c r="D23">
        <v>22</v>
      </c>
      <c r="E23" t="s">
        <v>232</v>
      </c>
      <c r="F23">
        <v>1</v>
      </c>
      <c r="G23">
        <v>4983</v>
      </c>
      <c r="L23">
        <v>22</v>
      </c>
      <c r="M23" t="s">
        <v>225</v>
      </c>
      <c r="N23">
        <v>1</v>
      </c>
      <c r="O23">
        <v>2485</v>
      </c>
      <c r="T23">
        <v>22</v>
      </c>
      <c r="U23" t="s">
        <v>290</v>
      </c>
      <c r="V23">
        <v>0</v>
      </c>
      <c r="W23">
        <v>5453</v>
      </c>
      <c r="AB23">
        <v>22</v>
      </c>
      <c r="AC23" t="s">
        <v>287</v>
      </c>
      <c r="AD23">
        <v>1</v>
      </c>
      <c r="AE23">
        <v>3673</v>
      </c>
      <c r="AK23">
        <v>22</v>
      </c>
      <c r="AL23" t="s">
        <v>286</v>
      </c>
      <c r="AM23">
        <v>2</v>
      </c>
      <c r="AN23">
        <v>0</v>
      </c>
      <c r="AO23">
        <v>2567</v>
      </c>
      <c r="AT23">
        <v>22</v>
      </c>
      <c r="AU23" t="s">
        <v>232</v>
      </c>
      <c r="AV23">
        <v>2</v>
      </c>
      <c r="AW23">
        <v>1</v>
      </c>
      <c r="AX23">
        <v>3527</v>
      </c>
    </row>
    <row r="24" spans="4:50" x14ac:dyDescent="0.25">
      <c r="D24">
        <v>23</v>
      </c>
      <c r="E24" t="s">
        <v>233</v>
      </c>
      <c r="F24">
        <v>0</v>
      </c>
      <c r="G24">
        <v>5694</v>
      </c>
      <c r="L24">
        <v>23</v>
      </c>
      <c r="M24" t="s">
        <v>229</v>
      </c>
      <c r="N24">
        <v>1</v>
      </c>
      <c r="O24">
        <v>3726</v>
      </c>
      <c r="T24">
        <v>23</v>
      </c>
      <c r="U24" t="s">
        <v>291</v>
      </c>
      <c r="V24">
        <v>1</v>
      </c>
      <c r="W24">
        <v>2971</v>
      </c>
      <c r="AB24">
        <v>23</v>
      </c>
      <c r="AC24" t="s">
        <v>290</v>
      </c>
      <c r="AD24">
        <v>0</v>
      </c>
      <c r="AE24">
        <v>3319</v>
      </c>
      <c r="AK24">
        <v>23</v>
      </c>
      <c r="AL24" t="s">
        <v>288</v>
      </c>
      <c r="AM24">
        <v>2</v>
      </c>
      <c r="AN24">
        <v>1</v>
      </c>
      <c r="AO24">
        <v>1688</v>
      </c>
      <c r="AT24">
        <v>23</v>
      </c>
      <c r="AU24" t="s">
        <v>217</v>
      </c>
      <c r="AV24">
        <v>1</v>
      </c>
      <c r="AW24">
        <v>1</v>
      </c>
      <c r="AX24">
        <v>2681</v>
      </c>
    </row>
    <row r="25" spans="4:50" x14ac:dyDescent="0.25">
      <c r="D25">
        <v>24</v>
      </c>
      <c r="E25" t="s">
        <v>234</v>
      </c>
      <c r="F25">
        <v>1</v>
      </c>
      <c r="G25">
        <v>2972</v>
      </c>
      <c r="L25">
        <v>24</v>
      </c>
      <c r="M25" t="s">
        <v>228</v>
      </c>
      <c r="N25">
        <v>1</v>
      </c>
      <c r="O25">
        <v>1612</v>
      </c>
      <c r="T25">
        <v>24</v>
      </c>
      <c r="U25" t="s">
        <v>292</v>
      </c>
      <c r="V25">
        <v>1</v>
      </c>
      <c r="W25">
        <v>2744</v>
      </c>
      <c r="AB25">
        <v>24</v>
      </c>
      <c r="AC25" t="s">
        <v>281</v>
      </c>
      <c r="AD25">
        <v>1</v>
      </c>
      <c r="AE25">
        <v>3491</v>
      </c>
      <c r="AK25">
        <v>24</v>
      </c>
      <c r="AL25" t="s">
        <v>289</v>
      </c>
      <c r="AM25">
        <v>1</v>
      </c>
      <c r="AN25">
        <v>1</v>
      </c>
      <c r="AO25">
        <v>1938</v>
      </c>
      <c r="AT25">
        <v>24</v>
      </c>
      <c r="AU25" t="s">
        <v>220</v>
      </c>
      <c r="AV25">
        <v>2</v>
      </c>
      <c r="AW25">
        <v>1</v>
      </c>
      <c r="AX25">
        <v>3033</v>
      </c>
    </row>
    <row r="26" spans="4:50" x14ac:dyDescent="0.25">
      <c r="D26">
        <v>25</v>
      </c>
      <c r="E26" t="s">
        <v>235</v>
      </c>
      <c r="F26">
        <v>1</v>
      </c>
      <c r="G26">
        <v>3486</v>
      </c>
      <c r="L26">
        <v>25</v>
      </c>
      <c r="M26" t="s">
        <v>231</v>
      </c>
      <c r="N26">
        <v>1</v>
      </c>
      <c r="O26">
        <v>3784</v>
      </c>
      <c r="T26">
        <v>25</v>
      </c>
      <c r="U26" t="s">
        <v>293</v>
      </c>
      <c r="V26">
        <v>1</v>
      </c>
      <c r="W26">
        <v>2879</v>
      </c>
      <c r="AB26">
        <v>25</v>
      </c>
      <c r="AC26" t="s">
        <v>293</v>
      </c>
      <c r="AD26">
        <v>1</v>
      </c>
      <c r="AE26">
        <v>3793</v>
      </c>
      <c r="AK26">
        <v>25</v>
      </c>
      <c r="AL26" t="s">
        <v>269</v>
      </c>
      <c r="AM26">
        <v>1</v>
      </c>
      <c r="AN26">
        <v>0</v>
      </c>
      <c r="AO26">
        <v>2507</v>
      </c>
      <c r="AT26">
        <v>25</v>
      </c>
      <c r="AU26" t="s">
        <v>227</v>
      </c>
      <c r="AV26">
        <v>2</v>
      </c>
      <c r="AW26">
        <v>1</v>
      </c>
      <c r="AX26">
        <v>2000</v>
      </c>
    </row>
    <row r="27" spans="4:50" x14ac:dyDescent="0.25">
      <c r="D27">
        <v>26</v>
      </c>
      <c r="E27" t="s">
        <v>236</v>
      </c>
      <c r="F27">
        <v>1</v>
      </c>
      <c r="G27">
        <v>5699</v>
      </c>
      <c r="L27">
        <v>26</v>
      </c>
      <c r="M27" t="s">
        <v>217</v>
      </c>
      <c r="N27">
        <v>1</v>
      </c>
      <c r="O27">
        <v>5512</v>
      </c>
      <c r="T27">
        <v>26</v>
      </c>
      <c r="U27" t="s">
        <v>294</v>
      </c>
      <c r="V27">
        <v>1</v>
      </c>
      <c r="W27">
        <v>2932</v>
      </c>
      <c r="AB27">
        <v>26</v>
      </c>
      <c r="AC27" t="s">
        <v>279</v>
      </c>
      <c r="AD27">
        <v>1</v>
      </c>
      <c r="AE27">
        <v>3194</v>
      </c>
      <c r="AK27">
        <v>26</v>
      </c>
      <c r="AL27" t="s">
        <v>283</v>
      </c>
      <c r="AM27">
        <v>1</v>
      </c>
      <c r="AN27">
        <v>1</v>
      </c>
      <c r="AO27">
        <v>2389</v>
      </c>
      <c r="AT27">
        <v>26</v>
      </c>
      <c r="AU27" t="s">
        <v>221</v>
      </c>
      <c r="AV27">
        <v>2</v>
      </c>
      <c r="AW27">
        <v>1</v>
      </c>
      <c r="AX27">
        <v>3231</v>
      </c>
    </row>
    <row r="28" spans="4:50" x14ac:dyDescent="0.25">
      <c r="F28">
        <f>SUM(F2:F27)</f>
        <v>22</v>
      </c>
      <c r="G28">
        <f>AVERAGE(G2:G27)</f>
        <v>3258.7692307692309</v>
      </c>
      <c r="V28">
        <f>SUM(V2:V27)</f>
        <v>22</v>
      </c>
      <c r="AD28">
        <f>SUM(AD2:AD27)</f>
        <v>22</v>
      </c>
      <c r="AN28">
        <f>SUM(AN2:AN27)</f>
        <v>21</v>
      </c>
      <c r="AW28">
        <f>SUM(AW2:AW27)</f>
        <v>23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workbookViewId="0">
      <selection activeCell="Z3" sqref="Z3"/>
    </sheetView>
  </sheetViews>
  <sheetFormatPr baseColWidth="10" defaultRowHeight="15" x14ac:dyDescent="0.25"/>
  <cols>
    <col min="1" max="1" width="21.28515625" customWidth="1"/>
    <col min="4" max="4" width="33" customWidth="1"/>
    <col min="9" max="9" width="23.42578125" customWidth="1"/>
    <col min="12" max="12" width="22.85546875" customWidth="1"/>
    <col min="17" max="17" width="27.85546875" customWidth="1"/>
  </cols>
  <sheetData>
    <row r="1" spans="1:29" ht="15.75" x14ac:dyDescent="0.25">
      <c r="A1" s="1" t="s">
        <v>30</v>
      </c>
      <c r="B1" s="2" t="s">
        <v>0</v>
      </c>
      <c r="C1" s="2" t="s">
        <v>1</v>
      </c>
      <c r="D1" s="2" t="s">
        <v>237</v>
      </c>
      <c r="E1" s="1" t="s">
        <v>238</v>
      </c>
      <c r="I1" s="1" t="s">
        <v>30</v>
      </c>
      <c r="J1" s="2" t="s">
        <v>0</v>
      </c>
      <c r="K1" s="2" t="s">
        <v>1</v>
      </c>
      <c r="L1" s="2" t="s">
        <v>237</v>
      </c>
      <c r="M1" s="1" t="s">
        <v>238</v>
      </c>
      <c r="Q1" s="1" t="s">
        <v>30</v>
      </c>
      <c r="R1" s="2" t="s">
        <v>0</v>
      </c>
      <c r="S1" s="2" t="s">
        <v>1</v>
      </c>
      <c r="T1" s="2" t="s">
        <v>237</v>
      </c>
      <c r="U1" s="1" t="s">
        <v>238</v>
      </c>
      <c r="Y1" s="1" t="s">
        <v>30</v>
      </c>
      <c r="Z1" s="2" t="s">
        <v>0</v>
      </c>
      <c r="AA1" s="2" t="s">
        <v>1</v>
      </c>
      <c r="AB1" s="2" t="s">
        <v>237</v>
      </c>
      <c r="AC1" s="1" t="s">
        <v>238</v>
      </c>
    </row>
    <row r="2" spans="1:29" ht="15.75" x14ac:dyDescent="0.25">
      <c r="A2" s="3" t="s">
        <v>8</v>
      </c>
      <c r="B2">
        <v>1</v>
      </c>
      <c r="C2">
        <v>1</v>
      </c>
      <c r="D2" t="s">
        <v>728</v>
      </c>
      <c r="E2">
        <v>0</v>
      </c>
      <c r="I2" s="3" t="s">
        <v>117</v>
      </c>
      <c r="J2">
        <v>1</v>
      </c>
      <c r="K2">
        <v>2</v>
      </c>
      <c r="L2" t="s">
        <v>727</v>
      </c>
      <c r="M2">
        <v>0</v>
      </c>
      <c r="Q2" s="3" t="s">
        <v>118</v>
      </c>
      <c r="R2">
        <v>2</v>
      </c>
      <c r="S2">
        <v>3</v>
      </c>
      <c r="T2" t="s">
        <v>731</v>
      </c>
      <c r="U2">
        <v>0</v>
      </c>
      <c r="Y2" s="3" t="s">
        <v>119</v>
      </c>
      <c r="Z2">
        <v>2</v>
      </c>
      <c r="AA2">
        <v>4</v>
      </c>
      <c r="AB2" s="4" t="s">
        <v>737</v>
      </c>
      <c r="AC2">
        <v>0</v>
      </c>
    </row>
    <row r="3" spans="1:29" ht="15.75" x14ac:dyDescent="0.25">
      <c r="A3" s="1" t="s">
        <v>239</v>
      </c>
      <c r="I3" s="1" t="s">
        <v>239</v>
      </c>
      <c r="L3" t="s">
        <v>729</v>
      </c>
      <c r="Q3" s="1" t="s">
        <v>239</v>
      </c>
      <c r="T3" s="4" t="s">
        <v>732</v>
      </c>
      <c r="Y3" s="1" t="s">
        <v>239</v>
      </c>
      <c r="AB3" s="4" t="s">
        <v>738</v>
      </c>
    </row>
    <row r="4" spans="1:29" ht="15.75" x14ac:dyDescent="0.25">
      <c r="A4" s="1" t="s">
        <v>241</v>
      </c>
      <c r="I4" s="1" t="s">
        <v>34</v>
      </c>
      <c r="Q4" s="1" t="s">
        <v>241</v>
      </c>
      <c r="T4" s="4" t="s">
        <v>736</v>
      </c>
      <c r="Y4" s="1" t="s">
        <v>557</v>
      </c>
      <c r="AB4" s="4" t="s">
        <v>739</v>
      </c>
    </row>
    <row r="5" spans="1:29" ht="15.75" x14ac:dyDescent="0.25">
      <c r="A5" s="1" t="s">
        <v>240</v>
      </c>
      <c r="I5" s="1" t="s">
        <v>240</v>
      </c>
      <c r="Q5" s="1" t="s">
        <v>240</v>
      </c>
      <c r="T5" s="4" t="s">
        <v>733</v>
      </c>
      <c r="Y5" s="1" t="s">
        <v>240</v>
      </c>
      <c r="AB5" s="4" t="s">
        <v>740</v>
      </c>
    </row>
    <row r="6" spans="1:29" ht="15.75" x14ac:dyDescent="0.25">
      <c r="A6" s="1" t="s">
        <v>726</v>
      </c>
      <c r="I6" s="1" t="s">
        <v>726</v>
      </c>
      <c r="Q6" s="1" t="s">
        <v>730</v>
      </c>
      <c r="T6" s="4" t="s">
        <v>734</v>
      </c>
      <c r="Y6" s="1" t="s">
        <v>730</v>
      </c>
      <c r="AB6" s="4" t="s">
        <v>743</v>
      </c>
    </row>
    <row r="7" spans="1:29" x14ac:dyDescent="0.25">
      <c r="T7" s="4" t="s">
        <v>735</v>
      </c>
      <c r="AB7" s="4" t="s">
        <v>370</v>
      </c>
    </row>
    <row r="8" spans="1:29" x14ac:dyDescent="0.25">
      <c r="AB8" s="4" t="s">
        <v>741</v>
      </c>
    </row>
    <row r="9" spans="1:29" x14ac:dyDescent="0.25">
      <c r="AB9" s="4" t="s">
        <v>742</v>
      </c>
    </row>
    <row r="20" spans="4:8" ht="15.75" x14ac:dyDescent="0.25">
      <c r="D20" s="1" t="s">
        <v>30</v>
      </c>
      <c r="E20" t="s">
        <v>116</v>
      </c>
      <c r="F20" t="s">
        <v>117</v>
      </c>
      <c r="G20" t="s">
        <v>118</v>
      </c>
      <c r="H20" t="s">
        <v>744</v>
      </c>
    </row>
    <row r="21" spans="4:8" x14ac:dyDescent="0.25">
      <c r="D21" t="s">
        <v>180</v>
      </c>
      <c r="E21">
        <v>0</v>
      </c>
      <c r="F21">
        <v>0</v>
      </c>
      <c r="G21">
        <v>0</v>
      </c>
      <c r="H21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opLeftCell="X1" workbookViewId="0">
      <selection activeCell="AI2" sqref="AI2"/>
    </sheetView>
  </sheetViews>
  <sheetFormatPr baseColWidth="10" defaultRowHeight="15" x14ac:dyDescent="0.25"/>
  <cols>
    <col min="1" max="1" width="22.42578125" customWidth="1"/>
    <col min="4" max="4" width="20.7109375" customWidth="1"/>
  </cols>
  <sheetData>
    <row r="1" spans="1:30" ht="15.75" x14ac:dyDescent="0.25">
      <c r="A1" s="1" t="s">
        <v>30</v>
      </c>
      <c r="B1" s="2" t="s">
        <v>0</v>
      </c>
      <c r="C1" s="2" t="s">
        <v>1</v>
      </c>
      <c r="D1" s="2" t="s">
        <v>559</v>
      </c>
      <c r="E1" s="2" t="s">
        <v>237</v>
      </c>
      <c r="F1" s="1" t="s">
        <v>238</v>
      </c>
      <c r="H1" s="1" t="s">
        <v>30</v>
      </c>
      <c r="I1" s="2" t="s">
        <v>0</v>
      </c>
      <c r="J1" s="2" t="s">
        <v>1</v>
      </c>
      <c r="K1" s="2" t="s">
        <v>559</v>
      </c>
      <c r="L1" s="2" t="s">
        <v>237</v>
      </c>
      <c r="M1" s="1" t="s">
        <v>238</v>
      </c>
      <c r="Q1" s="1" t="s">
        <v>30</v>
      </c>
      <c r="R1" s="2" t="s">
        <v>0</v>
      </c>
      <c r="S1" s="2" t="s">
        <v>1</v>
      </c>
      <c r="T1" s="2" t="s">
        <v>559</v>
      </c>
      <c r="U1" s="2" t="s">
        <v>237</v>
      </c>
      <c r="V1" s="1" t="s">
        <v>238</v>
      </c>
      <c r="Y1" s="1" t="s">
        <v>30</v>
      </c>
      <c r="Z1" s="2" t="s">
        <v>0</v>
      </c>
      <c r="AA1" s="2" t="s">
        <v>1</v>
      </c>
      <c r="AB1" s="2" t="s">
        <v>559</v>
      </c>
      <c r="AC1" s="2" t="s">
        <v>237</v>
      </c>
      <c r="AD1" s="1" t="s">
        <v>238</v>
      </c>
    </row>
    <row r="2" spans="1:30" ht="15.75" x14ac:dyDescent="0.25">
      <c r="A2" s="3" t="s">
        <v>8</v>
      </c>
      <c r="B2">
        <v>1</v>
      </c>
      <c r="C2" s="17">
        <v>1</v>
      </c>
      <c r="D2" s="12">
        <v>1</v>
      </c>
      <c r="E2" t="s">
        <v>560</v>
      </c>
      <c r="F2" s="6">
        <v>6</v>
      </c>
      <c r="H2" s="3" t="s">
        <v>117</v>
      </c>
      <c r="I2" s="5">
        <v>1</v>
      </c>
      <c r="J2" s="17">
        <v>2</v>
      </c>
      <c r="K2" s="12">
        <v>1</v>
      </c>
      <c r="L2" t="s">
        <v>561</v>
      </c>
      <c r="M2" s="6">
        <v>5</v>
      </c>
      <c r="Q2" s="3" t="s">
        <v>118</v>
      </c>
      <c r="R2">
        <v>2</v>
      </c>
      <c r="S2">
        <v>3</v>
      </c>
      <c r="U2" s="18" t="s">
        <v>562</v>
      </c>
      <c r="Y2" s="3" t="s">
        <v>119</v>
      </c>
      <c r="Z2" s="5">
        <v>2</v>
      </c>
      <c r="AA2" s="17">
        <v>4</v>
      </c>
      <c r="AB2" s="12">
        <v>1</v>
      </c>
      <c r="AC2" t="s">
        <v>563</v>
      </c>
      <c r="AD2" s="6">
        <v>7</v>
      </c>
    </row>
    <row r="3" spans="1:30" ht="15.75" x14ac:dyDescent="0.25">
      <c r="A3" s="1" t="s">
        <v>564</v>
      </c>
      <c r="D3">
        <v>2</v>
      </c>
      <c r="E3" t="s">
        <v>565</v>
      </c>
      <c r="H3" s="1" t="s">
        <v>564</v>
      </c>
      <c r="K3">
        <v>1</v>
      </c>
      <c r="L3" t="s">
        <v>370</v>
      </c>
      <c r="Q3" s="1" t="s">
        <v>564</v>
      </c>
      <c r="T3">
        <v>1</v>
      </c>
      <c r="U3" s="19" t="s">
        <v>566</v>
      </c>
      <c r="Y3" s="1" t="s">
        <v>564</v>
      </c>
      <c r="AB3">
        <v>1</v>
      </c>
      <c r="AC3" t="s">
        <v>567</v>
      </c>
    </row>
    <row r="4" spans="1:30" ht="15.75" x14ac:dyDescent="0.25">
      <c r="A4" s="1" t="s">
        <v>88</v>
      </c>
      <c r="D4">
        <v>3</v>
      </c>
      <c r="E4" t="s">
        <v>568</v>
      </c>
      <c r="H4" s="2" t="s">
        <v>89</v>
      </c>
      <c r="L4" s="4" t="s">
        <v>569</v>
      </c>
      <c r="Q4" s="1" t="s">
        <v>36</v>
      </c>
      <c r="T4">
        <v>1</v>
      </c>
      <c r="U4" s="20" t="s">
        <v>563</v>
      </c>
      <c r="Y4" s="2" t="s">
        <v>557</v>
      </c>
      <c r="AB4">
        <v>1</v>
      </c>
      <c r="AC4" t="s">
        <v>570</v>
      </c>
    </row>
    <row r="5" spans="1:30" ht="15.75" x14ac:dyDescent="0.25">
      <c r="A5" s="1" t="s">
        <v>571</v>
      </c>
      <c r="D5">
        <v>4</v>
      </c>
      <c r="E5" t="s">
        <v>572</v>
      </c>
      <c r="H5" s="2" t="s">
        <v>573</v>
      </c>
      <c r="K5">
        <v>1</v>
      </c>
      <c r="L5" t="s">
        <v>574</v>
      </c>
      <c r="Q5" s="2" t="s">
        <v>573</v>
      </c>
      <c r="T5">
        <v>1</v>
      </c>
      <c r="U5" s="19" t="s">
        <v>575</v>
      </c>
      <c r="Y5" s="2" t="s">
        <v>576</v>
      </c>
      <c r="AB5">
        <v>1</v>
      </c>
      <c r="AC5" t="s">
        <v>577</v>
      </c>
    </row>
    <row r="6" spans="1:30" x14ac:dyDescent="0.25">
      <c r="E6" s="4" t="s">
        <v>578</v>
      </c>
      <c r="L6" s="4" t="s">
        <v>579</v>
      </c>
      <c r="T6">
        <v>1</v>
      </c>
      <c r="U6" t="s">
        <v>580</v>
      </c>
      <c r="AB6">
        <v>1</v>
      </c>
      <c r="AC6" t="s">
        <v>581</v>
      </c>
    </row>
    <row r="7" spans="1:30" x14ac:dyDescent="0.25">
      <c r="D7">
        <v>5</v>
      </c>
      <c r="E7" t="s">
        <v>582</v>
      </c>
      <c r="K7">
        <v>1</v>
      </c>
      <c r="L7" t="s">
        <v>583</v>
      </c>
      <c r="U7" s="4" t="s">
        <v>584</v>
      </c>
      <c r="AB7">
        <v>1</v>
      </c>
      <c r="AC7" t="s">
        <v>585</v>
      </c>
    </row>
    <row r="8" spans="1:30" x14ac:dyDescent="0.25">
      <c r="D8">
        <v>6</v>
      </c>
      <c r="E8" t="s">
        <v>586</v>
      </c>
      <c r="K8">
        <v>1</v>
      </c>
      <c r="L8" t="s">
        <v>587</v>
      </c>
      <c r="T8">
        <v>1</v>
      </c>
      <c r="U8" t="s">
        <v>588</v>
      </c>
      <c r="AC8" t="s">
        <v>589</v>
      </c>
    </row>
    <row r="9" spans="1:30" x14ac:dyDescent="0.25">
      <c r="E9" s="4" t="s">
        <v>590</v>
      </c>
      <c r="L9" s="4" t="s">
        <v>370</v>
      </c>
      <c r="AB9">
        <v>1</v>
      </c>
      <c r="AC9" t="s">
        <v>591</v>
      </c>
    </row>
    <row r="10" spans="1:30" x14ac:dyDescent="0.25">
      <c r="K10">
        <f>SUM(K2:K9)</f>
        <v>5</v>
      </c>
      <c r="T10">
        <f>SUM(T2:T9)</f>
        <v>5</v>
      </c>
    </row>
    <row r="11" spans="1:30" x14ac:dyDescent="0.25">
      <c r="AB11">
        <f>SUM(AB2:AB10)</f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"/>
  <sheetViews>
    <sheetView topLeftCell="X1" workbookViewId="0">
      <selection activeCell="AJ15" sqref="AJ15"/>
    </sheetView>
  </sheetViews>
  <sheetFormatPr baseColWidth="10" defaultRowHeight="15" x14ac:dyDescent="0.25"/>
  <cols>
    <col min="1" max="1" width="30.28515625" customWidth="1"/>
    <col min="4" max="4" width="15.5703125" customWidth="1"/>
    <col min="7" max="7" width="17.5703125" customWidth="1"/>
    <col min="8" max="8" width="20" customWidth="1"/>
    <col min="12" max="12" width="37.42578125" customWidth="1"/>
    <col min="19" max="19" width="19.5703125" customWidth="1"/>
    <col min="24" max="24" width="28.28515625" customWidth="1"/>
    <col min="31" max="31" width="22.140625" customWidth="1"/>
    <col min="36" max="36" width="37.42578125" customWidth="1"/>
  </cols>
  <sheetData>
    <row r="1" spans="1:43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466</v>
      </c>
      <c r="F1" s="2" t="s">
        <v>467</v>
      </c>
      <c r="G1" s="2" t="s">
        <v>468</v>
      </c>
      <c r="H1" s="2" t="s">
        <v>469</v>
      </c>
      <c r="L1" s="1" t="s">
        <v>30</v>
      </c>
      <c r="M1" s="2" t="s">
        <v>0</v>
      </c>
      <c r="N1" s="2" t="s">
        <v>1</v>
      </c>
      <c r="O1" s="2" t="s">
        <v>2</v>
      </c>
      <c r="P1" s="2" t="s">
        <v>466</v>
      </c>
      <c r="Q1" s="2" t="s">
        <v>467</v>
      </c>
      <c r="R1" s="2" t="s">
        <v>468</v>
      </c>
      <c r="S1" s="2" t="s">
        <v>469</v>
      </c>
      <c r="X1" s="1" t="s">
        <v>30</v>
      </c>
      <c r="Y1" s="2" t="s">
        <v>0</v>
      </c>
      <c r="Z1" s="2" t="s">
        <v>1</v>
      </c>
      <c r="AA1" s="2" t="s">
        <v>2</v>
      </c>
      <c r="AB1" s="2" t="s">
        <v>466</v>
      </c>
      <c r="AC1" s="2" t="s">
        <v>467</v>
      </c>
      <c r="AD1" s="2" t="s">
        <v>468</v>
      </c>
      <c r="AE1" s="2" t="s">
        <v>469</v>
      </c>
      <c r="AJ1" s="1" t="s">
        <v>30</v>
      </c>
      <c r="AK1" s="2" t="s">
        <v>0</v>
      </c>
      <c r="AL1" s="2" t="s">
        <v>1</v>
      </c>
      <c r="AM1" s="2" t="s">
        <v>2</v>
      </c>
      <c r="AN1" s="2" t="s">
        <v>466</v>
      </c>
      <c r="AO1" s="2" t="s">
        <v>467</v>
      </c>
      <c r="AP1" s="2" t="s">
        <v>468</v>
      </c>
      <c r="AQ1" s="2" t="s">
        <v>469</v>
      </c>
    </row>
    <row r="2" spans="1:43" ht="15.75" x14ac:dyDescent="0.25">
      <c r="A2" s="3" t="s">
        <v>8</v>
      </c>
      <c r="B2">
        <v>1</v>
      </c>
      <c r="C2">
        <v>1</v>
      </c>
      <c r="D2">
        <v>1</v>
      </c>
      <c r="E2" t="s">
        <v>474</v>
      </c>
      <c r="F2" t="s">
        <v>475</v>
      </c>
      <c r="G2">
        <v>1</v>
      </c>
      <c r="H2">
        <v>4584</v>
      </c>
      <c r="L2" s="3" t="s">
        <v>117</v>
      </c>
      <c r="M2">
        <v>1</v>
      </c>
      <c r="N2">
        <v>2</v>
      </c>
      <c r="O2">
        <v>1</v>
      </c>
      <c r="P2" t="s">
        <v>476</v>
      </c>
      <c r="Q2" t="s">
        <v>496</v>
      </c>
      <c r="R2">
        <v>0</v>
      </c>
      <c r="S2">
        <v>3440</v>
      </c>
      <c r="X2" s="3" t="s">
        <v>118</v>
      </c>
      <c r="Y2">
        <v>2</v>
      </c>
      <c r="Z2">
        <v>3</v>
      </c>
      <c r="AA2">
        <v>1</v>
      </c>
      <c r="AB2" t="s">
        <v>476</v>
      </c>
      <c r="AC2" t="s">
        <v>516</v>
      </c>
      <c r="AD2">
        <v>0</v>
      </c>
      <c r="AE2">
        <v>5085</v>
      </c>
      <c r="AJ2" s="3" t="s">
        <v>119</v>
      </c>
      <c r="AK2">
        <v>2</v>
      </c>
      <c r="AL2">
        <v>4</v>
      </c>
      <c r="AM2">
        <v>1</v>
      </c>
      <c r="AN2" t="s">
        <v>474</v>
      </c>
      <c r="AO2" t="s">
        <v>555</v>
      </c>
      <c r="AP2">
        <v>1</v>
      </c>
      <c r="AQ2">
        <v>4341</v>
      </c>
    </row>
    <row r="3" spans="1:43" ht="15.75" x14ac:dyDescent="0.25">
      <c r="A3" s="1" t="s">
        <v>470</v>
      </c>
      <c r="D3">
        <v>2</v>
      </c>
      <c r="E3" t="s">
        <v>476</v>
      </c>
      <c r="F3" t="s">
        <v>477</v>
      </c>
      <c r="G3">
        <v>0</v>
      </c>
      <c r="H3">
        <v>2466</v>
      </c>
      <c r="L3" s="1" t="s">
        <v>470</v>
      </c>
      <c r="O3">
        <v>2</v>
      </c>
      <c r="P3" t="s">
        <v>474</v>
      </c>
      <c r="Q3" t="s">
        <v>506</v>
      </c>
      <c r="R3">
        <v>1</v>
      </c>
      <c r="S3">
        <v>2689</v>
      </c>
      <c r="X3" s="1" t="s">
        <v>470</v>
      </c>
      <c r="AA3">
        <v>2</v>
      </c>
      <c r="AB3" t="s">
        <v>474</v>
      </c>
      <c r="AC3" t="s">
        <v>517</v>
      </c>
      <c r="AD3">
        <v>1</v>
      </c>
      <c r="AE3">
        <v>3383</v>
      </c>
      <c r="AJ3" s="1" t="s">
        <v>470</v>
      </c>
      <c r="AM3">
        <v>2</v>
      </c>
      <c r="AN3" t="s">
        <v>476</v>
      </c>
      <c r="AO3" t="s">
        <v>516</v>
      </c>
      <c r="AP3">
        <v>1</v>
      </c>
      <c r="AQ3">
        <v>1859</v>
      </c>
    </row>
    <row r="4" spans="1:43" ht="15.75" x14ac:dyDescent="0.25">
      <c r="A4" s="1" t="s">
        <v>473</v>
      </c>
      <c r="D4">
        <v>3</v>
      </c>
      <c r="E4" t="s">
        <v>476</v>
      </c>
      <c r="F4" t="s">
        <v>478</v>
      </c>
      <c r="G4">
        <v>1</v>
      </c>
      <c r="H4">
        <v>1463</v>
      </c>
      <c r="L4" s="1" t="s">
        <v>514</v>
      </c>
      <c r="O4">
        <v>3</v>
      </c>
      <c r="P4" t="s">
        <v>476</v>
      </c>
      <c r="Q4" t="s">
        <v>498</v>
      </c>
      <c r="R4">
        <v>0</v>
      </c>
      <c r="S4">
        <v>4993</v>
      </c>
      <c r="X4" s="1" t="s">
        <v>515</v>
      </c>
      <c r="AA4">
        <v>3</v>
      </c>
      <c r="AB4" t="s">
        <v>474</v>
      </c>
      <c r="AC4" t="s">
        <v>518</v>
      </c>
      <c r="AD4">
        <v>1</v>
      </c>
      <c r="AE4">
        <v>2729</v>
      </c>
      <c r="AJ4" s="1" t="s">
        <v>556</v>
      </c>
      <c r="AM4">
        <v>3</v>
      </c>
      <c r="AN4" t="s">
        <v>476</v>
      </c>
      <c r="AO4" t="s">
        <v>524</v>
      </c>
      <c r="AP4">
        <v>0</v>
      </c>
      <c r="AQ4">
        <v>2744</v>
      </c>
    </row>
    <row r="5" spans="1:43" ht="15.75" x14ac:dyDescent="0.25">
      <c r="A5" s="6" t="s">
        <v>471</v>
      </c>
      <c r="D5">
        <v>4</v>
      </c>
      <c r="E5" t="s">
        <v>474</v>
      </c>
      <c r="F5" t="s">
        <v>479</v>
      </c>
      <c r="G5">
        <v>1</v>
      </c>
      <c r="H5">
        <v>2013</v>
      </c>
      <c r="L5" s="6" t="s">
        <v>471</v>
      </c>
      <c r="O5">
        <v>4</v>
      </c>
      <c r="P5" t="s">
        <v>474</v>
      </c>
      <c r="Q5" t="s">
        <v>481</v>
      </c>
      <c r="R5">
        <v>1</v>
      </c>
      <c r="S5">
        <v>3083</v>
      </c>
      <c r="X5" s="6" t="s">
        <v>471</v>
      </c>
      <c r="AA5">
        <v>4</v>
      </c>
      <c r="AB5" t="s">
        <v>476</v>
      </c>
      <c r="AC5" t="s">
        <v>519</v>
      </c>
      <c r="AD5">
        <v>0</v>
      </c>
      <c r="AE5">
        <v>3837</v>
      </c>
      <c r="AJ5" s="6" t="s">
        <v>471</v>
      </c>
      <c r="AM5">
        <v>4</v>
      </c>
      <c r="AN5" t="s">
        <v>474</v>
      </c>
      <c r="AO5" t="s">
        <v>537</v>
      </c>
      <c r="AP5">
        <v>0</v>
      </c>
      <c r="AQ5">
        <v>3887</v>
      </c>
    </row>
    <row r="6" spans="1:43" x14ac:dyDescent="0.25">
      <c r="D6">
        <v>5</v>
      </c>
      <c r="E6" t="s">
        <v>474</v>
      </c>
      <c r="F6" t="s">
        <v>480</v>
      </c>
      <c r="G6">
        <v>1</v>
      </c>
      <c r="H6">
        <v>1721</v>
      </c>
      <c r="O6">
        <v>5</v>
      </c>
      <c r="P6" t="s">
        <v>476</v>
      </c>
      <c r="Q6" t="s">
        <v>503</v>
      </c>
      <c r="R6">
        <v>0</v>
      </c>
      <c r="S6">
        <v>2648</v>
      </c>
      <c r="AA6">
        <v>5</v>
      </c>
      <c r="AB6" t="s">
        <v>476</v>
      </c>
      <c r="AC6" t="s">
        <v>520</v>
      </c>
      <c r="AD6">
        <v>1</v>
      </c>
      <c r="AE6">
        <v>2683</v>
      </c>
      <c r="AM6">
        <v>5</v>
      </c>
      <c r="AN6" t="s">
        <v>476</v>
      </c>
      <c r="AO6" t="s">
        <v>538</v>
      </c>
      <c r="AP6">
        <v>1</v>
      </c>
      <c r="AQ6">
        <v>2952</v>
      </c>
    </row>
    <row r="7" spans="1:43" x14ac:dyDescent="0.25">
      <c r="D7">
        <v>6</v>
      </c>
      <c r="E7" t="s">
        <v>474</v>
      </c>
      <c r="F7" t="s">
        <v>481</v>
      </c>
      <c r="G7">
        <v>1</v>
      </c>
      <c r="H7">
        <v>2208</v>
      </c>
      <c r="O7">
        <v>6</v>
      </c>
      <c r="P7" t="s">
        <v>474</v>
      </c>
      <c r="Q7" t="s">
        <v>475</v>
      </c>
      <c r="R7">
        <v>1</v>
      </c>
      <c r="S7">
        <v>2587</v>
      </c>
      <c r="AA7">
        <v>6</v>
      </c>
      <c r="AB7" t="s">
        <v>474</v>
      </c>
      <c r="AC7" t="s">
        <v>521</v>
      </c>
      <c r="AD7">
        <v>1</v>
      </c>
      <c r="AE7">
        <v>3726</v>
      </c>
      <c r="AM7">
        <v>6</v>
      </c>
      <c r="AN7" t="s">
        <v>476</v>
      </c>
      <c r="AO7" t="s">
        <v>534</v>
      </c>
      <c r="AP7">
        <v>1</v>
      </c>
      <c r="AQ7">
        <v>1646</v>
      </c>
    </row>
    <row r="8" spans="1:43" x14ac:dyDescent="0.25">
      <c r="D8">
        <v>7</v>
      </c>
      <c r="E8" t="s">
        <v>476</v>
      </c>
      <c r="F8" t="s">
        <v>482</v>
      </c>
      <c r="G8">
        <v>1</v>
      </c>
      <c r="H8">
        <v>3353</v>
      </c>
      <c r="O8">
        <v>7</v>
      </c>
      <c r="P8" t="s">
        <v>476</v>
      </c>
      <c r="Q8" t="s">
        <v>484</v>
      </c>
      <c r="R8">
        <v>0</v>
      </c>
      <c r="S8">
        <v>2564</v>
      </c>
      <c r="AA8">
        <v>7</v>
      </c>
      <c r="AB8" t="s">
        <v>474</v>
      </c>
      <c r="AC8" t="s">
        <v>522</v>
      </c>
      <c r="AD8">
        <v>1</v>
      </c>
      <c r="AE8">
        <v>3158</v>
      </c>
      <c r="AM8">
        <v>7</v>
      </c>
      <c r="AN8" t="s">
        <v>476</v>
      </c>
      <c r="AO8" t="s">
        <v>539</v>
      </c>
      <c r="AP8">
        <v>0</v>
      </c>
      <c r="AQ8">
        <v>3106</v>
      </c>
    </row>
    <row r="9" spans="1:43" x14ac:dyDescent="0.25">
      <c r="D9">
        <v>8</v>
      </c>
      <c r="E9" t="s">
        <v>474</v>
      </c>
      <c r="F9" t="s">
        <v>483</v>
      </c>
      <c r="G9">
        <v>1</v>
      </c>
      <c r="H9">
        <v>2209</v>
      </c>
      <c r="O9">
        <v>8</v>
      </c>
      <c r="P9" t="s">
        <v>476</v>
      </c>
      <c r="Q9" t="s">
        <v>513</v>
      </c>
      <c r="R9">
        <v>1</v>
      </c>
      <c r="S9">
        <v>4202</v>
      </c>
      <c r="AA9">
        <v>8</v>
      </c>
      <c r="AB9" t="s">
        <v>476</v>
      </c>
      <c r="AC9" t="s">
        <v>523</v>
      </c>
      <c r="AD9">
        <v>0</v>
      </c>
      <c r="AE9">
        <v>4092</v>
      </c>
      <c r="AM9">
        <v>8</v>
      </c>
      <c r="AN9" t="s">
        <v>474</v>
      </c>
      <c r="AO9" t="s">
        <v>528</v>
      </c>
      <c r="AP9">
        <v>1</v>
      </c>
      <c r="AQ9">
        <v>3866</v>
      </c>
    </row>
    <row r="10" spans="1:43" x14ac:dyDescent="0.25">
      <c r="D10">
        <v>9</v>
      </c>
      <c r="E10" t="s">
        <v>476</v>
      </c>
      <c r="F10" t="s">
        <v>484</v>
      </c>
      <c r="G10">
        <v>0</v>
      </c>
      <c r="H10">
        <v>1325</v>
      </c>
      <c r="O10">
        <v>9</v>
      </c>
      <c r="P10" t="s">
        <v>476</v>
      </c>
      <c r="Q10" t="s">
        <v>486</v>
      </c>
      <c r="R10">
        <v>1</v>
      </c>
      <c r="S10">
        <v>3412</v>
      </c>
      <c r="AA10">
        <v>9</v>
      </c>
      <c r="AB10" t="s">
        <v>476</v>
      </c>
      <c r="AC10" t="s">
        <v>524</v>
      </c>
      <c r="AD10">
        <v>0</v>
      </c>
      <c r="AE10">
        <v>4290</v>
      </c>
      <c r="AM10">
        <v>9</v>
      </c>
      <c r="AN10" t="s">
        <v>476</v>
      </c>
      <c r="AO10" t="s">
        <v>541</v>
      </c>
      <c r="AP10">
        <v>1</v>
      </c>
      <c r="AQ10">
        <v>2460</v>
      </c>
    </row>
    <row r="11" spans="1:43" x14ac:dyDescent="0.25">
      <c r="D11">
        <v>10</v>
      </c>
      <c r="E11" t="s">
        <v>476</v>
      </c>
      <c r="F11" t="s">
        <v>485</v>
      </c>
      <c r="G11">
        <v>0</v>
      </c>
      <c r="H11">
        <v>1422</v>
      </c>
      <c r="O11">
        <v>10</v>
      </c>
      <c r="P11" t="s">
        <v>476</v>
      </c>
      <c r="Q11" t="s">
        <v>485</v>
      </c>
      <c r="R11">
        <v>0</v>
      </c>
      <c r="S11">
        <v>3085</v>
      </c>
      <c r="AA11">
        <v>10</v>
      </c>
      <c r="AB11" t="s">
        <v>474</v>
      </c>
      <c r="AC11" t="s">
        <v>525</v>
      </c>
      <c r="AD11">
        <v>0</v>
      </c>
      <c r="AE11">
        <v>2903</v>
      </c>
      <c r="AM11">
        <v>10</v>
      </c>
      <c r="AN11" t="s">
        <v>474</v>
      </c>
      <c r="AO11" t="s">
        <v>552</v>
      </c>
      <c r="AP11">
        <v>1</v>
      </c>
      <c r="AQ11">
        <v>3170</v>
      </c>
    </row>
    <row r="12" spans="1:43" x14ac:dyDescent="0.25">
      <c r="D12">
        <v>11</v>
      </c>
      <c r="E12" t="s">
        <v>476</v>
      </c>
      <c r="F12" t="s">
        <v>486</v>
      </c>
      <c r="G12">
        <v>0</v>
      </c>
      <c r="H12">
        <v>2349</v>
      </c>
      <c r="O12">
        <v>11</v>
      </c>
      <c r="P12" t="s">
        <v>476</v>
      </c>
      <c r="Q12" t="s">
        <v>493</v>
      </c>
      <c r="R12">
        <v>0</v>
      </c>
      <c r="S12">
        <v>2265</v>
      </c>
      <c r="AA12">
        <v>11</v>
      </c>
      <c r="AB12" t="s">
        <v>474</v>
      </c>
      <c r="AC12" t="s">
        <v>526</v>
      </c>
      <c r="AD12">
        <v>1</v>
      </c>
      <c r="AE12">
        <v>3027</v>
      </c>
      <c r="AM12">
        <v>11</v>
      </c>
      <c r="AN12" t="s">
        <v>474</v>
      </c>
      <c r="AO12" t="s">
        <v>544</v>
      </c>
      <c r="AP12">
        <v>1</v>
      </c>
      <c r="AQ12">
        <v>3473</v>
      </c>
    </row>
    <row r="13" spans="1:43" x14ac:dyDescent="0.25">
      <c r="D13">
        <v>12</v>
      </c>
      <c r="E13" t="s">
        <v>474</v>
      </c>
      <c r="F13" t="s">
        <v>487</v>
      </c>
      <c r="G13">
        <v>1</v>
      </c>
      <c r="H13">
        <v>2918</v>
      </c>
      <c r="O13">
        <v>12</v>
      </c>
      <c r="P13" t="s">
        <v>476</v>
      </c>
      <c r="Q13" t="s">
        <v>501</v>
      </c>
      <c r="R13">
        <v>1</v>
      </c>
      <c r="S13">
        <v>2972</v>
      </c>
      <c r="AA13">
        <v>12</v>
      </c>
      <c r="AB13" t="s">
        <v>476</v>
      </c>
      <c r="AC13" t="s">
        <v>527</v>
      </c>
      <c r="AD13">
        <v>1</v>
      </c>
      <c r="AE13">
        <v>1843</v>
      </c>
      <c r="AM13">
        <v>12</v>
      </c>
      <c r="AN13" t="s">
        <v>476</v>
      </c>
      <c r="AO13" t="s">
        <v>520</v>
      </c>
      <c r="AP13">
        <v>1</v>
      </c>
      <c r="AQ13">
        <v>2075</v>
      </c>
    </row>
    <row r="14" spans="1:43" x14ac:dyDescent="0.25">
      <c r="D14">
        <v>13</v>
      </c>
      <c r="E14" t="s">
        <v>474</v>
      </c>
      <c r="F14" t="s">
        <v>488</v>
      </c>
      <c r="G14">
        <v>1</v>
      </c>
      <c r="H14">
        <v>1555</v>
      </c>
      <c r="O14">
        <v>13</v>
      </c>
      <c r="P14" t="s">
        <v>476</v>
      </c>
      <c r="Q14" t="s">
        <v>509</v>
      </c>
      <c r="R14">
        <v>1</v>
      </c>
      <c r="S14">
        <v>2817</v>
      </c>
      <c r="AA14">
        <v>13</v>
      </c>
      <c r="AB14" t="s">
        <v>474</v>
      </c>
      <c r="AC14" t="s">
        <v>528</v>
      </c>
      <c r="AD14">
        <v>1</v>
      </c>
      <c r="AE14">
        <v>3537</v>
      </c>
      <c r="AM14">
        <v>13</v>
      </c>
      <c r="AN14" t="s">
        <v>474</v>
      </c>
      <c r="AO14" t="s">
        <v>526</v>
      </c>
      <c r="AP14">
        <v>1</v>
      </c>
      <c r="AQ14">
        <v>2093</v>
      </c>
    </row>
    <row r="15" spans="1:43" x14ac:dyDescent="0.25">
      <c r="D15">
        <v>14</v>
      </c>
      <c r="E15" t="s">
        <v>474</v>
      </c>
      <c r="F15" t="s">
        <v>489</v>
      </c>
      <c r="G15">
        <v>1</v>
      </c>
      <c r="H15">
        <v>2315</v>
      </c>
      <c r="O15">
        <v>14</v>
      </c>
      <c r="P15" t="s">
        <v>474</v>
      </c>
      <c r="Q15" t="s">
        <v>326</v>
      </c>
      <c r="R15">
        <v>1</v>
      </c>
      <c r="S15">
        <v>3756</v>
      </c>
      <c r="AA15">
        <v>14</v>
      </c>
      <c r="AB15" t="s">
        <v>476</v>
      </c>
      <c r="AC15" t="s">
        <v>529</v>
      </c>
      <c r="AD15">
        <v>1</v>
      </c>
      <c r="AE15">
        <v>3292</v>
      </c>
      <c r="AM15">
        <v>14</v>
      </c>
      <c r="AN15" t="s">
        <v>474</v>
      </c>
      <c r="AO15" t="s">
        <v>553</v>
      </c>
      <c r="AP15">
        <v>1</v>
      </c>
      <c r="AQ15">
        <v>3815</v>
      </c>
    </row>
    <row r="16" spans="1:43" x14ac:dyDescent="0.25">
      <c r="D16">
        <v>15</v>
      </c>
      <c r="E16" t="s">
        <v>474</v>
      </c>
      <c r="F16" t="s">
        <v>490</v>
      </c>
      <c r="G16">
        <v>1</v>
      </c>
      <c r="H16">
        <v>2406</v>
      </c>
      <c r="O16">
        <v>15</v>
      </c>
      <c r="P16" t="s">
        <v>476</v>
      </c>
      <c r="Q16" t="s">
        <v>495</v>
      </c>
      <c r="R16">
        <v>1</v>
      </c>
      <c r="S16">
        <v>2141</v>
      </c>
      <c r="AA16">
        <v>15</v>
      </c>
      <c r="AB16" t="s">
        <v>476</v>
      </c>
      <c r="AC16" t="s">
        <v>530</v>
      </c>
      <c r="AD16">
        <v>0</v>
      </c>
      <c r="AE16">
        <v>2952</v>
      </c>
      <c r="AM16">
        <v>15</v>
      </c>
      <c r="AN16" t="s">
        <v>474</v>
      </c>
      <c r="AO16" t="s">
        <v>517</v>
      </c>
      <c r="AP16">
        <v>1</v>
      </c>
      <c r="AQ16">
        <v>3404</v>
      </c>
    </row>
    <row r="17" spans="4:43" x14ac:dyDescent="0.25">
      <c r="D17">
        <v>16</v>
      </c>
      <c r="E17" t="s">
        <v>474</v>
      </c>
      <c r="F17" t="s">
        <v>491</v>
      </c>
      <c r="G17">
        <v>1</v>
      </c>
      <c r="H17">
        <v>2055</v>
      </c>
      <c r="O17">
        <v>16</v>
      </c>
      <c r="P17" t="s">
        <v>474</v>
      </c>
      <c r="Q17" t="s">
        <v>494</v>
      </c>
      <c r="R17">
        <v>1</v>
      </c>
      <c r="S17">
        <v>2303</v>
      </c>
      <c r="AA17">
        <v>16</v>
      </c>
      <c r="AB17" t="s">
        <v>476</v>
      </c>
      <c r="AC17" t="s">
        <v>531</v>
      </c>
      <c r="AD17">
        <v>1</v>
      </c>
      <c r="AE17">
        <v>2212</v>
      </c>
      <c r="AM17">
        <v>16</v>
      </c>
      <c r="AN17" t="s">
        <v>474</v>
      </c>
      <c r="AO17" t="s">
        <v>535</v>
      </c>
      <c r="AP17">
        <v>0</v>
      </c>
      <c r="AQ17">
        <v>2008</v>
      </c>
    </row>
    <row r="18" spans="4:43" x14ac:dyDescent="0.25">
      <c r="D18">
        <v>17</v>
      </c>
      <c r="E18" t="s">
        <v>474</v>
      </c>
      <c r="F18" t="s">
        <v>369</v>
      </c>
      <c r="G18">
        <v>1</v>
      </c>
      <c r="H18">
        <v>1882</v>
      </c>
      <c r="O18">
        <v>17</v>
      </c>
      <c r="P18" t="s">
        <v>476</v>
      </c>
      <c r="Q18" t="s">
        <v>492</v>
      </c>
      <c r="R18">
        <v>0</v>
      </c>
      <c r="S18">
        <v>2716</v>
      </c>
      <c r="AA18">
        <v>17</v>
      </c>
      <c r="AB18" t="s">
        <v>474</v>
      </c>
      <c r="AC18" t="s">
        <v>532</v>
      </c>
      <c r="AD18">
        <v>1</v>
      </c>
      <c r="AE18">
        <v>2791</v>
      </c>
      <c r="AM18">
        <v>17</v>
      </c>
      <c r="AN18" t="s">
        <v>474</v>
      </c>
      <c r="AO18" t="s">
        <v>536</v>
      </c>
      <c r="AP18">
        <v>1</v>
      </c>
      <c r="AQ18">
        <v>4601</v>
      </c>
    </row>
    <row r="19" spans="4:43" x14ac:dyDescent="0.25">
      <c r="D19">
        <v>18</v>
      </c>
      <c r="E19" t="s">
        <v>476</v>
      </c>
      <c r="F19" t="s">
        <v>492</v>
      </c>
      <c r="G19">
        <v>0</v>
      </c>
      <c r="H19">
        <v>3507</v>
      </c>
      <c r="O19">
        <v>18</v>
      </c>
      <c r="P19" t="s">
        <v>474</v>
      </c>
      <c r="Q19" t="s">
        <v>487</v>
      </c>
      <c r="R19">
        <v>1</v>
      </c>
      <c r="S19">
        <v>5314</v>
      </c>
      <c r="AA19">
        <v>18</v>
      </c>
      <c r="AB19" t="s">
        <v>476</v>
      </c>
      <c r="AC19" t="s">
        <v>533</v>
      </c>
      <c r="AD19">
        <v>1</v>
      </c>
      <c r="AE19">
        <v>4027</v>
      </c>
      <c r="AM19">
        <v>18</v>
      </c>
      <c r="AN19" t="s">
        <v>476</v>
      </c>
      <c r="AO19" t="s">
        <v>540</v>
      </c>
      <c r="AP19">
        <v>1</v>
      </c>
      <c r="AQ19">
        <v>3374</v>
      </c>
    </row>
    <row r="20" spans="4:43" x14ac:dyDescent="0.25">
      <c r="D20">
        <v>19</v>
      </c>
      <c r="E20" t="s">
        <v>476</v>
      </c>
      <c r="F20" t="s">
        <v>493</v>
      </c>
      <c r="G20">
        <v>0</v>
      </c>
      <c r="H20">
        <v>3670</v>
      </c>
      <c r="O20">
        <v>19</v>
      </c>
      <c r="P20" t="s">
        <v>474</v>
      </c>
      <c r="Q20" t="s">
        <v>489</v>
      </c>
      <c r="R20">
        <v>1</v>
      </c>
      <c r="S20">
        <v>2892</v>
      </c>
      <c r="AA20">
        <v>19</v>
      </c>
      <c r="AB20" t="s">
        <v>476</v>
      </c>
      <c r="AC20" t="s">
        <v>534</v>
      </c>
      <c r="AD20">
        <v>1</v>
      </c>
      <c r="AE20">
        <v>2165</v>
      </c>
      <c r="AM20">
        <v>19</v>
      </c>
      <c r="AN20" t="s">
        <v>474</v>
      </c>
      <c r="AO20" t="s">
        <v>525</v>
      </c>
      <c r="AP20">
        <v>0</v>
      </c>
      <c r="AQ20">
        <v>3266</v>
      </c>
    </row>
    <row r="21" spans="4:43" x14ac:dyDescent="0.25">
      <c r="D21">
        <v>20</v>
      </c>
      <c r="E21" t="s">
        <v>474</v>
      </c>
      <c r="F21" t="s">
        <v>326</v>
      </c>
      <c r="G21">
        <v>1</v>
      </c>
      <c r="H21">
        <v>4385</v>
      </c>
      <c r="O21">
        <v>20</v>
      </c>
      <c r="P21" t="s">
        <v>474</v>
      </c>
      <c r="Q21" t="s">
        <v>479</v>
      </c>
      <c r="R21">
        <v>1</v>
      </c>
      <c r="S21">
        <v>2207</v>
      </c>
      <c r="AA21">
        <v>20</v>
      </c>
      <c r="AB21" t="s">
        <v>474</v>
      </c>
      <c r="AC21" t="s">
        <v>535</v>
      </c>
      <c r="AD21">
        <v>1</v>
      </c>
      <c r="AE21">
        <v>2663</v>
      </c>
      <c r="AM21">
        <v>20</v>
      </c>
      <c r="AN21" t="s">
        <v>474</v>
      </c>
      <c r="AO21" t="s">
        <v>521</v>
      </c>
      <c r="AP21">
        <v>1</v>
      </c>
      <c r="AQ21">
        <v>4413</v>
      </c>
    </row>
    <row r="22" spans="4:43" x14ac:dyDescent="0.25">
      <c r="D22">
        <v>21</v>
      </c>
      <c r="E22" t="s">
        <v>474</v>
      </c>
      <c r="F22" t="s">
        <v>494</v>
      </c>
      <c r="G22">
        <v>1</v>
      </c>
      <c r="H22">
        <v>4839</v>
      </c>
      <c r="O22">
        <v>21</v>
      </c>
      <c r="P22" t="s">
        <v>474</v>
      </c>
      <c r="Q22" t="s">
        <v>504</v>
      </c>
      <c r="R22">
        <v>1</v>
      </c>
      <c r="S22">
        <v>3698</v>
      </c>
      <c r="AA22">
        <v>21</v>
      </c>
      <c r="AB22" t="s">
        <v>474</v>
      </c>
      <c r="AC22" t="s">
        <v>536</v>
      </c>
      <c r="AD22">
        <v>1</v>
      </c>
      <c r="AE22">
        <v>4589</v>
      </c>
      <c r="AM22">
        <v>21</v>
      </c>
      <c r="AN22" t="s">
        <v>474</v>
      </c>
      <c r="AO22" t="s">
        <v>546</v>
      </c>
      <c r="AP22">
        <v>1</v>
      </c>
      <c r="AQ22">
        <v>4608</v>
      </c>
    </row>
    <row r="23" spans="4:43" x14ac:dyDescent="0.25">
      <c r="D23">
        <v>22</v>
      </c>
      <c r="E23" t="s">
        <v>476</v>
      </c>
      <c r="F23" t="s">
        <v>495</v>
      </c>
      <c r="G23">
        <v>1</v>
      </c>
      <c r="H23">
        <v>2203</v>
      </c>
      <c r="O23">
        <v>22</v>
      </c>
      <c r="P23" t="s">
        <v>476</v>
      </c>
      <c r="Q23" t="s">
        <v>478</v>
      </c>
      <c r="R23">
        <v>1</v>
      </c>
      <c r="S23">
        <v>1122</v>
      </c>
      <c r="AA23">
        <v>22</v>
      </c>
      <c r="AB23" t="s">
        <v>474</v>
      </c>
      <c r="AC23" t="s">
        <v>537</v>
      </c>
      <c r="AD23">
        <v>1</v>
      </c>
      <c r="AE23">
        <v>3209</v>
      </c>
      <c r="AM23">
        <v>22</v>
      </c>
      <c r="AN23" t="s">
        <v>476</v>
      </c>
      <c r="AO23" t="s">
        <v>527</v>
      </c>
      <c r="AP23">
        <v>1</v>
      </c>
      <c r="AQ23">
        <v>1964</v>
      </c>
    </row>
    <row r="24" spans="4:43" x14ac:dyDescent="0.25">
      <c r="D24">
        <v>23</v>
      </c>
      <c r="E24" t="s">
        <v>476</v>
      </c>
      <c r="F24" t="s">
        <v>496</v>
      </c>
      <c r="G24">
        <v>1</v>
      </c>
      <c r="H24">
        <v>2207</v>
      </c>
      <c r="O24">
        <v>23</v>
      </c>
      <c r="P24" t="s">
        <v>474</v>
      </c>
      <c r="Q24" t="s">
        <v>369</v>
      </c>
      <c r="R24">
        <v>1</v>
      </c>
      <c r="S24">
        <v>2783</v>
      </c>
      <c r="AA24">
        <v>23</v>
      </c>
      <c r="AB24" t="s">
        <v>476</v>
      </c>
      <c r="AC24" t="s">
        <v>538</v>
      </c>
      <c r="AD24">
        <v>1</v>
      </c>
      <c r="AE24">
        <v>3017</v>
      </c>
      <c r="AM24">
        <v>23</v>
      </c>
      <c r="AN24" t="s">
        <v>476</v>
      </c>
      <c r="AO24" t="s">
        <v>543</v>
      </c>
      <c r="AP24">
        <v>1</v>
      </c>
      <c r="AQ24">
        <v>1575</v>
      </c>
    </row>
    <row r="25" spans="4:43" x14ac:dyDescent="0.25">
      <c r="D25">
        <v>24</v>
      </c>
      <c r="E25" t="s">
        <v>474</v>
      </c>
      <c r="F25" t="s">
        <v>497</v>
      </c>
      <c r="G25">
        <v>1</v>
      </c>
      <c r="H25">
        <v>3971</v>
      </c>
      <c r="O25">
        <v>24</v>
      </c>
      <c r="P25" t="s">
        <v>476</v>
      </c>
      <c r="Q25" t="s">
        <v>510</v>
      </c>
      <c r="R25">
        <v>1</v>
      </c>
      <c r="S25">
        <v>1449</v>
      </c>
      <c r="AA25">
        <v>24</v>
      </c>
      <c r="AB25" t="s">
        <v>476</v>
      </c>
      <c r="AC25" t="s">
        <v>539</v>
      </c>
      <c r="AD25">
        <v>0</v>
      </c>
      <c r="AE25">
        <v>3221</v>
      </c>
      <c r="AM25">
        <v>24</v>
      </c>
      <c r="AN25" t="s">
        <v>474</v>
      </c>
      <c r="AO25" t="s">
        <v>532</v>
      </c>
      <c r="AP25">
        <v>1</v>
      </c>
      <c r="AQ25">
        <v>2190</v>
      </c>
    </row>
    <row r="26" spans="4:43" x14ac:dyDescent="0.25">
      <c r="D26">
        <v>25</v>
      </c>
      <c r="E26" t="s">
        <v>476</v>
      </c>
      <c r="F26" t="s">
        <v>498</v>
      </c>
      <c r="G26">
        <v>0</v>
      </c>
      <c r="H26">
        <v>2730</v>
      </c>
      <c r="O26">
        <v>25</v>
      </c>
      <c r="P26" t="s">
        <v>474</v>
      </c>
      <c r="Q26" t="s">
        <v>480</v>
      </c>
      <c r="R26">
        <v>1</v>
      </c>
      <c r="S26">
        <v>2197</v>
      </c>
      <c r="AA26">
        <v>25</v>
      </c>
      <c r="AB26" t="s">
        <v>476</v>
      </c>
      <c r="AC26" t="s">
        <v>540</v>
      </c>
      <c r="AD26">
        <v>1</v>
      </c>
      <c r="AE26">
        <v>4367</v>
      </c>
      <c r="AM26">
        <v>25</v>
      </c>
      <c r="AN26" t="s">
        <v>474</v>
      </c>
      <c r="AO26" t="s">
        <v>522</v>
      </c>
      <c r="AP26">
        <v>1</v>
      </c>
      <c r="AQ26">
        <v>3281</v>
      </c>
    </row>
    <row r="27" spans="4:43" x14ac:dyDescent="0.25">
      <c r="D27">
        <v>26</v>
      </c>
      <c r="E27" t="s">
        <v>476</v>
      </c>
      <c r="F27" t="s">
        <v>499</v>
      </c>
      <c r="G27">
        <v>1</v>
      </c>
      <c r="H27">
        <v>2340</v>
      </c>
      <c r="O27">
        <v>26</v>
      </c>
      <c r="P27" t="s">
        <v>474</v>
      </c>
      <c r="Q27" t="s">
        <v>505</v>
      </c>
      <c r="R27">
        <v>1</v>
      </c>
      <c r="S27">
        <v>3916</v>
      </c>
      <c r="AA27">
        <v>26</v>
      </c>
      <c r="AB27" t="s">
        <v>476</v>
      </c>
      <c r="AC27" t="s">
        <v>541</v>
      </c>
      <c r="AD27">
        <v>1</v>
      </c>
      <c r="AE27">
        <v>3935</v>
      </c>
      <c r="AM27">
        <v>26</v>
      </c>
      <c r="AN27" t="s">
        <v>474</v>
      </c>
      <c r="AO27" t="s">
        <v>550</v>
      </c>
      <c r="AP27">
        <v>1</v>
      </c>
      <c r="AQ27">
        <v>3826</v>
      </c>
    </row>
    <row r="28" spans="4:43" x14ac:dyDescent="0.25">
      <c r="D28">
        <v>27</v>
      </c>
      <c r="E28" t="s">
        <v>476</v>
      </c>
      <c r="F28" t="s">
        <v>500</v>
      </c>
      <c r="G28">
        <v>1</v>
      </c>
      <c r="H28">
        <v>2682</v>
      </c>
      <c r="O28">
        <v>27</v>
      </c>
      <c r="P28" t="s">
        <v>474</v>
      </c>
      <c r="Q28" t="s">
        <v>508</v>
      </c>
      <c r="R28">
        <v>1</v>
      </c>
      <c r="S28">
        <v>4661</v>
      </c>
      <c r="AA28">
        <v>27</v>
      </c>
      <c r="AB28" t="s">
        <v>476</v>
      </c>
      <c r="AC28" t="s">
        <v>542</v>
      </c>
      <c r="AD28">
        <v>1</v>
      </c>
      <c r="AE28">
        <v>3290</v>
      </c>
      <c r="AM28">
        <v>27</v>
      </c>
      <c r="AN28" t="s">
        <v>474</v>
      </c>
      <c r="AO28" t="s">
        <v>554</v>
      </c>
      <c r="AP28">
        <v>1</v>
      </c>
      <c r="AQ28">
        <v>2909</v>
      </c>
    </row>
    <row r="29" spans="4:43" x14ac:dyDescent="0.25">
      <c r="D29">
        <v>28</v>
      </c>
      <c r="E29" t="s">
        <v>476</v>
      </c>
      <c r="F29" t="s">
        <v>501</v>
      </c>
      <c r="G29">
        <v>1</v>
      </c>
      <c r="H29">
        <v>2726</v>
      </c>
      <c r="O29">
        <v>28</v>
      </c>
      <c r="P29" t="s">
        <v>476</v>
      </c>
      <c r="Q29" t="s">
        <v>477</v>
      </c>
      <c r="R29">
        <v>0</v>
      </c>
      <c r="S29">
        <v>4029</v>
      </c>
      <c r="AA29">
        <v>28</v>
      </c>
      <c r="AB29" t="s">
        <v>476</v>
      </c>
      <c r="AC29" t="s">
        <v>543</v>
      </c>
      <c r="AD29">
        <v>1</v>
      </c>
      <c r="AE29">
        <v>1711</v>
      </c>
      <c r="AM29">
        <v>28</v>
      </c>
      <c r="AN29" t="s">
        <v>476</v>
      </c>
      <c r="AO29" t="s">
        <v>531</v>
      </c>
      <c r="AP29">
        <v>1</v>
      </c>
      <c r="AQ29">
        <v>3038</v>
      </c>
    </row>
    <row r="30" spans="4:43" x14ac:dyDescent="0.25">
      <c r="D30">
        <v>29</v>
      </c>
      <c r="E30" t="s">
        <v>474</v>
      </c>
      <c r="F30" t="s">
        <v>502</v>
      </c>
      <c r="G30">
        <v>1</v>
      </c>
      <c r="H30">
        <v>3047</v>
      </c>
      <c r="O30">
        <v>29</v>
      </c>
      <c r="P30" t="s">
        <v>474</v>
      </c>
      <c r="Q30" t="s">
        <v>483</v>
      </c>
      <c r="R30">
        <v>1</v>
      </c>
      <c r="S30">
        <v>2064</v>
      </c>
      <c r="AA30">
        <v>29</v>
      </c>
      <c r="AB30" t="s">
        <v>474</v>
      </c>
      <c r="AC30" t="s">
        <v>544</v>
      </c>
      <c r="AD30">
        <v>1</v>
      </c>
      <c r="AE30">
        <v>3511</v>
      </c>
      <c r="AM30">
        <v>29</v>
      </c>
      <c r="AN30" t="s">
        <v>476</v>
      </c>
      <c r="AO30" t="s">
        <v>519</v>
      </c>
      <c r="AP30">
        <v>0</v>
      </c>
      <c r="AQ30">
        <v>3471</v>
      </c>
    </row>
    <row r="31" spans="4:43" x14ac:dyDescent="0.25">
      <c r="D31">
        <v>30</v>
      </c>
      <c r="E31" t="s">
        <v>476</v>
      </c>
      <c r="F31" t="s">
        <v>503</v>
      </c>
      <c r="G31">
        <v>1</v>
      </c>
      <c r="H31">
        <v>2535</v>
      </c>
      <c r="O31">
        <v>30</v>
      </c>
      <c r="P31" t="s">
        <v>476</v>
      </c>
      <c r="Q31" t="s">
        <v>512</v>
      </c>
      <c r="R31">
        <v>1</v>
      </c>
      <c r="S31">
        <v>2293</v>
      </c>
      <c r="AA31">
        <v>30</v>
      </c>
      <c r="AB31" t="s">
        <v>476</v>
      </c>
      <c r="AC31" t="s">
        <v>545</v>
      </c>
      <c r="AD31">
        <v>0</v>
      </c>
      <c r="AE31">
        <v>4719</v>
      </c>
      <c r="AM31">
        <v>30</v>
      </c>
      <c r="AN31" t="s">
        <v>474</v>
      </c>
      <c r="AO31" t="s">
        <v>548</v>
      </c>
      <c r="AP31">
        <v>0</v>
      </c>
      <c r="AQ31">
        <v>2563</v>
      </c>
    </row>
    <row r="32" spans="4:43" x14ac:dyDescent="0.25">
      <c r="D32">
        <v>31</v>
      </c>
      <c r="E32" t="s">
        <v>474</v>
      </c>
      <c r="F32" t="s">
        <v>504</v>
      </c>
      <c r="G32">
        <v>1</v>
      </c>
      <c r="H32">
        <v>4032</v>
      </c>
      <c r="O32">
        <v>31</v>
      </c>
      <c r="P32" t="s">
        <v>474</v>
      </c>
      <c r="Q32" t="s">
        <v>507</v>
      </c>
      <c r="R32">
        <v>1</v>
      </c>
      <c r="S32">
        <v>2658</v>
      </c>
      <c r="AA32">
        <v>31</v>
      </c>
      <c r="AB32" t="s">
        <v>474</v>
      </c>
      <c r="AC32" t="s">
        <v>546</v>
      </c>
      <c r="AD32">
        <v>1</v>
      </c>
      <c r="AE32">
        <v>4499</v>
      </c>
      <c r="AM32">
        <v>31</v>
      </c>
      <c r="AN32" t="s">
        <v>476</v>
      </c>
      <c r="AO32" t="s">
        <v>542</v>
      </c>
      <c r="AP32">
        <v>1</v>
      </c>
      <c r="AQ32">
        <v>2001</v>
      </c>
    </row>
    <row r="33" spans="4:43" x14ac:dyDescent="0.25">
      <c r="D33">
        <v>32</v>
      </c>
      <c r="E33" t="s">
        <v>474</v>
      </c>
      <c r="F33" t="s">
        <v>505</v>
      </c>
      <c r="G33">
        <v>1</v>
      </c>
      <c r="H33">
        <v>3540</v>
      </c>
      <c r="O33">
        <v>32</v>
      </c>
      <c r="P33" t="s">
        <v>474</v>
      </c>
      <c r="Q33" t="s">
        <v>502</v>
      </c>
      <c r="R33">
        <v>1</v>
      </c>
      <c r="S33">
        <v>2820</v>
      </c>
      <c r="AA33">
        <v>32</v>
      </c>
      <c r="AB33" t="s">
        <v>476</v>
      </c>
      <c r="AC33" t="s">
        <v>547</v>
      </c>
      <c r="AD33">
        <v>0</v>
      </c>
      <c r="AE33">
        <v>3777</v>
      </c>
      <c r="AM33">
        <v>32</v>
      </c>
      <c r="AN33" t="s">
        <v>476</v>
      </c>
      <c r="AO33" t="s">
        <v>530</v>
      </c>
      <c r="AP33">
        <v>0</v>
      </c>
      <c r="AQ33">
        <v>3926</v>
      </c>
    </row>
    <row r="34" spans="4:43" x14ac:dyDescent="0.25">
      <c r="D34">
        <v>33</v>
      </c>
      <c r="E34" t="s">
        <v>474</v>
      </c>
      <c r="F34" t="s">
        <v>506</v>
      </c>
      <c r="G34">
        <v>1</v>
      </c>
      <c r="H34">
        <v>1967</v>
      </c>
      <c r="O34">
        <v>33</v>
      </c>
      <c r="P34" t="s">
        <v>474</v>
      </c>
      <c r="Q34" t="s">
        <v>491</v>
      </c>
      <c r="R34">
        <v>1</v>
      </c>
      <c r="S34">
        <v>3727</v>
      </c>
      <c r="AA34">
        <v>33</v>
      </c>
      <c r="AB34" t="s">
        <v>474</v>
      </c>
      <c r="AC34" t="s">
        <v>548</v>
      </c>
      <c r="AD34">
        <v>0</v>
      </c>
      <c r="AE34">
        <v>2138</v>
      </c>
      <c r="AM34">
        <v>33</v>
      </c>
      <c r="AN34" t="s">
        <v>476</v>
      </c>
      <c r="AO34" t="s">
        <v>545</v>
      </c>
      <c r="AP34">
        <v>1</v>
      </c>
      <c r="AQ34">
        <v>2388</v>
      </c>
    </row>
    <row r="35" spans="4:43" x14ac:dyDescent="0.25">
      <c r="D35">
        <v>34</v>
      </c>
      <c r="E35" t="s">
        <v>474</v>
      </c>
      <c r="F35" t="s">
        <v>507</v>
      </c>
      <c r="G35">
        <v>0</v>
      </c>
      <c r="H35">
        <v>3827</v>
      </c>
      <c r="O35">
        <v>34</v>
      </c>
      <c r="P35" t="s">
        <v>474</v>
      </c>
      <c r="Q35" t="s">
        <v>490</v>
      </c>
      <c r="R35">
        <v>0</v>
      </c>
      <c r="S35">
        <v>2177</v>
      </c>
      <c r="AA35">
        <v>34</v>
      </c>
      <c r="AB35" t="s">
        <v>476</v>
      </c>
      <c r="AC35" t="s">
        <v>549</v>
      </c>
      <c r="AD35">
        <v>1</v>
      </c>
      <c r="AE35">
        <v>4337</v>
      </c>
      <c r="AM35">
        <v>34</v>
      </c>
      <c r="AN35" t="s">
        <v>474</v>
      </c>
      <c r="AO35" t="s">
        <v>518</v>
      </c>
      <c r="AP35">
        <v>1</v>
      </c>
      <c r="AQ35">
        <v>3540</v>
      </c>
    </row>
    <row r="36" spans="4:43" x14ac:dyDescent="0.25">
      <c r="D36">
        <v>35</v>
      </c>
      <c r="E36" t="s">
        <v>474</v>
      </c>
      <c r="F36" t="s">
        <v>508</v>
      </c>
      <c r="G36">
        <v>1</v>
      </c>
      <c r="H36">
        <v>3570</v>
      </c>
      <c r="O36">
        <v>35</v>
      </c>
      <c r="P36" t="s">
        <v>476</v>
      </c>
      <c r="Q36" t="s">
        <v>499</v>
      </c>
      <c r="R36">
        <v>1</v>
      </c>
      <c r="S36">
        <v>3962</v>
      </c>
      <c r="AA36">
        <v>35</v>
      </c>
      <c r="AB36" t="s">
        <v>474</v>
      </c>
      <c r="AC36" t="s">
        <v>550</v>
      </c>
      <c r="AD36">
        <v>1</v>
      </c>
      <c r="AE36">
        <v>4468</v>
      </c>
      <c r="AM36">
        <v>35</v>
      </c>
      <c r="AN36" t="s">
        <v>476</v>
      </c>
      <c r="AO36" t="s">
        <v>523</v>
      </c>
      <c r="AP36">
        <v>0</v>
      </c>
      <c r="AQ36">
        <v>3591</v>
      </c>
    </row>
    <row r="37" spans="4:43" x14ac:dyDescent="0.25">
      <c r="D37">
        <v>36</v>
      </c>
      <c r="E37" t="s">
        <v>476</v>
      </c>
      <c r="F37" t="s">
        <v>509</v>
      </c>
      <c r="G37">
        <v>0</v>
      </c>
      <c r="H37">
        <v>2387</v>
      </c>
      <c r="O37">
        <v>36</v>
      </c>
      <c r="P37" t="s">
        <v>476</v>
      </c>
      <c r="Q37" t="s">
        <v>482</v>
      </c>
      <c r="R37">
        <v>0</v>
      </c>
      <c r="S37">
        <v>4030</v>
      </c>
      <c r="AA37">
        <v>36</v>
      </c>
      <c r="AB37" t="s">
        <v>474</v>
      </c>
      <c r="AC37" t="s">
        <v>551</v>
      </c>
      <c r="AD37">
        <v>0</v>
      </c>
      <c r="AE37">
        <v>1951</v>
      </c>
      <c r="AM37">
        <v>36</v>
      </c>
      <c r="AN37" t="s">
        <v>476</v>
      </c>
      <c r="AO37" t="s">
        <v>533</v>
      </c>
      <c r="AP37">
        <v>1</v>
      </c>
      <c r="AQ37">
        <v>1637</v>
      </c>
    </row>
    <row r="38" spans="4:43" x14ac:dyDescent="0.25">
      <c r="D38">
        <v>37</v>
      </c>
      <c r="E38" t="s">
        <v>476</v>
      </c>
      <c r="F38" t="s">
        <v>510</v>
      </c>
      <c r="G38">
        <v>1</v>
      </c>
      <c r="H38">
        <v>2274</v>
      </c>
      <c r="O38">
        <v>37</v>
      </c>
      <c r="P38" t="s">
        <v>476</v>
      </c>
      <c r="Q38" t="s">
        <v>500</v>
      </c>
      <c r="R38">
        <v>1</v>
      </c>
      <c r="S38">
        <v>1805</v>
      </c>
      <c r="AA38">
        <v>37</v>
      </c>
      <c r="AB38" t="s">
        <v>474</v>
      </c>
      <c r="AC38" t="s">
        <v>552</v>
      </c>
      <c r="AD38">
        <v>0</v>
      </c>
      <c r="AE38">
        <v>5442</v>
      </c>
      <c r="AM38">
        <v>37</v>
      </c>
      <c r="AN38" t="s">
        <v>476</v>
      </c>
      <c r="AO38" t="s">
        <v>549</v>
      </c>
      <c r="AP38">
        <v>1</v>
      </c>
      <c r="AQ38">
        <v>2723</v>
      </c>
    </row>
    <row r="39" spans="4:43" x14ac:dyDescent="0.25">
      <c r="D39">
        <v>38</v>
      </c>
      <c r="E39" t="s">
        <v>476</v>
      </c>
      <c r="F39" t="s">
        <v>511</v>
      </c>
      <c r="G39">
        <v>1</v>
      </c>
      <c r="H39">
        <v>1731</v>
      </c>
      <c r="O39">
        <v>38</v>
      </c>
      <c r="P39" t="s">
        <v>476</v>
      </c>
      <c r="Q39" t="s">
        <v>511</v>
      </c>
      <c r="R39">
        <v>1</v>
      </c>
      <c r="S39">
        <v>2203</v>
      </c>
      <c r="AA39">
        <v>38</v>
      </c>
      <c r="AB39" t="s">
        <v>474</v>
      </c>
      <c r="AC39" t="s">
        <v>553</v>
      </c>
      <c r="AD39">
        <v>1</v>
      </c>
      <c r="AE39">
        <v>5207</v>
      </c>
      <c r="AM39">
        <v>38</v>
      </c>
      <c r="AN39" t="s">
        <v>476</v>
      </c>
      <c r="AO39" t="s">
        <v>547</v>
      </c>
      <c r="AP39">
        <v>1</v>
      </c>
      <c r="AQ39">
        <v>2530</v>
      </c>
    </row>
    <row r="40" spans="4:43" x14ac:dyDescent="0.25">
      <c r="D40">
        <v>39</v>
      </c>
      <c r="E40" t="s">
        <v>476</v>
      </c>
      <c r="F40" t="s">
        <v>512</v>
      </c>
      <c r="G40">
        <v>1</v>
      </c>
      <c r="H40">
        <v>4736</v>
      </c>
      <c r="O40">
        <v>39</v>
      </c>
      <c r="P40" t="s">
        <v>474</v>
      </c>
      <c r="Q40" t="s">
        <v>497</v>
      </c>
      <c r="R40">
        <v>1</v>
      </c>
      <c r="S40">
        <v>2462</v>
      </c>
      <c r="AA40">
        <v>39</v>
      </c>
      <c r="AB40" t="s">
        <v>474</v>
      </c>
      <c r="AC40" t="s">
        <v>554</v>
      </c>
      <c r="AD40">
        <v>0</v>
      </c>
      <c r="AE40">
        <v>1648</v>
      </c>
      <c r="AM40">
        <v>39</v>
      </c>
      <c r="AN40" t="s">
        <v>476</v>
      </c>
      <c r="AO40" t="s">
        <v>529</v>
      </c>
      <c r="AP40">
        <v>1</v>
      </c>
      <c r="AQ40">
        <v>3206</v>
      </c>
    </row>
    <row r="41" spans="4:43" x14ac:dyDescent="0.25">
      <c r="D41">
        <v>40</v>
      </c>
      <c r="E41" t="s">
        <v>476</v>
      </c>
      <c r="F41" t="s">
        <v>513</v>
      </c>
      <c r="G41">
        <v>1</v>
      </c>
      <c r="H41">
        <v>3416</v>
      </c>
      <c r="O41">
        <v>40</v>
      </c>
      <c r="P41" t="s">
        <v>474</v>
      </c>
      <c r="Q41" t="s">
        <v>488</v>
      </c>
      <c r="R41">
        <v>1</v>
      </c>
      <c r="S41">
        <v>1786</v>
      </c>
      <c r="AA41">
        <v>40</v>
      </c>
      <c r="AB41" t="s">
        <v>474</v>
      </c>
      <c r="AC41" t="s">
        <v>555</v>
      </c>
      <c r="AD41">
        <v>1</v>
      </c>
      <c r="AE41">
        <v>4493</v>
      </c>
      <c r="AM41">
        <v>40</v>
      </c>
      <c r="AN41" t="s">
        <v>474</v>
      </c>
      <c r="AO41" t="s">
        <v>551</v>
      </c>
      <c r="AP41">
        <v>0</v>
      </c>
      <c r="AQ41">
        <v>1649</v>
      </c>
    </row>
    <row r="42" spans="4:43" x14ac:dyDescent="0.25">
      <c r="G42">
        <f>SUM(G2:G41)</f>
        <v>31</v>
      </c>
      <c r="R42">
        <f>SUM(R2:R41)</f>
        <v>30</v>
      </c>
      <c r="AD42">
        <f>SUM(AD2:AD41)</f>
        <v>27</v>
      </c>
      <c r="AP42">
        <f>SUM(AP2:AP41)</f>
        <v>30</v>
      </c>
    </row>
    <row r="46" spans="4:43" x14ac:dyDescent="0.25">
      <c r="D46" t="s">
        <v>472</v>
      </c>
    </row>
    <row r="47" spans="4:43" x14ac:dyDescent="0.25">
      <c r="D47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9"/>
  <sheetViews>
    <sheetView topLeftCell="I1" workbookViewId="0">
      <selection activeCell="Q2" sqref="Q2"/>
    </sheetView>
  </sheetViews>
  <sheetFormatPr baseColWidth="10" defaultRowHeight="15" x14ac:dyDescent="0.25"/>
  <cols>
    <col min="1" max="1" width="28.28515625" customWidth="1"/>
    <col min="6" max="6" width="27.28515625" customWidth="1"/>
    <col min="7" max="7" width="61.7109375" customWidth="1"/>
    <col min="8" max="8" width="30.28515625" customWidth="1"/>
    <col min="9" max="9" width="27.5703125" customWidth="1"/>
    <col min="13" max="13" width="25.140625" customWidth="1"/>
    <col min="18" max="18" width="19.5703125" customWidth="1"/>
    <col min="19" max="19" width="59.7109375" customWidth="1"/>
    <col min="20" max="20" width="22.28515625" customWidth="1"/>
    <col min="21" max="21" width="19" customWidth="1"/>
    <col min="25" max="25" width="26.42578125" customWidth="1"/>
    <col min="30" max="30" width="24.5703125" customWidth="1"/>
    <col min="31" max="31" width="61.5703125" customWidth="1"/>
    <col min="32" max="32" width="23.28515625" customWidth="1"/>
    <col min="33" max="33" width="29.5703125" customWidth="1"/>
    <col min="42" max="42" width="21.28515625" customWidth="1"/>
    <col min="43" max="43" width="18.5703125" customWidth="1"/>
    <col min="44" max="44" width="62.85546875" customWidth="1"/>
    <col min="45" max="45" width="20.5703125" customWidth="1"/>
    <col min="46" max="46" width="19.85546875" customWidth="1"/>
  </cols>
  <sheetData>
    <row r="1" spans="1:46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592</v>
      </c>
      <c r="F1" s="2" t="s">
        <v>305</v>
      </c>
      <c r="G1" s="2" t="s">
        <v>177</v>
      </c>
      <c r="H1" s="2" t="s">
        <v>593</v>
      </c>
      <c r="I1" s="2" t="s">
        <v>594</v>
      </c>
      <c r="M1" s="1" t="s">
        <v>30</v>
      </c>
      <c r="N1" s="2" t="s">
        <v>0</v>
      </c>
      <c r="O1" s="2" t="s">
        <v>1</v>
      </c>
      <c r="P1" s="2" t="s">
        <v>2</v>
      </c>
      <c r="Q1" s="2" t="s">
        <v>592</v>
      </c>
      <c r="R1" s="2" t="s">
        <v>305</v>
      </c>
      <c r="S1" s="2" t="s">
        <v>177</v>
      </c>
      <c r="T1" s="2" t="s">
        <v>593</v>
      </c>
      <c r="U1" s="2" t="s">
        <v>594</v>
      </c>
      <c r="Y1" s="1" t="s">
        <v>30</v>
      </c>
      <c r="Z1" s="2" t="s">
        <v>0</v>
      </c>
      <c r="AA1" s="2" t="s">
        <v>1</v>
      </c>
      <c r="AB1" s="2" t="s">
        <v>2</v>
      </c>
      <c r="AC1" s="2" t="s">
        <v>592</v>
      </c>
      <c r="AD1" s="2" t="s">
        <v>305</v>
      </c>
      <c r="AE1" s="2" t="s">
        <v>177</v>
      </c>
      <c r="AF1" s="2" t="s">
        <v>593</v>
      </c>
      <c r="AG1" s="2" t="s">
        <v>594</v>
      </c>
      <c r="AL1" s="1" t="s">
        <v>30</v>
      </c>
      <c r="AM1" s="2" t="s">
        <v>0</v>
      </c>
      <c r="AN1" s="2" t="s">
        <v>1</v>
      </c>
      <c r="AO1" s="2" t="s">
        <v>2</v>
      </c>
      <c r="AP1" s="2" t="s">
        <v>592</v>
      </c>
      <c r="AQ1" s="2" t="s">
        <v>305</v>
      </c>
      <c r="AR1" s="2" t="s">
        <v>177</v>
      </c>
      <c r="AS1" s="2" t="s">
        <v>593</v>
      </c>
      <c r="AT1" s="2" t="s">
        <v>594</v>
      </c>
    </row>
    <row r="2" spans="1:46" ht="15.75" x14ac:dyDescent="0.25">
      <c r="A2" s="3" t="s">
        <v>8</v>
      </c>
      <c r="B2">
        <v>1</v>
      </c>
      <c r="C2">
        <v>1</v>
      </c>
      <c r="D2">
        <v>1</v>
      </c>
      <c r="E2" t="s">
        <v>595</v>
      </c>
      <c r="F2" t="s">
        <v>596</v>
      </c>
      <c r="G2" t="s">
        <v>745</v>
      </c>
      <c r="M2" s="3" t="s">
        <v>117</v>
      </c>
      <c r="N2">
        <v>1</v>
      </c>
      <c r="O2">
        <v>2</v>
      </c>
      <c r="P2">
        <v>1</v>
      </c>
      <c r="Q2" t="s">
        <v>595</v>
      </c>
      <c r="R2" t="s">
        <v>610</v>
      </c>
      <c r="S2" t="s">
        <v>784</v>
      </c>
      <c r="Y2" s="3" t="s">
        <v>118</v>
      </c>
      <c r="Z2">
        <v>2</v>
      </c>
      <c r="AA2">
        <v>3</v>
      </c>
      <c r="AB2">
        <v>1</v>
      </c>
      <c r="AC2" t="s">
        <v>476</v>
      </c>
      <c r="AD2" t="s">
        <v>639</v>
      </c>
      <c r="AE2" t="s">
        <v>820</v>
      </c>
      <c r="AL2" s="3" t="s">
        <v>119</v>
      </c>
      <c r="AM2">
        <v>2</v>
      </c>
      <c r="AN2">
        <v>4</v>
      </c>
      <c r="AO2">
        <v>1</v>
      </c>
      <c r="AP2" t="s">
        <v>595</v>
      </c>
      <c r="AQ2" t="s">
        <v>643</v>
      </c>
      <c r="AR2" t="s">
        <v>854</v>
      </c>
    </row>
    <row r="3" spans="1:46" ht="15.75" x14ac:dyDescent="0.25">
      <c r="A3" s="1" t="s">
        <v>597</v>
      </c>
      <c r="D3">
        <v>2</v>
      </c>
      <c r="E3" t="s">
        <v>595</v>
      </c>
      <c r="F3" t="s">
        <v>606</v>
      </c>
      <c r="G3" t="s">
        <v>746</v>
      </c>
      <c r="M3" s="1" t="s">
        <v>597</v>
      </c>
      <c r="P3">
        <v>2</v>
      </c>
      <c r="Q3" t="s">
        <v>476</v>
      </c>
      <c r="R3" t="s">
        <v>609</v>
      </c>
      <c r="S3" t="s">
        <v>785</v>
      </c>
      <c r="Y3" s="1" t="s">
        <v>597</v>
      </c>
      <c r="AB3">
        <v>2</v>
      </c>
      <c r="AC3" t="s">
        <v>476</v>
      </c>
      <c r="AD3" t="s">
        <v>640</v>
      </c>
      <c r="AE3" t="s">
        <v>821</v>
      </c>
      <c r="AL3" s="1" t="s">
        <v>597</v>
      </c>
      <c r="AO3">
        <v>2</v>
      </c>
      <c r="AP3" t="s">
        <v>595</v>
      </c>
      <c r="AQ3" t="s">
        <v>670</v>
      </c>
      <c r="AR3" t="s">
        <v>855</v>
      </c>
    </row>
    <row r="4" spans="1:46" ht="15.75" x14ac:dyDescent="0.25">
      <c r="A4" s="1" t="s">
        <v>88</v>
      </c>
      <c r="D4">
        <v>3</v>
      </c>
      <c r="E4" t="s">
        <v>595</v>
      </c>
      <c r="F4" t="s">
        <v>607</v>
      </c>
      <c r="G4" t="s">
        <v>747</v>
      </c>
      <c r="M4" s="1" t="s">
        <v>89</v>
      </c>
      <c r="P4">
        <v>3</v>
      </c>
      <c r="Q4" t="s">
        <v>476</v>
      </c>
      <c r="R4" t="s">
        <v>605</v>
      </c>
      <c r="S4" t="s">
        <v>786</v>
      </c>
      <c r="Y4" s="1" t="s">
        <v>87</v>
      </c>
      <c r="AB4">
        <v>3</v>
      </c>
      <c r="AC4" t="s">
        <v>476</v>
      </c>
      <c r="AD4" t="s">
        <v>641</v>
      </c>
      <c r="AG4">
        <v>1</v>
      </c>
      <c r="AL4" s="1" t="s">
        <v>557</v>
      </c>
      <c r="AO4">
        <v>3</v>
      </c>
      <c r="AP4" t="s">
        <v>476</v>
      </c>
      <c r="AQ4" t="s">
        <v>664</v>
      </c>
      <c r="AR4" t="s">
        <v>856</v>
      </c>
    </row>
    <row r="5" spans="1:46" x14ac:dyDescent="0.25">
      <c r="D5">
        <v>4</v>
      </c>
      <c r="E5" t="s">
        <v>595</v>
      </c>
      <c r="F5" t="s">
        <v>608</v>
      </c>
      <c r="G5" t="s">
        <v>748</v>
      </c>
      <c r="P5">
        <v>4</v>
      </c>
      <c r="Q5" t="s">
        <v>476</v>
      </c>
      <c r="R5" t="s">
        <v>615</v>
      </c>
      <c r="S5" t="s">
        <v>787</v>
      </c>
      <c r="AB5">
        <v>4</v>
      </c>
      <c r="AC5" t="s">
        <v>476</v>
      </c>
      <c r="AD5" t="s">
        <v>642</v>
      </c>
      <c r="AE5" t="s">
        <v>822</v>
      </c>
      <c r="AO5">
        <v>4</v>
      </c>
      <c r="AP5" t="s">
        <v>476</v>
      </c>
      <c r="AQ5" t="s">
        <v>678</v>
      </c>
      <c r="AR5" t="s">
        <v>857</v>
      </c>
    </row>
    <row r="6" spans="1:46" ht="15.75" x14ac:dyDescent="0.25">
      <c r="A6" s="1" t="s">
        <v>775</v>
      </c>
      <c r="D6">
        <v>5</v>
      </c>
      <c r="E6" t="s">
        <v>476</v>
      </c>
      <c r="F6" t="s">
        <v>609</v>
      </c>
      <c r="G6" t="s">
        <v>749</v>
      </c>
      <c r="M6" s="1" t="s">
        <v>819</v>
      </c>
      <c r="P6">
        <v>5</v>
      </c>
      <c r="Q6" t="s">
        <v>476</v>
      </c>
      <c r="R6" t="s">
        <v>612</v>
      </c>
      <c r="S6" t="s">
        <v>788</v>
      </c>
      <c r="Y6" s="1" t="s">
        <v>852</v>
      </c>
      <c r="AB6">
        <v>5</v>
      </c>
      <c r="AC6" t="s">
        <v>595</v>
      </c>
      <c r="AD6" t="s">
        <v>643</v>
      </c>
      <c r="AE6" t="s">
        <v>823</v>
      </c>
      <c r="AL6" s="1" t="s">
        <v>892</v>
      </c>
      <c r="AO6">
        <v>5</v>
      </c>
      <c r="AP6" t="s">
        <v>476</v>
      </c>
      <c r="AQ6" t="s">
        <v>657</v>
      </c>
      <c r="AR6" t="s">
        <v>858</v>
      </c>
    </row>
    <row r="7" spans="1:46" ht="15.75" x14ac:dyDescent="0.25">
      <c r="A7" s="1" t="s">
        <v>602</v>
      </c>
      <c r="D7">
        <v>6</v>
      </c>
      <c r="E7" t="s">
        <v>595</v>
      </c>
      <c r="F7" t="s">
        <v>610</v>
      </c>
      <c r="G7" t="s">
        <v>750</v>
      </c>
      <c r="M7" s="1" t="s">
        <v>602</v>
      </c>
      <c r="P7">
        <v>6</v>
      </c>
      <c r="Q7" t="s">
        <v>476</v>
      </c>
      <c r="R7" t="s">
        <v>619</v>
      </c>
      <c r="S7" t="s">
        <v>789</v>
      </c>
      <c r="Y7" s="1" t="s">
        <v>602</v>
      </c>
      <c r="AB7">
        <v>6</v>
      </c>
      <c r="AC7" t="s">
        <v>476</v>
      </c>
      <c r="AD7" t="s">
        <v>644</v>
      </c>
      <c r="AE7" t="s">
        <v>824</v>
      </c>
      <c r="AL7" s="1" t="s">
        <v>602</v>
      </c>
      <c r="AO7">
        <v>6</v>
      </c>
      <c r="AP7" t="s">
        <v>595</v>
      </c>
      <c r="AQ7" t="s">
        <v>668</v>
      </c>
      <c r="AR7" t="s">
        <v>859</v>
      </c>
    </row>
    <row r="8" spans="1:46" ht="15.75" x14ac:dyDescent="0.25">
      <c r="A8" s="1" t="s">
        <v>604</v>
      </c>
      <c r="D8">
        <v>7</v>
      </c>
      <c r="E8" t="s">
        <v>595</v>
      </c>
      <c r="F8" t="s">
        <v>611</v>
      </c>
      <c r="G8" t="s">
        <v>751</v>
      </c>
      <c r="M8" s="1" t="s">
        <v>604</v>
      </c>
      <c r="P8">
        <v>7</v>
      </c>
      <c r="Q8" t="s">
        <v>476</v>
      </c>
      <c r="R8" t="s">
        <v>637</v>
      </c>
      <c r="S8" t="s">
        <v>790</v>
      </c>
      <c r="Y8" s="1" t="s">
        <v>604</v>
      </c>
      <c r="AB8">
        <v>7</v>
      </c>
      <c r="AC8" t="s">
        <v>595</v>
      </c>
      <c r="AD8" t="s">
        <v>645</v>
      </c>
      <c r="AE8" t="s">
        <v>825</v>
      </c>
      <c r="AL8" s="1" t="s">
        <v>604</v>
      </c>
      <c r="AO8">
        <v>7</v>
      </c>
      <c r="AP8" t="s">
        <v>476</v>
      </c>
      <c r="AQ8" t="s">
        <v>647</v>
      </c>
      <c r="AR8" t="s">
        <v>860</v>
      </c>
    </row>
    <row r="9" spans="1:46" x14ac:dyDescent="0.25">
      <c r="D9">
        <v>8</v>
      </c>
      <c r="E9" t="s">
        <v>476</v>
      </c>
      <c r="F9" t="s">
        <v>612</v>
      </c>
      <c r="G9" t="s">
        <v>752</v>
      </c>
      <c r="P9">
        <v>8</v>
      </c>
      <c r="Q9" t="s">
        <v>595</v>
      </c>
      <c r="R9" t="s">
        <v>633</v>
      </c>
      <c r="S9" t="s">
        <v>791</v>
      </c>
      <c r="AB9">
        <v>8</v>
      </c>
      <c r="AC9" t="s">
        <v>595</v>
      </c>
      <c r="AD9" t="s">
        <v>646</v>
      </c>
      <c r="AG9">
        <v>1</v>
      </c>
      <c r="AO9">
        <v>8</v>
      </c>
      <c r="AP9" t="s">
        <v>595</v>
      </c>
      <c r="AQ9" t="s">
        <v>651</v>
      </c>
      <c r="AR9" t="s">
        <v>861</v>
      </c>
    </row>
    <row r="10" spans="1:46" x14ac:dyDescent="0.25">
      <c r="D10">
        <v>9</v>
      </c>
      <c r="E10" t="s">
        <v>595</v>
      </c>
      <c r="F10" t="s">
        <v>613</v>
      </c>
      <c r="G10" t="s">
        <v>753</v>
      </c>
      <c r="P10">
        <v>9</v>
      </c>
      <c r="Q10" t="s">
        <v>595</v>
      </c>
      <c r="R10" t="s">
        <v>607</v>
      </c>
      <c r="S10" t="s">
        <v>792</v>
      </c>
      <c r="AB10">
        <v>9</v>
      </c>
      <c r="AC10" t="s">
        <v>476</v>
      </c>
      <c r="AD10" t="s">
        <v>647</v>
      </c>
      <c r="AE10" t="s">
        <v>827</v>
      </c>
      <c r="AG10">
        <v>1</v>
      </c>
      <c r="AO10">
        <v>9</v>
      </c>
      <c r="AP10" t="s">
        <v>595</v>
      </c>
      <c r="AQ10" t="s">
        <v>667</v>
      </c>
      <c r="AR10" t="s">
        <v>862</v>
      </c>
    </row>
    <row r="11" spans="1:46" x14ac:dyDescent="0.25">
      <c r="D11">
        <v>10</v>
      </c>
      <c r="E11" t="s">
        <v>595</v>
      </c>
      <c r="F11" t="s">
        <v>600</v>
      </c>
      <c r="G11" t="s">
        <v>754</v>
      </c>
      <c r="P11">
        <v>10</v>
      </c>
      <c r="Q11" t="s">
        <v>476</v>
      </c>
      <c r="R11" t="s">
        <v>599</v>
      </c>
      <c r="S11" t="s">
        <v>793</v>
      </c>
      <c r="AB11">
        <v>10</v>
      </c>
      <c r="AC11" t="s">
        <v>595</v>
      </c>
      <c r="AD11" t="s">
        <v>648</v>
      </c>
      <c r="AE11" t="s">
        <v>826</v>
      </c>
      <c r="AO11">
        <v>10</v>
      </c>
      <c r="AP11" t="s">
        <v>476</v>
      </c>
      <c r="AQ11" t="s">
        <v>661</v>
      </c>
      <c r="AR11" t="s">
        <v>863</v>
      </c>
    </row>
    <row r="12" spans="1:46" x14ac:dyDescent="0.25">
      <c r="D12">
        <v>11</v>
      </c>
      <c r="E12" t="s">
        <v>595</v>
      </c>
      <c r="F12" t="s">
        <v>614</v>
      </c>
      <c r="G12" t="s">
        <v>755</v>
      </c>
      <c r="P12">
        <v>11</v>
      </c>
      <c r="Q12" t="s">
        <v>476</v>
      </c>
      <c r="R12" t="s">
        <v>616</v>
      </c>
      <c r="S12" t="s">
        <v>794</v>
      </c>
      <c r="AB12">
        <v>11</v>
      </c>
      <c r="AC12" t="s">
        <v>476</v>
      </c>
      <c r="AD12" t="s">
        <v>649</v>
      </c>
      <c r="AE12" t="s">
        <v>828</v>
      </c>
      <c r="AO12">
        <v>11</v>
      </c>
      <c r="AP12" t="s">
        <v>595</v>
      </c>
      <c r="AQ12" t="s">
        <v>674</v>
      </c>
      <c r="AR12" t="s">
        <v>864</v>
      </c>
    </row>
    <row r="13" spans="1:46" x14ac:dyDescent="0.25">
      <c r="D13">
        <v>12</v>
      </c>
      <c r="E13" t="s">
        <v>476</v>
      </c>
      <c r="F13" t="s">
        <v>615</v>
      </c>
      <c r="G13" t="s">
        <v>756</v>
      </c>
      <c r="P13">
        <v>12</v>
      </c>
      <c r="Q13" t="s">
        <v>595</v>
      </c>
      <c r="R13" t="s">
        <v>613</v>
      </c>
      <c r="S13" t="s">
        <v>795</v>
      </c>
      <c r="AB13">
        <v>12</v>
      </c>
      <c r="AC13" t="s">
        <v>476</v>
      </c>
      <c r="AD13" t="s">
        <v>650</v>
      </c>
      <c r="AE13" t="s">
        <v>829</v>
      </c>
      <c r="AO13">
        <v>12</v>
      </c>
      <c r="AP13" t="s">
        <v>595</v>
      </c>
      <c r="AQ13" t="s">
        <v>659</v>
      </c>
      <c r="AR13" t="s">
        <v>865</v>
      </c>
    </row>
    <row r="14" spans="1:46" x14ac:dyDescent="0.25">
      <c r="D14">
        <v>13</v>
      </c>
      <c r="E14" t="s">
        <v>476</v>
      </c>
      <c r="F14" t="s">
        <v>616</v>
      </c>
      <c r="G14" t="s">
        <v>757</v>
      </c>
      <c r="P14">
        <v>13</v>
      </c>
      <c r="Q14" t="s">
        <v>595</v>
      </c>
      <c r="R14" t="s">
        <v>627</v>
      </c>
      <c r="S14" t="s">
        <v>796</v>
      </c>
      <c r="AB14">
        <v>13</v>
      </c>
      <c r="AC14" t="s">
        <v>595</v>
      </c>
      <c r="AD14" t="s">
        <v>651</v>
      </c>
      <c r="AG14">
        <v>1</v>
      </c>
      <c r="AO14">
        <v>13</v>
      </c>
      <c r="AP14" t="s">
        <v>595</v>
      </c>
      <c r="AQ14" t="s">
        <v>645</v>
      </c>
      <c r="AR14" t="s">
        <v>866</v>
      </c>
    </row>
    <row r="15" spans="1:46" x14ac:dyDescent="0.25">
      <c r="D15">
        <v>14</v>
      </c>
      <c r="E15" t="s">
        <v>476</v>
      </c>
      <c r="F15" t="s">
        <v>603</v>
      </c>
      <c r="G15" t="s">
        <v>758</v>
      </c>
      <c r="P15">
        <v>14</v>
      </c>
      <c r="Q15" t="s">
        <v>595</v>
      </c>
      <c r="R15" t="s">
        <v>608</v>
      </c>
      <c r="S15" t="s">
        <v>797</v>
      </c>
      <c r="AB15">
        <v>14</v>
      </c>
      <c r="AC15" t="s">
        <v>476</v>
      </c>
      <c r="AD15" t="s">
        <v>652</v>
      </c>
      <c r="AE15" t="s">
        <v>830</v>
      </c>
      <c r="AO15">
        <v>14</v>
      </c>
      <c r="AP15" t="s">
        <v>476</v>
      </c>
      <c r="AQ15" t="s">
        <v>644</v>
      </c>
      <c r="AR15" t="s">
        <v>772</v>
      </c>
    </row>
    <row r="16" spans="1:46" x14ac:dyDescent="0.25">
      <c r="D16">
        <v>15</v>
      </c>
      <c r="E16" t="s">
        <v>595</v>
      </c>
      <c r="F16" t="s">
        <v>617</v>
      </c>
      <c r="G16" t="s">
        <v>759</v>
      </c>
      <c r="P16">
        <v>15</v>
      </c>
      <c r="Q16" t="s">
        <v>595</v>
      </c>
      <c r="R16" t="s">
        <v>636</v>
      </c>
      <c r="S16" t="s">
        <v>798</v>
      </c>
      <c r="AB16">
        <v>15</v>
      </c>
      <c r="AC16" t="s">
        <v>476</v>
      </c>
      <c r="AD16" t="s">
        <v>653</v>
      </c>
      <c r="AE16" t="s">
        <v>831</v>
      </c>
      <c r="AO16">
        <v>15</v>
      </c>
      <c r="AP16" t="s">
        <v>595</v>
      </c>
      <c r="AQ16" t="s">
        <v>672</v>
      </c>
      <c r="AR16" t="s">
        <v>867</v>
      </c>
      <c r="AS16" t="s">
        <v>869</v>
      </c>
    </row>
    <row r="17" spans="4:46" x14ac:dyDescent="0.25">
      <c r="D17">
        <v>16</v>
      </c>
      <c r="E17" t="s">
        <v>595</v>
      </c>
      <c r="F17" t="s">
        <v>618</v>
      </c>
      <c r="G17" t="s">
        <v>760</v>
      </c>
      <c r="P17">
        <v>16</v>
      </c>
      <c r="Q17" t="s">
        <v>476</v>
      </c>
      <c r="R17" t="s">
        <v>629</v>
      </c>
      <c r="S17" t="s">
        <v>799</v>
      </c>
      <c r="AB17">
        <v>16</v>
      </c>
      <c r="AC17" t="s">
        <v>595</v>
      </c>
      <c r="AD17" t="s">
        <v>654</v>
      </c>
      <c r="AE17" t="s">
        <v>832</v>
      </c>
      <c r="AO17">
        <v>16</v>
      </c>
      <c r="AP17" t="s">
        <v>476</v>
      </c>
      <c r="AQ17" t="s">
        <v>641</v>
      </c>
      <c r="AR17" t="s">
        <v>868</v>
      </c>
    </row>
    <row r="18" spans="4:46" x14ac:dyDescent="0.25">
      <c r="D18">
        <v>17</v>
      </c>
      <c r="E18" t="s">
        <v>476</v>
      </c>
      <c r="F18" t="s">
        <v>619</v>
      </c>
      <c r="G18" t="s">
        <v>753</v>
      </c>
      <c r="P18">
        <v>17</v>
      </c>
      <c r="Q18" t="s">
        <v>476</v>
      </c>
      <c r="R18" t="s">
        <v>635</v>
      </c>
      <c r="S18" t="s">
        <v>800</v>
      </c>
      <c r="AB18">
        <v>17</v>
      </c>
      <c r="AC18" t="s">
        <v>595</v>
      </c>
      <c r="AD18" t="s">
        <v>655</v>
      </c>
      <c r="AE18" t="s">
        <v>833</v>
      </c>
      <c r="AO18">
        <v>17</v>
      </c>
      <c r="AP18" t="s">
        <v>595</v>
      </c>
      <c r="AQ18" t="s">
        <v>648</v>
      </c>
      <c r="AR18" t="s">
        <v>870</v>
      </c>
    </row>
    <row r="19" spans="4:46" x14ac:dyDescent="0.25">
      <c r="D19">
        <v>18</v>
      </c>
      <c r="E19" t="s">
        <v>476</v>
      </c>
      <c r="F19" t="s">
        <v>620</v>
      </c>
      <c r="G19" t="s">
        <v>761</v>
      </c>
      <c r="P19">
        <v>18</v>
      </c>
      <c r="Q19" t="s">
        <v>595</v>
      </c>
      <c r="R19" t="s">
        <v>621</v>
      </c>
      <c r="S19" t="s">
        <v>801</v>
      </c>
      <c r="AB19">
        <v>18</v>
      </c>
      <c r="AC19" t="s">
        <v>595</v>
      </c>
      <c r="AD19" t="s">
        <v>656</v>
      </c>
      <c r="AG19">
        <v>1</v>
      </c>
      <c r="AO19">
        <v>18</v>
      </c>
      <c r="AP19" t="s">
        <v>476</v>
      </c>
      <c r="AQ19" t="s">
        <v>671</v>
      </c>
      <c r="AR19" t="s">
        <v>871</v>
      </c>
    </row>
    <row r="20" spans="4:46" x14ac:dyDescent="0.25">
      <c r="D20">
        <v>19</v>
      </c>
      <c r="E20" t="s">
        <v>595</v>
      </c>
      <c r="F20" t="s">
        <v>621</v>
      </c>
      <c r="G20" t="s">
        <v>762</v>
      </c>
      <c r="P20">
        <v>19</v>
      </c>
      <c r="Q20" t="s">
        <v>595</v>
      </c>
      <c r="R20" t="s">
        <v>617</v>
      </c>
      <c r="S20" t="s">
        <v>802</v>
      </c>
      <c r="AB20">
        <v>19</v>
      </c>
      <c r="AC20" t="s">
        <v>476</v>
      </c>
      <c r="AD20" t="s">
        <v>657</v>
      </c>
      <c r="AE20" t="s">
        <v>834</v>
      </c>
      <c r="AO20">
        <v>19</v>
      </c>
      <c r="AP20" t="s">
        <v>476</v>
      </c>
      <c r="AQ20" t="s">
        <v>675</v>
      </c>
      <c r="AR20" t="s">
        <v>872</v>
      </c>
    </row>
    <row r="21" spans="4:46" x14ac:dyDescent="0.25">
      <c r="D21">
        <v>20</v>
      </c>
      <c r="E21" t="s">
        <v>476</v>
      </c>
      <c r="F21" t="s">
        <v>622</v>
      </c>
      <c r="G21" t="s">
        <v>763</v>
      </c>
      <c r="P21">
        <v>20</v>
      </c>
      <c r="Q21" t="s">
        <v>476</v>
      </c>
      <c r="R21" t="s">
        <v>598</v>
      </c>
      <c r="S21" t="s">
        <v>803</v>
      </c>
      <c r="AB21">
        <v>20</v>
      </c>
      <c r="AC21" t="s">
        <v>595</v>
      </c>
      <c r="AD21" t="s">
        <v>658</v>
      </c>
      <c r="AE21" t="s">
        <v>835</v>
      </c>
      <c r="AO21">
        <v>20</v>
      </c>
      <c r="AP21" t="s">
        <v>595</v>
      </c>
      <c r="AQ21" t="s">
        <v>658</v>
      </c>
      <c r="AR21" t="s">
        <v>873</v>
      </c>
    </row>
    <row r="22" spans="4:46" x14ac:dyDescent="0.25">
      <c r="D22">
        <v>21</v>
      </c>
      <c r="E22" t="s">
        <v>595</v>
      </c>
      <c r="F22" t="s">
        <v>623</v>
      </c>
      <c r="I22">
        <v>1</v>
      </c>
      <c r="P22">
        <v>21</v>
      </c>
      <c r="Q22" t="s">
        <v>476</v>
      </c>
      <c r="R22" t="s">
        <v>620</v>
      </c>
      <c r="S22" t="s">
        <v>804</v>
      </c>
      <c r="AB22">
        <v>21</v>
      </c>
      <c r="AC22" t="s">
        <v>595</v>
      </c>
      <c r="AD22" t="s">
        <v>659</v>
      </c>
      <c r="AE22" t="s">
        <v>836</v>
      </c>
      <c r="AO22">
        <v>21</v>
      </c>
      <c r="AP22" t="s">
        <v>595</v>
      </c>
      <c r="AQ22" t="s">
        <v>654</v>
      </c>
      <c r="AR22" t="s">
        <v>874</v>
      </c>
    </row>
    <row r="23" spans="4:46" x14ac:dyDescent="0.25">
      <c r="D23">
        <v>22</v>
      </c>
      <c r="E23" t="s">
        <v>476</v>
      </c>
      <c r="F23" t="s">
        <v>624</v>
      </c>
      <c r="G23" t="s">
        <v>764</v>
      </c>
      <c r="P23">
        <v>22</v>
      </c>
      <c r="Q23" t="s">
        <v>476</v>
      </c>
      <c r="R23" t="s">
        <v>626</v>
      </c>
      <c r="S23" t="s">
        <v>805</v>
      </c>
      <c r="AB23">
        <v>22</v>
      </c>
      <c r="AC23" t="s">
        <v>595</v>
      </c>
      <c r="AD23" t="s">
        <v>660</v>
      </c>
      <c r="AE23" t="s">
        <v>837</v>
      </c>
      <c r="AO23">
        <v>22</v>
      </c>
      <c r="AP23" t="s">
        <v>476</v>
      </c>
      <c r="AQ23" t="s">
        <v>642</v>
      </c>
      <c r="AR23" t="s">
        <v>875</v>
      </c>
    </row>
    <row r="24" spans="4:46" x14ac:dyDescent="0.25">
      <c r="D24">
        <v>23</v>
      </c>
      <c r="E24" t="s">
        <v>595</v>
      </c>
      <c r="F24" t="s">
        <v>625</v>
      </c>
      <c r="G24" t="s">
        <v>765</v>
      </c>
      <c r="P24">
        <v>23</v>
      </c>
      <c r="Q24" t="s">
        <v>476</v>
      </c>
      <c r="R24" t="s">
        <v>601</v>
      </c>
      <c r="S24" t="s">
        <v>806</v>
      </c>
      <c r="AB24">
        <v>23</v>
      </c>
      <c r="AC24" t="s">
        <v>476</v>
      </c>
      <c r="AD24" t="s">
        <v>661</v>
      </c>
      <c r="AE24" t="s">
        <v>838</v>
      </c>
      <c r="AO24">
        <v>23</v>
      </c>
      <c r="AP24" t="s">
        <v>476</v>
      </c>
      <c r="AQ24" t="s">
        <v>650</v>
      </c>
      <c r="AR24" t="s">
        <v>755</v>
      </c>
    </row>
    <row r="25" spans="4:46" x14ac:dyDescent="0.25">
      <c r="D25">
        <v>24</v>
      </c>
      <c r="E25" t="s">
        <v>476</v>
      </c>
      <c r="F25" t="s">
        <v>626</v>
      </c>
      <c r="G25" t="s">
        <v>766</v>
      </c>
      <c r="P25">
        <v>24</v>
      </c>
      <c r="Q25" t="s">
        <v>595</v>
      </c>
      <c r="R25" t="s">
        <v>600</v>
      </c>
      <c r="S25" t="s">
        <v>807</v>
      </c>
      <c r="AB25">
        <v>24</v>
      </c>
      <c r="AC25" t="s">
        <v>595</v>
      </c>
      <c r="AD25" t="s">
        <v>662</v>
      </c>
      <c r="AE25" t="s">
        <v>839</v>
      </c>
      <c r="AO25">
        <v>24</v>
      </c>
      <c r="AP25" t="s">
        <v>595</v>
      </c>
      <c r="AQ25" t="s">
        <v>655</v>
      </c>
      <c r="AR25" t="s">
        <v>876</v>
      </c>
    </row>
    <row r="26" spans="4:46" x14ac:dyDescent="0.25">
      <c r="D26">
        <v>25</v>
      </c>
      <c r="E26" t="s">
        <v>595</v>
      </c>
      <c r="F26" t="s">
        <v>627</v>
      </c>
      <c r="G26" t="s">
        <v>767</v>
      </c>
      <c r="P26">
        <v>25</v>
      </c>
      <c r="Q26" t="s">
        <v>595</v>
      </c>
      <c r="R26" t="s">
        <v>618</v>
      </c>
      <c r="S26" t="s">
        <v>753</v>
      </c>
      <c r="AB26">
        <v>25</v>
      </c>
      <c r="AC26" t="s">
        <v>595</v>
      </c>
      <c r="AD26" t="s">
        <v>663</v>
      </c>
      <c r="AE26" t="s">
        <v>755</v>
      </c>
      <c r="AO26">
        <v>25</v>
      </c>
      <c r="AP26" t="s">
        <v>476</v>
      </c>
      <c r="AQ26" t="s">
        <v>665</v>
      </c>
      <c r="AR26" t="s">
        <v>877</v>
      </c>
    </row>
    <row r="27" spans="4:46" x14ac:dyDescent="0.25">
      <c r="D27">
        <v>26</v>
      </c>
      <c r="E27" t="s">
        <v>476</v>
      </c>
      <c r="F27" t="s">
        <v>599</v>
      </c>
      <c r="G27" t="s">
        <v>768</v>
      </c>
      <c r="P27">
        <v>26</v>
      </c>
      <c r="Q27" t="s">
        <v>476</v>
      </c>
      <c r="R27" t="s">
        <v>638</v>
      </c>
      <c r="S27" t="s">
        <v>808</v>
      </c>
      <c r="AB27">
        <v>26</v>
      </c>
      <c r="AC27" t="s">
        <v>476</v>
      </c>
      <c r="AD27" t="s">
        <v>664</v>
      </c>
      <c r="AE27" t="s">
        <v>840</v>
      </c>
      <c r="AO27">
        <v>26</v>
      </c>
      <c r="AP27" t="s">
        <v>595</v>
      </c>
      <c r="AQ27" t="s">
        <v>646</v>
      </c>
      <c r="AT27">
        <v>1</v>
      </c>
    </row>
    <row r="28" spans="4:46" x14ac:dyDescent="0.25">
      <c r="D28">
        <v>27</v>
      </c>
      <c r="E28" t="s">
        <v>476</v>
      </c>
      <c r="F28" t="s">
        <v>628</v>
      </c>
      <c r="G28" t="s">
        <v>755</v>
      </c>
      <c r="P28">
        <v>27</v>
      </c>
      <c r="Q28" t="s">
        <v>595</v>
      </c>
      <c r="R28" t="s">
        <v>631</v>
      </c>
      <c r="S28" t="s">
        <v>809</v>
      </c>
      <c r="AB28">
        <v>27</v>
      </c>
      <c r="AC28" t="s">
        <v>476</v>
      </c>
      <c r="AD28" t="s">
        <v>665</v>
      </c>
      <c r="AE28" t="s">
        <v>841</v>
      </c>
      <c r="AO28">
        <v>27</v>
      </c>
      <c r="AP28" t="s">
        <v>476</v>
      </c>
      <c r="AQ28" t="s">
        <v>639</v>
      </c>
      <c r="AR28" t="s">
        <v>878</v>
      </c>
      <c r="AT28">
        <v>1</v>
      </c>
    </row>
    <row r="29" spans="4:46" x14ac:dyDescent="0.25">
      <c r="D29">
        <v>28</v>
      </c>
      <c r="E29" t="s">
        <v>476</v>
      </c>
      <c r="F29" t="s">
        <v>629</v>
      </c>
      <c r="G29" t="s">
        <v>755</v>
      </c>
      <c r="P29">
        <v>28</v>
      </c>
      <c r="Q29" t="s">
        <v>595</v>
      </c>
      <c r="R29" t="s">
        <v>623</v>
      </c>
      <c r="U29">
        <v>1</v>
      </c>
      <c r="AB29">
        <v>28</v>
      </c>
      <c r="AC29" t="s">
        <v>476</v>
      </c>
      <c r="AD29" t="s">
        <v>666</v>
      </c>
      <c r="AE29" t="s">
        <v>842</v>
      </c>
      <c r="AO29">
        <v>28</v>
      </c>
      <c r="AP29" t="s">
        <v>476</v>
      </c>
      <c r="AQ29" t="s">
        <v>677</v>
      </c>
      <c r="AR29" t="s">
        <v>879</v>
      </c>
    </row>
    <row r="30" spans="4:46" x14ac:dyDescent="0.25">
      <c r="D30">
        <v>29</v>
      </c>
      <c r="E30" t="s">
        <v>476</v>
      </c>
      <c r="F30" t="s">
        <v>605</v>
      </c>
      <c r="G30" t="s">
        <v>755</v>
      </c>
      <c r="P30">
        <v>29</v>
      </c>
      <c r="Q30" t="s">
        <v>476</v>
      </c>
      <c r="R30" t="s">
        <v>628</v>
      </c>
      <c r="S30" t="s">
        <v>810</v>
      </c>
      <c r="AB30">
        <v>29</v>
      </c>
      <c r="AC30" t="s">
        <v>595</v>
      </c>
      <c r="AD30" t="s">
        <v>667</v>
      </c>
      <c r="AE30" t="s">
        <v>843</v>
      </c>
      <c r="AO30">
        <v>29</v>
      </c>
      <c r="AP30" t="s">
        <v>595</v>
      </c>
      <c r="AQ30" t="s">
        <v>656</v>
      </c>
      <c r="AR30" t="s">
        <v>880</v>
      </c>
    </row>
    <row r="31" spans="4:46" x14ac:dyDescent="0.25">
      <c r="D31">
        <v>30</v>
      </c>
      <c r="E31" t="s">
        <v>476</v>
      </c>
      <c r="F31" t="s">
        <v>630</v>
      </c>
      <c r="G31" t="s">
        <v>769</v>
      </c>
      <c r="P31">
        <v>30</v>
      </c>
      <c r="Q31" t="s">
        <v>476</v>
      </c>
      <c r="R31" t="s">
        <v>603</v>
      </c>
      <c r="S31" t="s">
        <v>811</v>
      </c>
      <c r="AB31">
        <v>30</v>
      </c>
      <c r="AC31" t="s">
        <v>595</v>
      </c>
      <c r="AD31" t="s">
        <v>668</v>
      </c>
      <c r="AE31" t="s">
        <v>755</v>
      </c>
      <c r="AO31">
        <v>30</v>
      </c>
      <c r="AP31" t="s">
        <v>476</v>
      </c>
      <c r="AQ31" t="s">
        <v>649</v>
      </c>
      <c r="AR31" t="s">
        <v>881</v>
      </c>
    </row>
    <row r="32" spans="4:46" x14ac:dyDescent="0.25">
      <c r="D32">
        <v>31</v>
      </c>
      <c r="E32" t="s">
        <v>595</v>
      </c>
      <c r="F32" t="s">
        <v>631</v>
      </c>
      <c r="G32" t="s">
        <v>755</v>
      </c>
      <c r="P32">
        <v>31</v>
      </c>
      <c r="Q32" t="s">
        <v>595</v>
      </c>
      <c r="R32" t="s">
        <v>596</v>
      </c>
      <c r="S32" t="s">
        <v>812</v>
      </c>
      <c r="AB32">
        <v>31</v>
      </c>
      <c r="AC32" t="s">
        <v>595</v>
      </c>
      <c r="AD32" t="s">
        <v>669</v>
      </c>
      <c r="AE32" t="s">
        <v>844</v>
      </c>
      <c r="AO32">
        <v>31</v>
      </c>
      <c r="AP32" t="s">
        <v>476</v>
      </c>
      <c r="AQ32" t="s">
        <v>652</v>
      </c>
      <c r="AR32" t="s">
        <v>882</v>
      </c>
    </row>
    <row r="33" spans="3:46" x14ac:dyDescent="0.25">
      <c r="D33">
        <v>32</v>
      </c>
      <c r="E33" t="s">
        <v>476</v>
      </c>
      <c r="F33" t="s">
        <v>601</v>
      </c>
      <c r="G33" t="s">
        <v>770</v>
      </c>
      <c r="P33">
        <v>32</v>
      </c>
      <c r="Q33" t="s">
        <v>595</v>
      </c>
      <c r="R33" t="s">
        <v>634</v>
      </c>
      <c r="S33" t="s">
        <v>813</v>
      </c>
      <c r="AB33">
        <v>32</v>
      </c>
      <c r="AC33" t="s">
        <v>595</v>
      </c>
      <c r="AD33" t="s">
        <v>670</v>
      </c>
      <c r="AE33" t="s">
        <v>755</v>
      </c>
      <c r="AO33">
        <v>32</v>
      </c>
      <c r="AP33" t="s">
        <v>595</v>
      </c>
      <c r="AQ33" t="s">
        <v>676</v>
      </c>
      <c r="AR33" t="s">
        <v>883</v>
      </c>
    </row>
    <row r="34" spans="3:46" x14ac:dyDescent="0.25">
      <c r="D34">
        <v>33</v>
      </c>
      <c r="E34" t="s">
        <v>595</v>
      </c>
      <c r="F34" t="s">
        <v>632</v>
      </c>
      <c r="G34" t="s">
        <v>771</v>
      </c>
      <c r="P34">
        <v>33</v>
      </c>
      <c r="Q34" t="s">
        <v>595</v>
      </c>
      <c r="R34" t="s">
        <v>632</v>
      </c>
      <c r="S34" t="s">
        <v>814</v>
      </c>
      <c r="AB34">
        <v>33</v>
      </c>
      <c r="AC34" t="s">
        <v>476</v>
      </c>
      <c r="AD34" t="s">
        <v>671</v>
      </c>
      <c r="AE34" t="s">
        <v>845</v>
      </c>
      <c r="AO34">
        <v>33</v>
      </c>
      <c r="AP34" t="s">
        <v>595</v>
      </c>
      <c r="AQ34" t="s">
        <v>662</v>
      </c>
      <c r="AR34" t="s">
        <v>884</v>
      </c>
    </row>
    <row r="35" spans="3:46" x14ac:dyDescent="0.25">
      <c r="D35">
        <v>34</v>
      </c>
      <c r="E35" t="s">
        <v>595</v>
      </c>
      <c r="F35" t="s">
        <v>633</v>
      </c>
      <c r="I35">
        <v>1</v>
      </c>
      <c r="P35">
        <v>34</v>
      </c>
      <c r="Q35" t="s">
        <v>476</v>
      </c>
      <c r="R35" t="s">
        <v>624</v>
      </c>
      <c r="S35" t="s">
        <v>815</v>
      </c>
      <c r="AB35">
        <v>34</v>
      </c>
      <c r="AC35" t="s">
        <v>595</v>
      </c>
      <c r="AD35" t="s">
        <v>672</v>
      </c>
      <c r="AE35" t="s">
        <v>846</v>
      </c>
      <c r="AO35">
        <v>34</v>
      </c>
      <c r="AP35" t="s">
        <v>476</v>
      </c>
      <c r="AQ35" t="s">
        <v>653</v>
      </c>
      <c r="AR35" t="s">
        <v>885</v>
      </c>
    </row>
    <row r="36" spans="3:46" x14ac:dyDescent="0.25">
      <c r="D36">
        <v>35</v>
      </c>
      <c r="E36" t="s">
        <v>595</v>
      </c>
      <c r="F36" t="s">
        <v>634</v>
      </c>
      <c r="G36" t="s">
        <v>772</v>
      </c>
      <c r="P36">
        <v>35</v>
      </c>
      <c r="Q36" t="s">
        <v>595</v>
      </c>
      <c r="R36" t="s">
        <v>614</v>
      </c>
      <c r="S36" t="s">
        <v>755</v>
      </c>
      <c r="AB36">
        <v>35</v>
      </c>
      <c r="AC36" t="s">
        <v>476</v>
      </c>
      <c r="AD36" t="s">
        <v>673</v>
      </c>
      <c r="AE36" t="s">
        <v>847</v>
      </c>
      <c r="AO36">
        <v>35</v>
      </c>
      <c r="AP36" t="s">
        <v>476</v>
      </c>
      <c r="AQ36" t="s">
        <v>666</v>
      </c>
      <c r="AR36" t="s">
        <v>886</v>
      </c>
    </row>
    <row r="37" spans="3:46" x14ac:dyDescent="0.25">
      <c r="D37">
        <v>36</v>
      </c>
      <c r="E37" t="s">
        <v>476</v>
      </c>
      <c r="F37" t="s">
        <v>635</v>
      </c>
      <c r="G37" t="s">
        <v>773</v>
      </c>
      <c r="P37">
        <v>36</v>
      </c>
      <c r="Q37" t="s">
        <v>476</v>
      </c>
      <c r="R37" t="s">
        <v>630</v>
      </c>
      <c r="S37" t="s">
        <v>816</v>
      </c>
      <c r="AB37">
        <v>36</v>
      </c>
      <c r="AC37" t="s">
        <v>595</v>
      </c>
      <c r="AD37" t="s">
        <v>674</v>
      </c>
      <c r="AE37" t="s">
        <v>848</v>
      </c>
      <c r="AO37">
        <v>36</v>
      </c>
      <c r="AP37" t="s">
        <v>476</v>
      </c>
      <c r="AQ37" t="s">
        <v>673</v>
      </c>
      <c r="AR37" t="s">
        <v>887</v>
      </c>
    </row>
    <row r="38" spans="3:46" x14ac:dyDescent="0.25">
      <c r="D38">
        <v>37</v>
      </c>
      <c r="E38" t="s">
        <v>595</v>
      </c>
      <c r="F38" t="s">
        <v>636</v>
      </c>
      <c r="I38">
        <v>1</v>
      </c>
      <c r="P38">
        <v>37</v>
      </c>
      <c r="Q38" t="s">
        <v>595</v>
      </c>
      <c r="R38" t="s">
        <v>611</v>
      </c>
      <c r="S38" t="s">
        <v>755</v>
      </c>
      <c r="AB38">
        <v>37</v>
      </c>
      <c r="AC38" t="s">
        <v>476</v>
      </c>
      <c r="AD38" t="s">
        <v>675</v>
      </c>
      <c r="AE38" t="s">
        <v>849</v>
      </c>
      <c r="AO38">
        <v>37</v>
      </c>
      <c r="AP38" t="s">
        <v>476</v>
      </c>
      <c r="AQ38" t="s">
        <v>640</v>
      </c>
      <c r="AR38" t="s">
        <v>888</v>
      </c>
    </row>
    <row r="39" spans="3:46" x14ac:dyDescent="0.25">
      <c r="D39">
        <v>38</v>
      </c>
      <c r="E39" t="s">
        <v>476</v>
      </c>
      <c r="F39" t="s">
        <v>637</v>
      </c>
      <c r="G39" t="s">
        <v>774</v>
      </c>
      <c r="P39">
        <v>38</v>
      </c>
      <c r="Q39" t="s">
        <v>595</v>
      </c>
      <c r="R39" t="s">
        <v>625</v>
      </c>
      <c r="S39" t="s">
        <v>817</v>
      </c>
      <c r="AB39">
        <v>38</v>
      </c>
      <c r="AC39" t="s">
        <v>595</v>
      </c>
      <c r="AD39" t="s">
        <v>676</v>
      </c>
      <c r="AE39" t="s">
        <v>850</v>
      </c>
      <c r="AO39">
        <v>38</v>
      </c>
      <c r="AP39" t="s">
        <v>595</v>
      </c>
      <c r="AQ39" t="s">
        <v>660</v>
      </c>
      <c r="AR39" t="s">
        <v>889</v>
      </c>
    </row>
    <row r="40" spans="3:46" x14ac:dyDescent="0.25">
      <c r="D40">
        <v>39</v>
      </c>
      <c r="E40" t="s">
        <v>476</v>
      </c>
      <c r="F40" t="s">
        <v>638</v>
      </c>
      <c r="G40" t="s">
        <v>755</v>
      </c>
      <c r="P40">
        <v>39</v>
      </c>
      <c r="Q40" t="s">
        <v>595</v>
      </c>
      <c r="R40" t="s">
        <v>606</v>
      </c>
      <c r="S40" t="s">
        <v>818</v>
      </c>
      <c r="AB40">
        <v>39</v>
      </c>
      <c r="AC40" t="s">
        <v>476</v>
      </c>
      <c r="AD40" t="s">
        <v>677</v>
      </c>
      <c r="AE40" t="s">
        <v>851</v>
      </c>
      <c r="AO40">
        <v>39</v>
      </c>
      <c r="AP40" t="s">
        <v>595</v>
      </c>
      <c r="AQ40" t="s">
        <v>663</v>
      </c>
      <c r="AR40" t="s">
        <v>890</v>
      </c>
    </row>
    <row r="41" spans="3:46" x14ac:dyDescent="0.25">
      <c r="D41">
        <v>40</v>
      </c>
      <c r="E41" t="s">
        <v>476</v>
      </c>
      <c r="F41" t="s">
        <v>598</v>
      </c>
      <c r="G41" t="s">
        <v>753</v>
      </c>
      <c r="P41">
        <v>40</v>
      </c>
      <c r="Q41" t="s">
        <v>476</v>
      </c>
      <c r="R41" t="s">
        <v>622</v>
      </c>
      <c r="S41" t="s">
        <v>755</v>
      </c>
      <c r="AB41">
        <v>40</v>
      </c>
      <c r="AC41" t="s">
        <v>476</v>
      </c>
      <c r="AD41" t="s">
        <v>678</v>
      </c>
      <c r="AO41">
        <v>40</v>
      </c>
      <c r="AP41" t="s">
        <v>595</v>
      </c>
      <c r="AQ41" t="s">
        <v>669</v>
      </c>
      <c r="AR41" t="s">
        <v>891</v>
      </c>
    </row>
    <row r="42" spans="3:46" ht="18.75" x14ac:dyDescent="0.3">
      <c r="I42" s="1">
        <f>SUM(I2:I41)</f>
        <v>3</v>
      </c>
      <c r="U42">
        <f>SUM(U2:U41)</f>
        <v>1</v>
      </c>
      <c r="AG42">
        <f>SUM(AG2:AG41)</f>
        <v>5</v>
      </c>
      <c r="AT42" s="35">
        <f>SUM(AT2:AT41)</f>
        <v>2</v>
      </c>
    </row>
    <row r="48" spans="3:46" x14ac:dyDescent="0.25">
      <c r="C48" t="s">
        <v>116</v>
      </c>
      <c r="D48" t="s">
        <v>117</v>
      </c>
      <c r="E48" t="s">
        <v>118</v>
      </c>
      <c r="F48" t="s">
        <v>119</v>
      </c>
    </row>
    <row r="49" spans="2:6" x14ac:dyDescent="0.25">
      <c r="B49" t="s">
        <v>853</v>
      </c>
      <c r="C49">
        <v>3</v>
      </c>
      <c r="D49">
        <v>1</v>
      </c>
      <c r="E49">
        <v>5</v>
      </c>
      <c r="F49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8"/>
  <sheetViews>
    <sheetView topLeftCell="AA1" workbookViewId="0">
      <selection activeCell="A4" sqref="A4"/>
    </sheetView>
  </sheetViews>
  <sheetFormatPr baseColWidth="10" defaultRowHeight="15" x14ac:dyDescent="0.25"/>
  <cols>
    <col min="1" max="1" width="23" customWidth="1"/>
    <col min="11" max="11" width="26.7109375" customWidth="1"/>
    <col min="21" max="21" width="20.5703125" customWidth="1"/>
    <col min="31" max="31" width="17.85546875" customWidth="1"/>
  </cols>
  <sheetData>
    <row r="1" spans="1:38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304</v>
      </c>
      <c r="F1" s="2" t="s">
        <v>305</v>
      </c>
      <c r="G1" s="2" t="s">
        <v>177</v>
      </c>
      <c r="H1" s="2" t="s">
        <v>306</v>
      </c>
      <c r="K1" s="1" t="s">
        <v>30</v>
      </c>
      <c r="L1" s="2" t="s">
        <v>0</v>
      </c>
      <c r="M1" s="2" t="s">
        <v>1</v>
      </c>
      <c r="N1" s="2" t="s">
        <v>2</v>
      </c>
      <c r="O1" s="2" t="s">
        <v>304</v>
      </c>
      <c r="P1" s="2" t="s">
        <v>305</v>
      </c>
      <c r="Q1" s="2" t="s">
        <v>177</v>
      </c>
      <c r="R1" s="2" t="s">
        <v>306</v>
      </c>
      <c r="U1" s="1" t="s">
        <v>30</v>
      </c>
      <c r="V1" s="2" t="s">
        <v>0</v>
      </c>
      <c r="W1" s="2" t="s">
        <v>1</v>
      </c>
      <c r="X1" s="2" t="s">
        <v>2</v>
      </c>
      <c r="Y1" s="2" t="s">
        <v>304</v>
      </c>
      <c r="Z1" s="2" t="s">
        <v>305</v>
      </c>
      <c r="AA1" s="2" t="s">
        <v>177</v>
      </c>
      <c r="AB1" s="2" t="s">
        <v>306</v>
      </c>
      <c r="AE1" s="1" t="s">
        <v>30</v>
      </c>
      <c r="AF1" s="2" t="s">
        <v>0</v>
      </c>
      <c r="AG1" s="2" t="s">
        <v>1</v>
      </c>
      <c r="AH1" s="2" t="s">
        <v>2</v>
      </c>
      <c r="AI1" s="2" t="s">
        <v>304</v>
      </c>
      <c r="AJ1" s="2" t="s">
        <v>305</v>
      </c>
      <c r="AK1" s="2" t="s">
        <v>177</v>
      </c>
      <c r="AL1" s="2" t="s">
        <v>306</v>
      </c>
    </row>
    <row r="2" spans="1:38" ht="15.75" x14ac:dyDescent="0.25">
      <c r="A2" s="3" t="s">
        <v>8</v>
      </c>
      <c r="B2">
        <v>1</v>
      </c>
      <c r="C2">
        <v>1</v>
      </c>
      <c r="D2">
        <v>1</v>
      </c>
      <c r="E2" t="s">
        <v>307</v>
      </c>
      <c r="F2" t="s">
        <v>308</v>
      </c>
      <c r="G2">
        <v>1</v>
      </c>
      <c r="K2" s="3" t="s">
        <v>117</v>
      </c>
      <c r="L2">
        <v>1</v>
      </c>
      <c r="M2">
        <v>2</v>
      </c>
      <c r="N2">
        <v>1</v>
      </c>
      <c r="O2" t="s">
        <v>309</v>
      </c>
      <c r="P2" t="s">
        <v>310</v>
      </c>
      <c r="Q2">
        <v>1</v>
      </c>
      <c r="U2" s="3" t="s">
        <v>118</v>
      </c>
      <c r="V2">
        <v>2</v>
      </c>
      <c r="W2">
        <v>3</v>
      </c>
      <c r="X2">
        <v>1</v>
      </c>
      <c r="Y2" t="s">
        <v>311</v>
      </c>
      <c r="Z2" t="s">
        <v>312</v>
      </c>
      <c r="AA2">
        <v>1</v>
      </c>
      <c r="AE2" s="3" t="s">
        <v>119</v>
      </c>
      <c r="AF2">
        <v>2</v>
      </c>
      <c r="AG2">
        <v>4</v>
      </c>
      <c r="AH2">
        <v>1</v>
      </c>
      <c r="AI2" t="s">
        <v>309</v>
      </c>
      <c r="AJ2" t="s">
        <v>313</v>
      </c>
      <c r="AK2">
        <v>1</v>
      </c>
    </row>
    <row r="3" spans="1:38" x14ac:dyDescent="0.25">
      <c r="A3" s="2" t="s">
        <v>314</v>
      </c>
      <c r="D3">
        <v>2</v>
      </c>
      <c r="E3" t="s">
        <v>309</v>
      </c>
      <c r="F3" t="s">
        <v>315</v>
      </c>
      <c r="G3">
        <v>0</v>
      </c>
      <c r="H3" t="s">
        <v>316</v>
      </c>
      <c r="K3" s="2" t="s">
        <v>314</v>
      </c>
      <c r="N3">
        <v>2</v>
      </c>
      <c r="O3" t="s">
        <v>309</v>
      </c>
      <c r="P3" t="s">
        <v>317</v>
      </c>
      <c r="Q3">
        <v>1</v>
      </c>
      <c r="U3" s="2" t="s">
        <v>314</v>
      </c>
      <c r="X3">
        <v>2</v>
      </c>
      <c r="Y3" t="s">
        <v>309</v>
      </c>
      <c r="Z3" t="s">
        <v>318</v>
      </c>
      <c r="AA3">
        <v>1</v>
      </c>
      <c r="AE3" s="2" t="s">
        <v>314</v>
      </c>
      <c r="AH3">
        <v>2</v>
      </c>
      <c r="AI3" t="s">
        <v>309</v>
      </c>
      <c r="AJ3" t="s">
        <v>319</v>
      </c>
      <c r="AK3">
        <v>1</v>
      </c>
    </row>
    <row r="4" spans="1:38" ht="15.75" x14ac:dyDescent="0.25">
      <c r="A4" s="14">
        <v>43354</v>
      </c>
      <c r="D4">
        <v>3</v>
      </c>
      <c r="E4" t="s">
        <v>311</v>
      </c>
      <c r="F4" t="s">
        <v>320</v>
      </c>
      <c r="G4">
        <v>1</v>
      </c>
      <c r="K4" s="14">
        <v>43374</v>
      </c>
      <c r="N4">
        <v>3</v>
      </c>
      <c r="O4" t="s">
        <v>309</v>
      </c>
      <c r="P4" t="s">
        <v>321</v>
      </c>
      <c r="Q4">
        <v>0</v>
      </c>
      <c r="R4" t="s">
        <v>322</v>
      </c>
      <c r="U4" s="14">
        <v>43384</v>
      </c>
      <c r="X4">
        <v>3</v>
      </c>
      <c r="Y4" t="s">
        <v>311</v>
      </c>
      <c r="Z4" t="s">
        <v>323</v>
      </c>
      <c r="AA4">
        <v>1</v>
      </c>
      <c r="AE4" s="14">
        <v>43493</v>
      </c>
      <c r="AH4">
        <v>3</v>
      </c>
      <c r="AI4" t="s">
        <v>311</v>
      </c>
      <c r="AJ4" t="s">
        <v>324</v>
      </c>
      <c r="AK4">
        <v>1</v>
      </c>
    </row>
    <row r="5" spans="1:38" x14ac:dyDescent="0.25">
      <c r="A5" s="2" t="s">
        <v>325</v>
      </c>
      <c r="D5">
        <v>4</v>
      </c>
      <c r="E5" t="s">
        <v>311</v>
      </c>
      <c r="F5" t="s">
        <v>326</v>
      </c>
      <c r="G5">
        <v>1</v>
      </c>
      <c r="K5" s="2" t="s">
        <v>327</v>
      </c>
      <c r="N5">
        <v>4</v>
      </c>
      <c r="O5" t="s">
        <v>309</v>
      </c>
      <c r="P5" t="s">
        <v>328</v>
      </c>
      <c r="Q5">
        <v>1</v>
      </c>
      <c r="U5" s="2" t="s">
        <v>325</v>
      </c>
      <c r="X5">
        <v>4</v>
      </c>
      <c r="Y5" t="s">
        <v>309</v>
      </c>
      <c r="Z5" t="s">
        <v>329</v>
      </c>
      <c r="AA5">
        <v>1</v>
      </c>
      <c r="AE5" s="2" t="s">
        <v>330</v>
      </c>
      <c r="AH5">
        <v>4</v>
      </c>
      <c r="AI5" t="s">
        <v>309</v>
      </c>
      <c r="AJ5" t="s">
        <v>331</v>
      </c>
      <c r="AK5">
        <v>0</v>
      </c>
      <c r="AL5" t="s">
        <v>332</v>
      </c>
    </row>
    <row r="6" spans="1:38" x14ac:dyDescent="0.25">
      <c r="D6">
        <v>5</v>
      </c>
      <c r="E6" t="s">
        <v>307</v>
      </c>
      <c r="F6" t="s">
        <v>333</v>
      </c>
      <c r="G6">
        <v>1</v>
      </c>
      <c r="N6">
        <v>5</v>
      </c>
      <c r="O6" t="s">
        <v>309</v>
      </c>
      <c r="P6" t="s">
        <v>334</v>
      </c>
      <c r="Q6">
        <v>1</v>
      </c>
      <c r="X6">
        <v>5</v>
      </c>
      <c r="Y6" t="s">
        <v>311</v>
      </c>
      <c r="Z6" t="s">
        <v>335</v>
      </c>
      <c r="AA6">
        <v>1</v>
      </c>
      <c r="AH6">
        <v>5</v>
      </c>
      <c r="AI6" t="s">
        <v>311</v>
      </c>
      <c r="AJ6" t="s">
        <v>336</v>
      </c>
      <c r="AK6">
        <v>1</v>
      </c>
    </row>
    <row r="7" spans="1:38" x14ac:dyDescent="0.25">
      <c r="D7">
        <v>6</v>
      </c>
      <c r="E7" t="s">
        <v>307</v>
      </c>
      <c r="F7" t="s">
        <v>337</v>
      </c>
      <c r="G7">
        <v>0</v>
      </c>
      <c r="H7" t="s">
        <v>338</v>
      </c>
      <c r="N7">
        <v>6</v>
      </c>
      <c r="O7" t="s">
        <v>307</v>
      </c>
      <c r="P7" t="s">
        <v>339</v>
      </c>
      <c r="Q7">
        <v>0</v>
      </c>
      <c r="R7" t="s">
        <v>340</v>
      </c>
      <c r="X7">
        <v>6</v>
      </c>
      <c r="Y7" t="s">
        <v>309</v>
      </c>
      <c r="Z7" t="s">
        <v>341</v>
      </c>
      <c r="AA7">
        <v>0</v>
      </c>
      <c r="AB7" t="s">
        <v>342</v>
      </c>
      <c r="AH7">
        <v>6</v>
      </c>
      <c r="AI7" t="s">
        <v>309</v>
      </c>
      <c r="AJ7" t="s">
        <v>343</v>
      </c>
      <c r="AK7">
        <v>1</v>
      </c>
    </row>
    <row r="8" spans="1:38" x14ac:dyDescent="0.25">
      <c r="D8">
        <v>7</v>
      </c>
      <c r="E8" t="s">
        <v>311</v>
      </c>
      <c r="F8" t="s">
        <v>344</v>
      </c>
      <c r="G8">
        <v>1</v>
      </c>
      <c r="N8">
        <v>7</v>
      </c>
      <c r="O8" t="s">
        <v>307</v>
      </c>
      <c r="P8" t="s">
        <v>345</v>
      </c>
      <c r="Q8">
        <v>0</v>
      </c>
      <c r="R8" s="15" t="s">
        <v>346</v>
      </c>
      <c r="X8">
        <v>7</v>
      </c>
      <c r="Y8" t="s">
        <v>311</v>
      </c>
      <c r="Z8" t="s">
        <v>347</v>
      </c>
      <c r="AA8">
        <v>0</v>
      </c>
      <c r="AB8" t="s">
        <v>348</v>
      </c>
      <c r="AH8">
        <v>7</v>
      </c>
      <c r="AI8" t="s">
        <v>309</v>
      </c>
      <c r="AJ8" t="s">
        <v>341</v>
      </c>
      <c r="AK8">
        <v>0</v>
      </c>
      <c r="AL8" t="s">
        <v>342</v>
      </c>
    </row>
    <row r="9" spans="1:38" x14ac:dyDescent="0.25">
      <c r="D9">
        <v>8</v>
      </c>
      <c r="E9" t="s">
        <v>307</v>
      </c>
      <c r="F9" t="s">
        <v>339</v>
      </c>
      <c r="G9">
        <v>0</v>
      </c>
      <c r="H9" t="s">
        <v>349</v>
      </c>
      <c r="N9">
        <v>8</v>
      </c>
      <c r="O9" t="s">
        <v>307</v>
      </c>
      <c r="P9" t="s">
        <v>350</v>
      </c>
      <c r="Q9">
        <v>1</v>
      </c>
      <c r="R9" s="15" t="s">
        <v>351</v>
      </c>
      <c r="X9">
        <v>8</v>
      </c>
      <c r="Y9" t="s">
        <v>309</v>
      </c>
      <c r="Z9" t="s">
        <v>343</v>
      </c>
      <c r="AA9">
        <v>1</v>
      </c>
      <c r="AH9">
        <v>8</v>
      </c>
      <c r="AI9" t="s">
        <v>307</v>
      </c>
      <c r="AJ9" t="s">
        <v>352</v>
      </c>
      <c r="AK9">
        <v>0</v>
      </c>
      <c r="AL9" s="16" t="s">
        <v>353</v>
      </c>
    </row>
    <row r="10" spans="1:38" x14ac:dyDescent="0.25">
      <c r="D10">
        <v>9</v>
      </c>
      <c r="E10" t="s">
        <v>309</v>
      </c>
      <c r="F10" t="s">
        <v>354</v>
      </c>
      <c r="G10">
        <v>1</v>
      </c>
      <c r="N10">
        <v>9</v>
      </c>
      <c r="O10" t="s">
        <v>309</v>
      </c>
      <c r="P10" t="s">
        <v>355</v>
      </c>
      <c r="Q10">
        <v>1</v>
      </c>
      <c r="X10">
        <v>9</v>
      </c>
      <c r="Y10" t="s">
        <v>307</v>
      </c>
      <c r="Z10" t="s">
        <v>356</v>
      </c>
      <c r="AA10">
        <v>0</v>
      </c>
      <c r="AB10" t="s">
        <v>357</v>
      </c>
      <c r="AH10">
        <v>9</v>
      </c>
      <c r="AI10" t="s">
        <v>311</v>
      </c>
      <c r="AJ10" t="s">
        <v>358</v>
      </c>
      <c r="AK10">
        <v>1</v>
      </c>
    </row>
    <row r="11" spans="1:38" x14ac:dyDescent="0.25">
      <c r="D11">
        <v>10</v>
      </c>
      <c r="E11" t="s">
        <v>311</v>
      </c>
      <c r="F11" t="s">
        <v>359</v>
      </c>
      <c r="G11">
        <v>1</v>
      </c>
      <c r="N11">
        <v>10</v>
      </c>
      <c r="O11" t="s">
        <v>307</v>
      </c>
      <c r="P11" t="s">
        <v>360</v>
      </c>
      <c r="Q11">
        <v>1</v>
      </c>
      <c r="X11">
        <v>10</v>
      </c>
      <c r="Y11" t="s">
        <v>307</v>
      </c>
      <c r="Z11" t="s">
        <v>361</v>
      </c>
      <c r="AA11">
        <v>1</v>
      </c>
      <c r="AH11">
        <v>10</v>
      </c>
      <c r="AI11" t="s">
        <v>311</v>
      </c>
      <c r="AJ11" t="s">
        <v>362</v>
      </c>
      <c r="AK11">
        <v>1</v>
      </c>
    </row>
    <row r="12" spans="1:38" x14ac:dyDescent="0.25">
      <c r="D12">
        <v>11</v>
      </c>
      <c r="E12" t="s">
        <v>307</v>
      </c>
      <c r="F12" t="s">
        <v>363</v>
      </c>
      <c r="G12">
        <v>0</v>
      </c>
      <c r="H12" s="15" t="s">
        <v>364</v>
      </c>
      <c r="N12">
        <v>11</v>
      </c>
      <c r="O12" t="s">
        <v>307</v>
      </c>
      <c r="P12" t="s">
        <v>365</v>
      </c>
      <c r="Q12">
        <v>0</v>
      </c>
      <c r="R12" t="s">
        <v>366</v>
      </c>
      <c r="X12">
        <v>11</v>
      </c>
      <c r="Y12" t="s">
        <v>309</v>
      </c>
      <c r="Z12" t="s">
        <v>367</v>
      </c>
      <c r="AA12">
        <v>1</v>
      </c>
      <c r="AH12">
        <v>11</v>
      </c>
      <c r="AI12" t="s">
        <v>311</v>
      </c>
      <c r="AJ12" t="s">
        <v>323</v>
      </c>
      <c r="AK12">
        <v>0</v>
      </c>
      <c r="AL12" t="s">
        <v>368</v>
      </c>
    </row>
    <row r="13" spans="1:38" x14ac:dyDescent="0.25">
      <c r="D13">
        <v>12</v>
      </c>
      <c r="E13" t="s">
        <v>311</v>
      </c>
      <c r="F13" t="s">
        <v>369</v>
      </c>
      <c r="G13">
        <v>1</v>
      </c>
      <c r="N13">
        <v>12</v>
      </c>
      <c r="O13" t="s">
        <v>307</v>
      </c>
      <c r="P13" t="s">
        <v>370</v>
      </c>
      <c r="Q13">
        <v>1</v>
      </c>
      <c r="X13">
        <v>12</v>
      </c>
      <c r="Y13" t="s">
        <v>309</v>
      </c>
      <c r="Z13" t="s">
        <v>371</v>
      </c>
      <c r="AA13">
        <v>0</v>
      </c>
      <c r="AB13" t="s">
        <v>372</v>
      </c>
      <c r="AH13">
        <v>12</v>
      </c>
      <c r="AI13" t="s">
        <v>311</v>
      </c>
      <c r="AJ13" t="s">
        <v>373</v>
      </c>
      <c r="AK13">
        <v>1</v>
      </c>
    </row>
    <row r="14" spans="1:38" x14ac:dyDescent="0.25">
      <c r="D14">
        <v>13</v>
      </c>
      <c r="E14" t="s">
        <v>307</v>
      </c>
      <c r="F14" t="s">
        <v>374</v>
      </c>
      <c r="G14">
        <v>0</v>
      </c>
      <c r="H14" t="s">
        <v>375</v>
      </c>
      <c r="N14">
        <v>13</v>
      </c>
      <c r="O14" t="s">
        <v>307</v>
      </c>
      <c r="P14" t="s">
        <v>376</v>
      </c>
      <c r="Q14">
        <v>1</v>
      </c>
      <c r="X14">
        <v>13</v>
      </c>
      <c r="Y14" t="s">
        <v>309</v>
      </c>
      <c r="Z14" t="s">
        <v>331</v>
      </c>
      <c r="AA14">
        <v>1</v>
      </c>
      <c r="AH14">
        <v>13</v>
      </c>
      <c r="AI14" t="s">
        <v>309</v>
      </c>
      <c r="AJ14" t="s">
        <v>377</v>
      </c>
      <c r="AK14">
        <v>1</v>
      </c>
    </row>
    <row r="15" spans="1:38" x14ac:dyDescent="0.25">
      <c r="D15">
        <v>14</v>
      </c>
      <c r="E15" t="s">
        <v>311</v>
      </c>
      <c r="F15" t="s">
        <v>378</v>
      </c>
      <c r="G15">
        <v>0</v>
      </c>
      <c r="H15" t="s">
        <v>379</v>
      </c>
      <c r="N15">
        <v>14</v>
      </c>
      <c r="O15" t="s">
        <v>309</v>
      </c>
      <c r="P15" t="s">
        <v>380</v>
      </c>
      <c r="Q15">
        <v>1</v>
      </c>
      <c r="R15" t="s">
        <v>381</v>
      </c>
      <c r="X15">
        <v>14</v>
      </c>
      <c r="Y15" t="s">
        <v>307</v>
      </c>
      <c r="Z15" t="s">
        <v>352</v>
      </c>
      <c r="AA15">
        <v>0</v>
      </c>
      <c r="AB15" s="16" t="s">
        <v>353</v>
      </c>
      <c r="AH15">
        <v>14</v>
      </c>
      <c r="AI15" t="s">
        <v>307</v>
      </c>
      <c r="AJ15" t="s">
        <v>382</v>
      </c>
      <c r="AK15">
        <v>0</v>
      </c>
      <c r="AL15" t="s">
        <v>383</v>
      </c>
    </row>
    <row r="16" spans="1:38" x14ac:dyDescent="0.25">
      <c r="D16">
        <v>15</v>
      </c>
      <c r="E16" t="s">
        <v>309</v>
      </c>
      <c r="F16" t="s">
        <v>355</v>
      </c>
      <c r="G16">
        <v>1</v>
      </c>
      <c r="N16">
        <v>15</v>
      </c>
      <c r="O16" t="s">
        <v>311</v>
      </c>
      <c r="P16" t="s">
        <v>384</v>
      </c>
      <c r="Q16">
        <v>1</v>
      </c>
      <c r="X16">
        <v>15</v>
      </c>
      <c r="Y16" t="s">
        <v>309</v>
      </c>
      <c r="Z16" t="s">
        <v>385</v>
      </c>
      <c r="AA16">
        <v>1</v>
      </c>
      <c r="AH16">
        <v>15</v>
      </c>
      <c r="AI16" t="s">
        <v>311</v>
      </c>
      <c r="AJ16" t="s">
        <v>312</v>
      </c>
      <c r="AK16">
        <v>1</v>
      </c>
    </row>
    <row r="17" spans="4:39" x14ac:dyDescent="0.25">
      <c r="D17">
        <v>16</v>
      </c>
      <c r="E17" t="s">
        <v>307</v>
      </c>
      <c r="F17" t="s">
        <v>350</v>
      </c>
      <c r="G17">
        <v>0</v>
      </c>
      <c r="H17" t="s">
        <v>386</v>
      </c>
      <c r="N17">
        <v>16</v>
      </c>
      <c r="O17" t="s">
        <v>311</v>
      </c>
      <c r="P17" t="s">
        <v>369</v>
      </c>
      <c r="Q17">
        <v>1</v>
      </c>
      <c r="X17">
        <v>16</v>
      </c>
      <c r="Y17" t="s">
        <v>309</v>
      </c>
      <c r="Z17" t="s">
        <v>319</v>
      </c>
      <c r="AA17">
        <v>1</v>
      </c>
      <c r="AH17">
        <v>16</v>
      </c>
      <c r="AI17" t="s">
        <v>309</v>
      </c>
      <c r="AJ17" t="s">
        <v>329</v>
      </c>
      <c r="AK17">
        <v>1</v>
      </c>
    </row>
    <row r="18" spans="4:39" x14ac:dyDescent="0.25">
      <c r="D18">
        <v>17</v>
      </c>
      <c r="E18" t="s">
        <v>307</v>
      </c>
      <c r="F18" t="s">
        <v>387</v>
      </c>
      <c r="G18">
        <v>1</v>
      </c>
      <c r="N18">
        <v>17</v>
      </c>
      <c r="O18" t="s">
        <v>307</v>
      </c>
      <c r="P18" t="s">
        <v>337</v>
      </c>
      <c r="Q18">
        <v>0</v>
      </c>
      <c r="R18" t="s">
        <v>388</v>
      </c>
      <c r="X18">
        <v>17</v>
      </c>
      <c r="Y18" t="s">
        <v>311</v>
      </c>
      <c r="Z18" t="s">
        <v>389</v>
      </c>
      <c r="AA18">
        <v>1</v>
      </c>
      <c r="AH18">
        <v>17</v>
      </c>
      <c r="AI18" t="s">
        <v>307</v>
      </c>
      <c r="AJ18" t="s">
        <v>390</v>
      </c>
      <c r="AK18">
        <v>0</v>
      </c>
      <c r="AL18" s="15" t="s">
        <v>391</v>
      </c>
    </row>
    <row r="19" spans="4:39" x14ac:dyDescent="0.25">
      <c r="D19">
        <v>18</v>
      </c>
      <c r="E19" t="s">
        <v>311</v>
      </c>
      <c r="F19" t="s">
        <v>392</v>
      </c>
      <c r="G19">
        <v>0</v>
      </c>
      <c r="H19" t="s">
        <v>393</v>
      </c>
      <c r="N19">
        <v>18</v>
      </c>
      <c r="O19" t="s">
        <v>311</v>
      </c>
      <c r="P19" t="s">
        <v>394</v>
      </c>
      <c r="Q19">
        <v>0</v>
      </c>
      <c r="R19" t="s">
        <v>395</v>
      </c>
      <c r="X19">
        <v>18</v>
      </c>
      <c r="Y19" t="s">
        <v>307</v>
      </c>
      <c r="Z19" t="s">
        <v>390</v>
      </c>
      <c r="AA19">
        <v>0</v>
      </c>
      <c r="AB19" s="15" t="s">
        <v>396</v>
      </c>
      <c r="AH19">
        <v>18</v>
      </c>
      <c r="AI19" t="s">
        <v>311</v>
      </c>
      <c r="AJ19" t="s">
        <v>389</v>
      </c>
      <c r="AK19">
        <v>1</v>
      </c>
    </row>
    <row r="20" spans="4:39" x14ac:dyDescent="0.25">
      <c r="D20">
        <v>19</v>
      </c>
      <c r="E20" t="s">
        <v>311</v>
      </c>
      <c r="F20" t="s">
        <v>397</v>
      </c>
      <c r="G20">
        <v>1</v>
      </c>
      <c r="N20">
        <v>19</v>
      </c>
      <c r="O20" t="s">
        <v>309</v>
      </c>
      <c r="P20" t="s">
        <v>398</v>
      </c>
      <c r="Q20">
        <v>0</v>
      </c>
      <c r="R20" s="15" t="s">
        <v>399</v>
      </c>
      <c r="X20">
        <v>19</v>
      </c>
      <c r="Y20" t="s">
        <v>309</v>
      </c>
      <c r="Z20" t="s">
        <v>400</v>
      </c>
      <c r="AA20">
        <v>1</v>
      </c>
      <c r="AH20">
        <v>19</v>
      </c>
      <c r="AI20" t="s">
        <v>307</v>
      </c>
      <c r="AJ20" t="s">
        <v>401</v>
      </c>
      <c r="AK20">
        <v>0</v>
      </c>
      <c r="AL20" t="s">
        <v>402</v>
      </c>
    </row>
    <row r="21" spans="4:39" x14ac:dyDescent="0.25">
      <c r="D21">
        <v>20</v>
      </c>
      <c r="E21" t="s">
        <v>311</v>
      </c>
      <c r="F21" t="s">
        <v>403</v>
      </c>
      <c r="G21">
        <v>1</v>
      </c>
      <c r="N21">
        <v>20</v>
      </c>
      <c r="O21" t="s">
        <v>311</v>
      </c>
      <c r="P21" t="s">
        <v>404</v>
      </c>
      <c r="Q21">
        <v>1</v>
      </c>
      <c r="X21">
        <v>20</v>
      </c>
      <c r="Y21" t="s">
        <v>307</v>
      </c>
      <c r="Z21" t="s">
        <v>382</v>
      </c>
      <c r="AA21">
        <v>0</v>
      </c>
      <c r="AB21" t="s">
        <v>383</v>
      </c>
      <c r="AH21">
        <v>20</v>
      </c>
      <c r="AI21" t="s">
        <v>307</v>
      </c>
      <c r="AJ21" t="s">
        <v>405</v>
      </c>
      <c r="AK21">
        <v>0</v>
      </c>
      <c r="AL21" t="s">
        <v>406</v>
      </c>
    </row>
    <row r="22" spans="4:39" x14ac:dyDescent="0.25">
      <c r="D22">
        <v>21</v>
      </c>
      <c r="E22" t="s">
        <v>309</v>
      </c>
      <c r="F22" t="s">
        <v>334</v>
      </c>
      <c r="G22">
        <v>1</v>
      </c>
      <c r="N22">
        <v>21</v>
      </c>
      <c r="O22" t="s">
        <v>309</v>
      </c>
      <c r="P22" t="s">
        <v>354</v>
      </c>
      <c r="Q22">
        <v>1</v>
      </c>
      <c r="X22">
        <v>21</v>
      </c>
      <c r="Y22" t="s">
        <v>309</v>
      </c>
      <c r="Z22" t="s">
        <v>377</v>
      </c>
      <c r="AA22">
        <v>1</v>
      </c>
      <c r="AH22">
        <v>21</v>
      </c>
      <c r="AI22" t="s">
        <v>307</v>
      </c>
      <c r="AJ22" t="s">
        <v>407</v>
      </c>
      <c r="AK22">
        <v>1</v>
      </c>
    </row>
    <row r="23" spans="4:39" x14ac:dyDescent="0.25">
      <c r="D23">
        <v>22</v>
      </c>
      <c r="E23" t="s">
        <v>307</v>
      </c>
      <c r="F23" t="s">
        <v>408</v>
      </c>
      <c r="G23">
        <v>0</v>
      </c>
      <c r="H23" t="s">
        <v>409</v>
      </c>
      <c r="N23">
        <v>22</v>
      </c>
      <c r="O23" t="s">
        <v>307</v>
      </c>
      <c r="P23" t="s">
        <v>308</v>
      </c>
      <c r="Q23">
        <v>0</v>
      </c>
      <c r="R23" t="s">
        <v>410</v>
      </c>
      <c r="X23">
        <v>22</v>
      </c>
      <c r="Y23" t="s">
        <v>307</v>
      </c>
      <c r="Z23" t="s">
        <v>411</v>
      </c>
      <c r="AA23">
        <v>0</v>
      </c>
      <c r="AB23" s="15" t="s">
        <v>412</v>
      </c>
      <c r="AH23">
        <v>22</v>
      </c>
      <c r="AI23" t="s">
        <v>311</v>
      </c>
      <c r="AJ23" t="s">
        <v>413</v>
      </c>
      <c r="AK23">
        <v>0</v>
      </c>
      <c r="AL23" t="s">
        <v>414</v>
      </c>
    </row>
    <row r="24" spans="4:39" x14ac:dyDescent="0.25">
      <c r="D24">
        <v>23</v>
      </c>
      <c r="E24" t="s">
        <v>309</v>
      </c>
      <c r="F24" t="s">
        <v>415</v>
      </c>
      <c r="G24">
        <v>1</v>
      </c>
      <c r="N24">
        <v>23</v>
      </c>
      <c r="O24" t="s">
        <v>311</v>
      </c>
      <c r="P24" t="s">
        <v>344</v>
      </c>
      <c r="Q24">
        <v>1</v>
      </c>
      <c r="X24">
        <v>23</v>
      </c>
      <c r="Y24" t="s">
        <v>307</v>
      </c>
      <c r="Z24" t="s">
        <v>416</v>
      </c>
      <c r="AA24">
        <v>0</v>
      </c>
      <c r="AB24" s="15" t="s">
        <v>417</v>
      </c>
      <c r="AH24">
        <v>23</v>
      </c>
      <c r="AI24" t="s">
        <v>311</v>
      </c>
      <c r="AJ24" t="s">
        <v>335</v>
      </c>
      <c r="AK24">
        <v>1</v>
      </c>
    </row>
    <row r="25" spans="4:39" x14ac:dyDescent="0.25">
      <c r="D25">
        <v>24</v>
      </c>
      <c r="E25" t="s">
        <v>309</v>
      </c>
      <c r="F25" t="s">
        <v>418</v>
      </c>
      <c r="G25">
        <v>1</v>
      </c>
      <c r="N25">
        <v>24</v>
      </c>
      <c r="O25" t="s">
        <v>309</v>
      </c>
      <c r="P25" t="s">
        <v>415</v>
      </c>
      <c r="Q25">
        <v>1</v>
      </c>
      <c r="X25">
        <v>24</v>
      </c>
      <c r="Y25" t="s">
        <v>309</v>
      </c>
      <c r="Z25" t="s">
        <v>419</v>
      </c>
      <c r="AA25">
        <v>0</v>
      </c>
      <c r="AB25" s="15" t="s">
        <v>420</v>
      </c>
      <c r="AH25">
        <v>24</v>
      </c>
      <c r="AI25" t="s">
        <v>309</v>
      </c>
      <c r="AJ25" t="s">
        <v>400</v>
      </c>
      <c r="AK25">
        <v>1</v>
      </c>
    </row>
    <row r="26" spans="4:39" x14ac:dyDescent="0.25">
      <c r="D26">
        <v>25</v>
      </c>
      <c r="E26" t="s">
        <v>309</v>
      </c>
      <c r="F26" t="s">
        <v>380</v>
      </c>
      <c r="G26">
        <v>1</v>
      </c>
      <c r="H26" t="s">
        <v>381</v>
      </c>
      <c r="N26">
        <v>25</v>
      </c>
      <c r="O26" t="s">
        <v>307</v>
      </c>
      <c r="P26" t="s">
        <v>421</v>
      </c>
      <c r="Q26">
        <v>0</v>
      </c>
      <c r="R26" s="15" t="s">
        <v>422</v>
      </c>
      <c r="X26">
        <v>25</v>
      </c>
      <c r="Y26" t="s">
        <v>311</v>
      </c>
      <c r="Z26" t="s">
        <v>423</v>
      </c>
      <c r="AA26">
        <v>1</v>
      </c>
      <c r="AH26">
        <v>25</v>
      </c>
      <c r="AI26" t="s">
        <v>307</v>
      </c>
      <c r="AJ26" t="s">
        <v>416</v>
      </c>
      <c r="AK26">
        <v>0</v>
      </c>
      <c r="AL26" s="15" t="s">
        <v>417</v>
      </c>
    </row>
    <row r="27" spans="4:39" x14ac:dyDescent="0.25">
      <c r="D27">
        <v>26</v>
      </c>
      <c r="E27" t="s">
        <v>307</v>
      </c>
      <c r="F27" t="s">
        <v>376</v>
      </c>
      <c r="G27">
        <v>0</v>
      </c>
      <c r="H27" t="s">
        <v>424</v>
      </c>
      <c r="I27" t="s">
        <v>425</v>
      </c>
      <c r="N27">
        <v>26</v>
      </c>
      <c r="O27" t="s">
        <v>311</v>
      </c>
      <c r="P27" t="s">
        <v>359</v>
      </c>
      <c r="Q27">
        <v>1</v>
      </c>
      <c r="X27">
        <v>26</v>
      </c>
      <c r="Y27" t="s">
        <v>307</v>
      </c>
      <c r="Z27" t="s">
        <v>401</v>
      </c>
      <c r="AA27">
        <v>0</v>
      </c>
      <c r="AB27" t="s">
        <v>402</v>
      </c>
      <c r="AH27">
        <v>26</v>
      </c>
      <c r="AI27" t="s">
        <v>309</v>
      </c>
      <c r="AJ27" t="s">
        <v>426</v>
      </c>
      <c r="AK27">
        <v>0</v>
      </c>
      <c r="AL27" t="s">
        <v>427</v>
      </c>
    </row>
    <row r="28" spans="4:39" x14ac:dyDescent="0.25">
      <c r="D28">
        <v>27</v>
      </c>
      <c r="E28" t="s">
        <v>307</v>
      </c>
      <c r="F28" t="s">
        <v>360</v>
      </c>
      <c r="G28">
        <v>0</v>
      </c>
      <c r="H28" s="15" t="s">
        <v>428</v>
      </c>
      <c r="N28">
        <v>27</v>
      </c>
      <c r="O28" t="s">
        <v>311</v>
      </c>
      <c r="P28" t="s">
        <v>320</v>
      </c>
      <c r="Q28">
        <v>1</v>
      </c>
      <c r="X28">
        <v>27</v>
      </c>
      <c r="Y28" t="s">
        <v>309</v>
      </c>
      <c r="Z28" t="s">
        <v>426</v>
      </c>
      <c r="AA28">
        <v>1</v>
      </c>
      <c r="AH28">
        <v>27</v>
      </c>
      <c r="AI28" t="s">
        <v>311</v>
      </c>
      <c r="AJ28" t="s">
        <v>429</v>
      </c>
      <c r="AK28">
        <v>0</v>
      </c>
      <c r="AL28" t="s">
        <v>430</v>
      </c>
      <c r="AM28" t="s">
        <v>425</v>
      </c>
    </row>
    <row r="29" spans="4:39" x14ac:dyDescent="0.25">
      <c r="D29">
        <v>28</v>
      </c>
      <c r="E29" t="s">
        <v>311</v>
      </c>
      <c r="F29" t="s">
        <v>404</v>
      </c>
      <c r="G29">
        <v>1</v>
      </c>
      <c r="N29">
        <v>28</v>
      </c>
      <c r="O29" t="s">
        <v>307</v>
      </c>
      <c r="P29" t="s">
        <v>374</v>
      </c>
      <c r="Q29">
        <v>0</v>
      </c>
      <c r="R29" t="s">
        <v>431</v>
      </c>
      <c r="X29">
        <v>28</v>
      </c>
      <c r="Y29" t="s">
        <v>311</v>
      </c>
      <c r="Z29" t="s">
        <v>336</v>
      </c>
      <c r="AA29">
        <v>1</v>
      </c>
      <c r="AH29">
        <v>28</v>
      </c>
      <c r="AI29" t="s">
        <v>307</v>
      </c>
      <c r="AJ29" t="s">
        <v>361</v>
      </c>
      <c r="AK29">
        <v>1</v>
      </c>
    </row>
    <row r="30" spans="4:39" x14ac:dyDescent="0.25">
      <c r="D30">
        <v>29</v>
      </c>
      <c r="E30" t="s">
        <v>309</v>
      </c>
      <c r="F30" t="s">
        <v>432</v>
      </c>
      <c r="G30">
        <v>1</v>
      </c>
      <c r="N30">
        <v>29</v>
      </c>
      <c r="O30" t="s">
        <v>307</v>
      </c>
      <c r="P30" t="s">
        <v>363</v>
      </c>
      <c r="Q30">
        <v>0</v>
      </c>
      <c r="R30" s="15" t="s">
        <v>364</v>
      </c>
      <c r="X30">
        <v>29</v>
      </c>
      <c r="Y30" t="s">
        <v>311</v>
      </c>
      <c r="Z30" t="s">
        <v>429</v>
      </c>
      <c r="AA30">
        <v>1</v>
      </c>
      <c r="AH30">
        <v>29</v>
      </c>
      <c r="AI30" t="s">
        <v>307</v>
      </c>
      <c r="AJ30" t="s">
        <v>433</v>
      </c>
      <c r="AK30">
        <v>0</v>
      </c>
      <c r="AL30" t="s">
        <v>434</v>
      </c>
    </row>
    <row r="31" spans="4:39" x14ac:dyDescent="0.25">
      <c r="D31">
        <v>30</v>
      </c>
      <c r="E31" t="s">
        <v>309</v>
      </c>
      <c r="F31" t="s">
        <v>435</v>
      </c>
      <c r="G31">
        <v>0</v>
      </c>
      <c r="H31" t="s">
        <v>436</v>
      </c>
      <c r="N31">
        <v>30</v>
      </c>
      <c r="O31" t="s">
        <v>311</v>
      </c>
      <c r="P31" t="s">
        <v>437</v>
      </c>
      <c r="Q31">
        <v>0</v>
      </c>
      <c r="R31" t="s">
        <v>438</v>
      </c>
      <c r="X31">
        <v>30</v>
      </c>
      <c r="Y31" t="s">
        <v>307</v>
      </c>
      <c r="Z31" t="s">
        <v>439</v>
      </c>
      <c r="AA31">
        <v>0</v>
      </c>
      <c r="AB31" t="s">
        <v>440</v>
      </c>
      <c r="AH31">
        <v>30</v>
      </c>
      <c r="AI31" t="s">
        <v>307</v>
      </c>
      <c r="AJ31" t="s">
        <v>439</v>
      </c>
      <c r="AK31">
        <v>1</v>
      </c>
    </row>
    <row r="32" spans="4:39" x14ac:dyDescent="0.25">
      <c r="D32">
        <v>31</v>
      </c>
      <c r="E32" t="s">
        <v>309</v>
      </c>
      <c r="F32" t="s">
        <v>398</v>
      </c>
      <c r="G32">
        <v>0</v>
      </c>
      <c r="H32" t="s">
        <v>441</v>
      </c>
      <c r="N32">
        <v>31</v>
      </c>
      <c r="O32" t="s">
        <v>309</v>
      </c>
      <c r="P32" t="s">
        <v>442</v>
      </c>
      <c r="Q32">
        <v>1</v>
      </c>
      <c r="X32">
        <v>31</v>
      </c>
      <c r="Y32" t="s">
        <v>311</v>
      </c>
      <c r="Z32" t="s">
        <v>358</v>
      </c>
      <c r="AA32">
        <v>1</v>
      </c>
      <c r="AH32">
        <v>31</v>
      </c>
      <c r="AI32" t="s">
        <v>307</v>
      </c>
      <c r="AJ32" t="s">
        <v>443</v>
      </c>
      <c r="AK32">
        <v>1</v>
      </c>
    </row>
    <row r="33" spans="4:38" x14ac:dyDescent="0.25">
      <c r="D33">
        <v>32</v>
      </c>
      <c r="E33" t="s">
        <v>309</v>
      </c>
      <c r="F33" t="s">
        <v>317</v>
      </c>
      <c r="G33">
        <v>1</v>
      </c>
      <c r="N33">
        <v>32</v>
      </c>
      <c r="O33" t="s">
        <v>311</v>
      </c>
      <c r="P33" t="s">
        <v>403</v>
      </c>
      <c r="Q33">
        <v>1</v>
      </c>
      <c r="X33">
        <v>32</v>
      </c>
      <c r="Y33" t="s">
        <v>311</v>
      </c>
      <c r="Z33" t="s">
        <v>444</v>
      </c>
      <c r="AA33">
        <v>0</v>
      </c>
      <c r="AB33" t="s">
        <v>445</v>
      </c>
      <c r="AH33">
        <v>32</v>
      </c>
      <c r="AI33" t="s">
        <v>307</v>
      </c>
      <c r="AJ33" t="s">
        <v>446</v>
      </c>
      <c r="AK33">
        <v>1</v>
      </c>
    </row>
    <row r="34" spans="4:38" x14ac:dyDescent="0.25">
      <c r="D34">
        <v>33</v>
      </c>
      <c r="E34" t="s">
        <v>307</v>
      </c>
      <c r="F34" t="s">
        <v>421</v>
      </c>
      <c r="G34">
        <v>0</v>
      </c>
      <c r="H34" s="15" t="s">
        <v>422</v>
      </c>
      <c r="N34">
        <v>33</v>
      </c>
      <c r="O34" t="s">
        <v>311</v>
      </c>
      <c r="P34" t="s">
        <v>397</v>
      </c>
      <c r="Q34">
        <v>1</v>
      </c>
      <c r="X34">
        <v>33</v>
      </c>
      <c r="Y34" t="s">
        <v>307</v>
      </c>
      <c r="Z34" t="s">
        <v>433</v>
      </c>
      <c r="AA34">
        <v>1</v>
      </c>
      <c r="AH34">
        <v>33</v>
      </c>
      <c r="AI34" t="s">
        <v>307</v>
      </c>
      <c r="AJ34" t="s">
        <v>356</v>
      </c>
      <c r="AK34">
        <v>0</v>
      </c>
      <c r="AL34" t="s">
        <v>445</v>
      </c>
    </row>
    <row r="35" spans="4:38" x14ac:dyDescent="0.25">
      <c r="D35">
        <v>34</v>
      </c>
      <c r="E35" t="s">
        <v>307</v>
      </c>
      <c r="F35" t="s">
        <v>365</v>
      </c>
      <c r="G35">
        <v>0</v>
      </c>
      <c r="H35" s="15" t="s">
        <v>447</v>
      </c>
      <c r="N35">
        <v>34</v>
      </c>
      <c r="O35" t="s">
        <v>311</v>
      </c>
      <c r="P35" t="s">
        <v>378</v>
      </c>
      <c r="Q35">
        <v>1</v>
      </c>
      <c r="X35">
        <v>34</v>
      </c>
      <c r="Y35" t="s">
        <v>307</v>
      </c>
      <c r="Z35" t="s">
        <v>446</v>
      </c>
      <c r="AA35">
        <v>1</v>
      </c>
      <c r="AH35">
        <v>34</v>
      </c>
      <c r="AI35" t="s">
        <v>307</v>
      </c>
      <c r="AJ35" t="s">
        <v>448</v>
      </c>
      <c r="AK35">
        <v>1</v>
      </c>
    </row>
    <row r="36" spans="4:38" x14ac:dyDescent="0.25">
      <c r="D36">
        <v>35</v>
      </c>
      <c r="E36" t="s">
        <v>307</v>
      </c>
      <c r="F36" t="s">
        <v>370</v>
      </c>
      <c r="G36">
        <v>1</v>
      </c>
      <c r="N36">
        <v>35</v>
      </c>
      <c r="O36" t="s">
        <v>311</v>
      </c>
      <c r="P36" t="s">
        <v>449</v>
      </c>
      <c r="Q36">
        <v>1</v>
      </c>
      <c r="X36">
        <v>35</v>
      </c>
      <c r="Y36" t="s">
        <v>307</v>
      </c>
      <c r="Z36" t="s">
        <v>443</v>
      </c>
      <c r="AA36">
        <v>0</v>
      </c>
      <c r="AB36" s="15" t="s">
        <v>450</v>
      </c>
      <c r="AH36">
        <v>35</v>
      </c>
      <c r="AI36" t="s">
        <v>309</v>
      </c>
      <c r="AJ36" t="s">
        <v>371</v>
      </c>
      <c r="AK36">
        <v>1</v>
      </c>
    </row>
    <row r="37" spans="4:38" x14ac:dyDescent="0.25">
      <c r="D37">
        <v>36</v>
      </c>
      <c r="E37" t="s">
        <v>311</v>
      </c>
      <c r="F37" t="s">
        <v>394</v>
      </c>
      <c r="G37">
        <v>1</v>
      </c>
      <c r="N37">
        <v>36</v>
      </c>
      <c r="O37" t="s">
        <v>307</v>
      </c>
      <c r="P37" t="s">
        <v>333</v>
      </c>
      <c r="Q37">
        <v>1</v>
      </c>
      <c r="X37">
        <v>36</v>
      </c>
      <c r="Y37" t="s">
        <v>309</v>
      </c>
      <c r="Z37" t="s">
        <v>451</v>
      </c>
      <c r="AA37">
        <v>1</v>
      </c>
      <c r="AH37">
        <v>36</v>
      </c>
      <c r="AI37" t="s">
        <v>309</v>
      </c>
      <c r="AJ37" t="s">
        <v>451</v>
      </c>
      <c r="AK37">
        <v>1</v>
      </c>
    </row>
    <row r="38" spans="4:38" x14ac:dyDescent="0.25">
      <c r="D38">
        <v>37</v>
      </c>
      <c r="E38" t="s">
        <v>311</v>
      </c>
      <c r="F38" t="s">
        <v>452</v>
      </c>
      <c r="G38">
        <v>1</v>
      </c>
      <c r="N38">
        <v>37</v>
      </c>
      <c r="O38" t="s">
        <v>309</v>
      </c>
      <c r="P38" t="s">
        <v>432</v>
      </c>
      <c r="Q38">
        <v>1</v>
      </c>
      <c r="X38">
        <v>37</v>
      </c>
      <c r="Y38" t="s">
        <v>311</v>
      </c>
      <c r="Z38" t="s">
        <v>453</v>
      </c>
      <c r="AA38">
        <v>0</v>
      </c>
      <c r="AB38" t="s">
        <v>454</v>
      </c>
      <c r="AH38">
        <v>37</v>
      </c>
      <c r="AI38" t="s">
        <v>309</v>
      </c>
      <c r="AJ38" t="s">
        <v>385</v>
      </c>
      <c r="AK38">
        <v>0</v>
      </c>
      <c r="AL38" t="s">
        <v>455</v>
      </c>
    </row>
    <row r="39" spans="4:38" x14ac:dyDescent="0.25">
      <c r="D39">
        <v>38</v>
      </c>
      <c r="E39" t="s">
        <v>309</v>
      </c>
      <c r="F39" t="s">
        <v>442</v>
      </c>
      <c r="G39">
        <v>1</v>
      </c>
      <c r="N39">
        <v>38</v>
      </c>
      <c r="O39" t="s">
        <v>311</v>
      </c>
      <c r="P39" t="s">
        <v>326</v>
      </c>
      <c r="Q39">
        <v>1</v>
      </c>
      <c r="X39">
        <v>38</v>
      </c>
      <c r="Y39" t="s">
        <v>309</v>
      </c>
      <c r="Z39" t="s">
        <v>313</v>
      </c>
      <c r="AA39">
        <v>0</v>
      </c>
      <c r="AB39" t="s">
        <v>456</v>
      </c>
      <c r="AH39">
        <v>38</v>
      </c>
      <c r="AI39" t="s">
        <v>311</v>
      </c>
      <c r="AJ39" t="s">
        <v>347</v>
      </c>
      <c r="AK39">
        <v>1</v>
      </c>
    </row>
    <row r="40" spans="4:38" x14ac:dyDescent="0.25">
      <c r="D40">
        <v>39</v>
      </c>
      <c r="E40" t="s">
        <v>311</v>
      </c>
      <c r="F40" t="s">
        <v>437</v>
      </c>
      <c r="G40">
        <v>0</v>
      </c>
      <c r="H40" t="s">
        <v>438</v>
      </c>
      <c r="N40">
        <v>39</v>
      </c>
      <c r="O40" t="s">
        <v>307</v>
      </c>
      <c r="P40" t="s">
        <v>387</v>
      </c>
      <c r="Q40">
        <v>0</v>
      </c>
      <c r="R40" t="s">
        <v>457</v>
      </c>
      <c r="X40">
        <v>39</v>
      </c>
      <c r="Y40" t="s">
        <v>307</v>
      </c>
      <c r="Z40" t="s">
        <v>407</v>
      </c>
      <c r="AA40">
        <v>1</v>
      </c>
      <c r="AH40">
        <v>39</v>
      </c>
      <c r="AI40" t="s">
        <v>311</v>
      </c>
      <c r="AJ40" t="s">
        <v>453</v>
      </c>
      <c r="AK40">
        <v>1</v>
      </c>
    </row>
    <row r="41" spans="4:38" x14ac:dyDescent="0.25">
      <c r="D41">
        <v>40</v>
      </c>
      <c r="E41" t="s">
        <v>311</v>
      </c>
      <c r="F41" t="s">
        <v>384</v>
      </c>
      <c r="G41">
        <v>1</v>
      </c>
      <c r="N41">
        <v>40</v>
      </c>
      <c r="O41" t="s">
        <v>309</v>
      </c>
      <c r="P41" t="s">
        <v>315</v>
      </c>
      <c r="Q41">
        <v>1</v>
      </c>
      <c r="X41">
        <v>40</v>
      </c>
      <c r="Y41" t="s">
        <v>311</v>
      </c>
      <c r="Z41" t="s">
        <v>362</v>
      </c>
      <c r="AA41">
        <v>1</v>
      </c>
      <c r="AH41">
        <v>40</v>
      </c>
      <c r="AI41" t="s">
        <v>309</v>
      </c>
      <c r="AJ41" t="s">
        <v>367</v>
      </c>
      <c r="AK41">
        <v>1</v>
      </c>
    </row>
    <row r="42" spans="4:38" x14ac:dyDescent="0.25">
      <c r="D42">
        <v>41</v>
      </c>
      <c r="E42" t="s">
        <v>309</v>
      </c>
      <c r="F42" t="s">
        <v>321</v>
      </c>
      <c r="G42">
        <v>0</v>
      </c>
      <c r="H42" t="s">
        <v>458</v>
      </c>
      <c r="N42">
        <v>41</v>
      </c>
      <c r="O42" t="s">
        <v>311</v>
      </c>
      <c r="P42" t="s">
        <v>452</v>
      </c>
      <c r="Q42">
        <v>1</v>
      </c>
      <c r="X42">
        <v>41</v>
      </c>
      <c r="Y42" t="s">
        <v>307</v>
      </c>
      <c r="Z42" t="s">
        <v>405</v>
      </c>
      <c r="AA42">
        <v>0</v>
      </c>
      <c r="AB42" t="s">
        <v>459</v>
      </c>
      <c r="AH42">
        <v>41</v>
      </c>
      <c r="AI42" t="s">
        <v>309</v>
      </c>
      <c r="AJ42" t="s">
        <v>318</v>
      </c>
      <c r="AK42">
        <v>1</v>
      </c>
    </row>
    <row r="43" spans="4:38" x14ac:dyDescent="0.25">
      <c r="D43">
        <v>42</v>
      </c>
      <c r="E43" t="s">
        <v>309</v>
      </c>
      <c r="F43" t="s">
        <v>328</v>
      </c>
      <c r="G43">
        <v>1</v>
      </c>
      <c r="N43">
        <v>42</v>
      </c>
      <c r="O43" t="s">
        <v>309</v>
      </c>
      <c r="P43" t="s">
        <v>435</v>
      </c>
      <c r="Q43">
        <v>0</v>
      </c>
      <c r="R43" t="s">
        <v>460</v>
      </c>
      <c r="X43">
        <v>42</v>
      </c>
      <c r="Y43" t="s">
        <v>307</v>
      </c>
      <c r="Z43" t="s">
        <v>448</v>
      </c>
      <c r="AA43">
        <v>1</v>
      </c>
      <c r="AH43">
        <v>42</v>
      </c>
      <c r="AI43" t="s">
        <v>311</v>
      </c>
      <c r="AJ43" t="s">
        <v>423</v>
      </c>
      <c r="AK43">
        <v>0</v>
      </c>
      <c r="AL43" t="s">
        <v>461</v>
      </c>
    </row>
    <row r="44" spans="4:38" x14ac:dyDescent="0.25">
      <c r="D44">
        <v>43</v>
      </c>
      <c r="E44" t="s">
        <v>311</v>
      </c>
      <c r="F44" t="s">
        <v>449</v>
      </c>
      <c r="G44">
        <v>1</v>
      </c>
      <c r="N44">
        <v>43</v>
      </c>
      <c r="O44" t="s">
        <v>309</v>
      </c>
      <c r="P44" t="s">
        <v>418</v>
      </c>
      <c r="Q44">
        <v>1</v>
      </c>
      <c r="X44">
        <v>43</v>
      </c>
      <c r="Y44" t="s">
        <v>311</v>
      </c>
      <c r="Z44" t="s">
        <v>373</v>
      </c>
      <c r="AA44">
        <v>1</v>
      </c>
      <c r="AH44">
        <v>43</v>
      </c>
      <c r="AI44" t="s">
        <v>307</v>
      </c>
      <c r="AJ44" t="s">
        <v>411</v>
      </c>
      <c r="AK44">
        <v>1</v>
      </c>
    </row>
    <row r="45" spans="4:38" x14ac:dyDescent="0.25">
      <c r="D45">
        <v>44</v>
      </c>
      <c r="E45" t="s">
        <v>309</v>
      </c>
      <c r="F45" t="s">
        <v>310</v>
      </c>
      <c r="G45">
        <v>1</v>
      </c>
      <c r="N45">
        <v>44</v>
      </c>
      <c r="O45" t="s">
        <v>307</v>
      </c>
      <c r="P45" t="s">
        <v>408</v>
      </c>
      <c r="Q45">
        <v>0</v>
      </c>
      <c r="R45" t="s">
        <v>409</v>
      </c>
      <c r="X45">
        <v>44</v>
      </c>
      <c r="Y45" t="s">
        <v>311</v>
      </c>
      <c r="Z45" t="s">
        <v>324</v>
      </c>
      <c r="AA45">
        <v>1</v>
      </c>
      <c r="AH45">
        <v>44</v>
      </c>
      <c r="AI45" t="s">
        <v>311</v>
      </c>
      <c r="AJ45" t="s">
        <v>444</v>
      </c>
      <c r="AK45">
        <v>0</v>
      </c>
      <c r="AL45" t="s">
        <v>462</v>
      </c>
    </row>
    <row r="46" spans="4:38" x14ac:dyDescent="0.25">
      <c r="D46">
        <v>45</v>
      </c>
      <c r="E46" t="s">
        <v>307</v>
      </c>
      <c r="F46" t="s">
        <v>345</v>
      </c>
      <c r="G46">
        <v>0</v>
      </c>
      <c r="H46" s="15" t="s">
        <v>346</v>
      </c>
      <c r="N46">
        <v>45</v>
      </c>
      <c r="O46" t="s">
        <v>311</v>
      </c>
      <c r="P46" t="s">
        <v>392</v>
      </c>
      <c r="Q46">
        <v>0</v>
      </c>
      <c r="R46" t="s">
        <v>393</v>
      </c>
      <c r="X46">
        <v>45</v>
      </c>
      <c r="Y46" t="s">
        <v>311</v>
      </c>
      <c r="Z46" t="s">
        <v>413</v>
      </c>
      <c r="AA46">
        <v>0</v>
      </c>
      <c r="AB46" t="s">
        <v>414</v>
      </c>
      <c r="AH46">
        <v>45</v>
      </c>
      <c r="AI46" t="s">
        <v>309</v>
      </c>
      <c r="AJ46" t="s">
        <v>419</v>
      </c>
      <c r="AK46">
        <v>1</v>
      </c>
    </row>
    <row r="48" spans="4:38" x14ac:dyDescent="0.25">
      <c r="G48" s="5">
        <f>SUM(G2:G47)</f>
        <v>27</v>
      </c>
      <c r="Q48" s="5">
        <f>SUM(Q2:Q47)</f>
        <v>29</v>
      </c>
      <c r="AA48" s="5">
        <f>SUM(AA2:AA47)</f>
        <v>27</v>
      </c>
      <c r="AK48" s="5">
        <f>SUM(AK2:AK47)</f>
        <v>28</v>
      </c>
    </row>
  </sheetData>
  <hyperlinks>
    <hyperlink ref="AB15" r:id="rId1" tooltip="API ɛ̃" display="https://fr.wikipedia.org/wiki/API_%C9%9B%CC%83"/>
    <hyperlink ref="AL9" r:id="rId2" tooltip="API ɛ̃" display="https://fr.wikipedia.org/wiki/API_%C9%9B%CC%8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topLeftCell="R1" workbookViewId="0">
      <selection activeCell="K4" sqref="K4"/>
    </sheetView>
  </sheetViews>
  <sheetFormatPr baseColWidth="10" defaultRowHeight="15" x14ac:dyDescent="0.25"/>
  <cols>
    <col min="1" max="1" width="20" customWidth="1"/>
    <col min="6" max="6" width="15.42578125" customWidth="1"/>
    <col min="11" max="11" width="17.5703125" customWidth="1"/>
    <col min="16" max="16" width="18.42578125" customWidth="1"/>
    <col min="21" max="21" width="22.28515625" customWidth="1"/>
    <col min="32" max="32" width="27.42578125" customWidth="1"/>
  </cols>
  <sheetData>
    <row r="1" spans="1:40" ht="15.75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1" t="s">
        <v>30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U1" s="1" t="s">
        <v>30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  <c r="AF1" s="1" t="s">
        <v>30</v>
      </c>
      <c r="AG1" s="2" t="s">
        <v>0</v>
      </c>
      <c r="AH1" s="2" t="s">
        <v>1</v>
      </c>
      <c r="AI1" s="2" t="s">
        <v>2</v>
      </c>
      <c r="AJ1" s="2" t="s">
        <v>558</v>
      </c>
      <c r="AK1" s="2" t="s">
        <v>4</v>
      </c>
      <c r="AL1" s="2" t="s">
        <v>5</v>
      </c>
      <c r="AM1" s="2" t="s">
        <v>6</v>
      </c>
      <c r="AN1" s="2" t="s">
        <v>7</v>
      </c>
    </row>
    <row r="2" spans="1:40" ht="15.75" x14ac:dyDescent="0.25">
      <c r="A2" s="3" t="s">
        <v>8</v>
      </c>
      <c r="B2">
        <v>1</v>
      </c>
      <c r="C2">
        <v>1</v>
      </c>
      <c r="D2">
        <v>1</v>
      </c>
      <c r="E2" t="s">
        <v>12</v>
      </c>
      <c r="F2" t="s">
        <v>24</v>
      </c>
      <c r="H2">
        <v>1</v>
      </c>
      <c r="I2">
        <v>29379</v>
      </c>
      <c r="K2" s="3" t="s">
        <v>117</v>
      </c>
      <c r="L2">
        <v>1</v>
      </c>
      <c r="M2">
        <v>2</v>
      </c>
      <c r="N2">
        <v>1</v>
      </c>
      <c r="O2" t="s">
        <v>12</v>
      </c>
      <c r="P2" t="s">
        <v>27</v>
      </c>
      <c r="R2">
        <v>1</v>
      </c>
      <c r="S2">
        <v>10318</v>
      </c>
      <c r="U2" s="3" t="s">
        <v>118</v>
      </c>
      <c r="V2">
        <v>2</v>
      </c>
      <c r="W2">
        <v>3</v>
      </c>
      <c r="X2">
        <v>1</v>
      </c>
      <c r="Y2" t="s">
        <v>9</v>
      </c>
      <c r="Z2" t="s">
        <v>38</v>
      </c>
      <c r="AB2">
        <v>0</v>
      </c>
      <c r="AC2">
        <v>22006</v>
      </c>
      <c r="AF2" s="3" t="s">
        <v>119</v>
      </c>
      <c r="AG2">
        <v>2</v>
      </c>
      <c r="AH2">
        <v>3</v>
      </c>
      <c r="AI2">
        <v>1</v>
      </c>
      <c r="AJ2" t="s">
        <v>9</v>
      </c>
      <c r="AK2" t="s">
        <v>45</v>
      </c>
      <c r="AM2">
        <v>1</v>
      </c>
    </row>
    <row r="3" spans="1:40" ht="15.75" x14ac:dyDescent="0.25">
      <c r="A3" s="1" t="s">
        <v>11</v>
      </c>
      <c r="D3">
        <v>2</v>
      </c>
      <c r="E3" t="s">
        <v>12</v>
      </c>
      <c r="F3" t="s">
        <v>27</v>
      </c>
      <c r="H3">
        <v>0</v>
      </c>
      <c r="I3">
        <v>22039</v>
      </c>
      <c r="K3" s="1" t="s">
        <v>11</v>
      </c>
      <c r="N3">
        <v>2</v>
      </c>
      <c r="O3" t="s">
        <v>16</v>
      </c>
      <c r="P3" t="s">
        <v>17</v>
      </c>
      <c r="R3">
        <v>1</v>
      </c>
      <c r="S3">
        <v>10546</v>
      </c>
      <c r="U3" s="1" t="s">
        <v>11</v>
      </c>
      <c r="X3">
        <v>2</v>
      </c>
      <c r="Y3" t="s">
        <v>14</v>
      </c>
      <c r="Z3" t="s">
        <v>39</v>
      </c>
      <c r="AB3">
        <v>1</v>
      </c>
      <c r="AC3">
        <v>22144</v>
      </c>
      <c r="AF3" s="1" t="s">
        <v>11</v>
      </c>
      <c r="AI3">
        <v>2</v>
      </c>
      <c r="AJ3" t="s">
        <v>14</v>
      </c>
      <c r="AK3" t="s">
        <v>39</v>
      </c>
      <c r="AM3">
        <v>1</v>
      </c>
    </row>
    <row r="4" spans="1:40" ht="15.75" x14ac:dyDescent="0.25">
      <c r="A4" s="1" t="s">
        <v>31</v>
      </c>
      <c r="D4">
        <v>3</v>
      </c>
      <c r="E4" t="s">
        <v>12</v>
      </c>
      <c r="F4" t="s">
        <v>25</v>
      </c>
      <c r="H4">
        <v>1</v>
      </c>
      <c r="I4">
        <v>19189</v>
      </c>
      <c r="K4" s="1" t="s">
        <v>34</v>
      </c>
      <c r="N4">
        <v>3</v>
      </c>
      <c r="O4" t="s">
        <v>12</v>
      </c>
      <c r="P4" t="s">
        <v>13</v>
      </c>
      <c r="R4">
        <v>1</v>
      </c>
      <c r="S4">
        <v>9602</v>
      </c>
      <c r="U4" s="1" t="s">
        <v>36</v>
      </c>
      <c r="X4">
        <v>3</v>
      </c>
      <c r="Y4" t="s">
        <v>14</v>
      </c>
      <c r="Z4" t="s">
        <v>40</v>
      </c>
      <c r="AB4">
        <v>0</v>
      </c>
      <c r="AC4">
        <v>15771</v>
      </c>
      <c r="AF4" s="1" t="s">
        <v>557</v>
      </c>
      <c r="AI4">
        <v>3</v>
      </c>
      <c r="AJ4" t="s">
        <v>9</v>
      </c>
      <c r="AK4" t="s">
        <v>43</v>
      </c>
      <c r="AM4">
        <v>0</v>
      </c>
    </row>
    <row r="5" spans="1:40" ht="15.75" x14ac:dyDescent="0.25">
      <c r="A5" s="1" t="s">
        <v>33</v>
      </c>
      <c r="D5">
        <v>4</v>
      </c>
      <c r="E5" t="s">
        <v>12</v>
      </c>
      <c r="F5" t="s">
        <v>13</v>
      </c>
      <c r="H5">
        <v>1</v>
      </c>
      <c r="I5">
        <v>19731</v>
      </c>
      <c r="K5" s="1" t="s">
        <v>35</v>
      </c>
      <c r="N5">
        <v>4</v>
      </c>
      <c r="O5" t="s">
        <v>12</v>
      </c>
      <c r="P5" t="s">
        <v>24</v>
      </c>
      <c r="R5">
        <v>0</v>
      </c>
      <c r="S5">
        <v>10470</v>
      </c>
      <c r="U5" s="1" t="s">
        <v>52</v>
      </c>
      <c r="X5">
        <v>4</v>
      </c>
      <c r="Y5" t="s">
        <v>12</v>
      </c>
      <c r="Z5" t="s">
        <v>41</v>
      </c>
      <c r="AB5">
        <v>0</v>
      </c>
      <c r="AC5">
        <v>10699</v>
      </c>
      <c r="AF5" s="1" t="s">
        <v>35</v>
      </c>
      <c r="AI5">
        <v>4</v>
      </c>
      <c r="AJ5" t="s">
        <v>20</v>
      </c>
      <c r="AK5" t="s">
        <v>48</v>
      </c>
      <c r="AM5">
        <v>1</v>
      </c>
    </row>
    <row r="6" spans="1:40" ht="15.75" x14ac:dyDescent="0.25">
      <c r="A6" s="1" t="s">
        <v>32</v>
      </c>
      <c r="D6">
        <v>5</v>
      </c>
      <c r="E6" t="s">
        <v>22</v>
      </c>
      <c r="F6" t="s">
        <v>29</v>
      </c>
      <c r="H6">
        <v>0</v>
      </c>
      <c r="I6">
        <v>0</v>
      </c>
      <c r="K6" s="1" t="s">
        <v>32</v>
      </c>
      <c r="N6">
        <v>5</v>
      </c>
      <c r="O6" t="s">
        <v>9</v>
      </c>
      <c r="P6" t="s">
        <v>18</v>
      </c>
      <c r="R6">
        <v>0</v>
      </c>
      <c r="S6">
        <v>18473</v>
      </c>
      <c r="U6" s="1" t="s">
        <v>32</v>
      </c>
      <c r="X6">
        <v>5</v>
      </c>
      <c r="Y6" t="s">
        <v>22</v>
      </c>
      <c r="Z6" t="s">
        <v>42</v>
      </c>
      <c r="AB6">
        <v>0</v>
      </c>
      <c r="AC6">
        <v>12403</v>
      </c>
      <c r="AF6" s="1" t="s">
        <v>32</v>
      </c>
      <c r="AI6">
        <v>5</v>
      </c>
      <c r="AJ6" t="s">
        <v>12</v>
      </c>
      <c r="AK6" t="s">
        <v>41</v>
      </c>
      <c r="AM6">
        <v>0</v>
      </c>
    </row>
    <row r="7" spans="1:40" x14ac:dyDescent="0.25">
      <c r="D7">
        <v>6</v>
      </c>
      <c r="E7" t="s">
        <v>9</v>
      </c>
      <c r="F7" t="s">
        <v>18</v>
      </c>
      <c r="H7">
        <v>1</v>
      </c>
      <c r="I7">
        <v>16954</v>
      </c>
      <c r="N7">
        <v>6</v>
      </c>
      <c r="O7" t="s">
        <v>22</v>
      </c>
      <c r="P7" t="s">
        <v>29</v>
      </c>
      <c r="R7">
        <v>0</v>
      </c>
      <c r="S7">
        <v>6800</v>
      </c>
      <c r="X7">
        <v>6</v>
      </c>
      <c r="Y7" t="s">
        <v>9</v>
      </c>
      <c r="Z7" t="s">
        <v>43</v>
      </c>
      <c r="AB7">
        <v>1</v>
      </c>
      <c r="AC7">
        <v>15570</v>
      </c>
      <c r="AI7">
        <v>6</v>
      </c>
      <c r="AJ7" t="s">
        <v>16</v>
      </c>
      <c r="AK7" t="s">
        <v>44</v>
      </c>
      <c r="AM7">
        <v>1</v>
      </c>
    </row>
    <row r="8" spans="1:40" x14ac:dyDescent="0.25">
      <c r="D8">
        <v>7</v>
      </c>
      <c r="E8" t="s">
        <v>9</v>
      </c>
      <c r="F8" t="s">
        <v>28</v>
      </c>
      <c r="H8">
        <v>1</v>
      </c>
      <c r="I8">
        <v>14470</v>
      </c>
      <c r="N8">
        <v>7</v>
      </c>
      <c r="O8" t="s">
        <v>12</v>
      </c>
      <c r="P8" t="s">
        <v>25</v>
      </c>
      <c r="R8">
        <v>1</v>
      </c>
      <c r="S8">
        <v>9831</v>
      </c>
      <c r="X8">
        <v>7</v>
      </c>
      <c r="Y8" t="s">
        <v>16</v>
      </c>
      <c r="Z8" t="s">
        <v>44</v>
      </c>
      <c r="AB8">
        <v>0</v>
      </c>
      <c r="AC8">
        <v>12351</v>
      </c>
      <c r="AI8">
        <v>7</v>
      </c>
      <c r="AJ8" t="s">
        <v>9</v>
      </c>
      <c r="AK8" t="s">
        <v>38</v>
      </c>
      <c r="AM8">
        <v>1</v>
      </c>
    </row>
    <row r="9" spans="1:40" x14ac:dyDescent="0.25">
      <c r="D9">
        <v>8</v>
      </c>
      <c r="E9" t="s">
        <v>9</v>
      </c>
      <c r="F9" t="s">
        <v>19</v>
      </c>
      <c r="H9">
        <v>1</v>
      </c>
      <c r="I9">
        <v>14125</v>
      </c>
      <c r="N9">
        <v>8</v>
      </c>
      <c r="O9" t="s">
        <v>14</v>
      </c>
      <c r="P9" t="s">
        <v>26</v>
      </c>
      <c r="R9">
        <v>0</v>
      </c>
      <c r="S9">
        <v>11897</v>
      </c>
      <c r="X9">
        <v>8</v>
      </c>
      <c r="Y9" t="s">
        <v>9</v>
      </c>
      <c r="Z9" t="s">
        <v>45</v>
      </c>
      <c r="AB9">
        <v>0</v>
      </c>
      <c r="AC9">
        <v>12029</v>
      </c>
      <c r="AI9">
        <v>8</v>
      </c>
      <c r="AJ9" t="s">
        <v>12</v>
      </c>
      <c r="AK9" t="s">
        <v>47</v>
      </c>
      <c r="AM9">
        <v>0</v>
      </c>
    </row>
    <row r="10" spans="1:40" x14ac:dyDescent="0.25">
      <c r="D10">
        <v>9</v>
      </c>
      <c r="E10" t="s">
        <v>20</v>
      </c>
      <c r="F10" t="s">
        <v>21</v>
      </c>
      <c r="H10">
        <v>0</v>
      </c>
      <c r="I10">
        <v>24383</v>
      </c>
      <c r="N10">
        <v>9</v>
      </c>
      <c r="O10" t="s">
        <v>14</v>
      </c>
      <c r="P10" t="s">
        <v>15</v>
      </c>
      <c r="R10">
        <v>0</v>
      </c>
      <c r="S10">
        <v>12827</v>
      </c>
      <c r="X10">
        <v>9</v>
      </c>
      <c r="Y10" t="s">
        <v>37</v>
      </c>
      <c r="Z10" t="s">
        <v>46</v>
      </c>
      <c r="AB10">
        <v>0</v>
      </c>
      <c r="AC10">
        <v>10653</v>
      </c>
      <c r="AI10">
        <v>9</v>
      </c>
      <c r="AJ10" t="s">
        <v>12</v>
      </c>
      <c r="AK10" t="s">
        <v>50</v>
      </c>
      <c r="AM10">
        <v>1</v>
      </c>
    </row>
    <row r="11" spans="1:40" x14ac:dyDescent="0.25">
      <c r="D11">
        <v>10</v>
      </c>
      <c r="E11" t="s">
        <v>16</v>
      </c>
      <c r="F11" t="s">
        <v>17</v>
      </c>
      <c r="H11">
        <v>0</v>
      </c>
      <c r="I11">
        <v>0</v>
      </c>
      <c r="N11">
        <v>10</v>
      </c>
      <c r="O11" t="s">
        <v>9</v>
      </c>
      <c r="P11" t="s">
        <v>19</v>
      </c>
      <c r="R11">
        <v>1</v>
      </c>
      <c r="S11">
        <v>11257</v>
      </c>
      <c r="X11">
        <v>10</v>
      </c>
      <c r="Y11" t="s">
        <v>12</v>
      </c>
      <c r="Z11" t="s">
        <v>47</v>
      </c>
      <c r="AB11">
        <v>0</v>
      </c>
      <c r="AC11">
        <v>5060</v>
      </c>
      <c r="AI11">
        <v>10</v>
      </c>
      <c r="AJ11" t="s">
        <v>22</v>
      </c>
      <c r="AK11" t="s">
        <v>42</v>
      </c>
      <c r="AM11">
        <v>0</v>
      </c>
    </row>
    <row r="12" spans="1:40" x14ac:dyDescent="0.25">
      <c r="D12">
        <v>11</v>
      </c>
      <c r="E12" t="s">
        <v>22</v>
      </c>
      <c r="F12" t="s">
        <v>23</v>
      </c>
      <c r="H12">
        <v>1</v>
      </c>
      <c r="I12">
        <v>9967</v>
      </c>
      <c r="N12">
        <v>11</v>
      </c>
      <c r="O12" t="s">
        <v>20</v>
      </c>
      <c r="P12" t="s">
        <v>21</v>
      </c>
      <c r="R12">
        <v>0</v>
      </c>
      <c r="S12">
        <v>11003</v>
      </c>
      <c r="X12">
        <v>11</v>
      </c>
      <c r="Y12" t="s">
        <v>20</v>
      </c>
      <c r="Z12" t="s">
        <v>48</v>
      </c>
      <c r="AB12">
        <v>1</v>
      </c>
      <c r="AC12">
        <v>14697</v>
      </c>
      <c r="AI12">
        <v>11</v>
      </c>
      <c r="AJ12" t="s">
        <v>37</v>
      </c>
      <c r="AK12" t="s">
        <v>46</v>
      </c>
      <c r="AM12">
        <v>0</v>
      </c>
    </row>
    <row r="13" spans="1:40" x14ac:dyDescent="0.25">
      <c r="D13">
        <v>12</v>
      </c>
      <c r="E13" t="s">
        <v>14</v>
      </c>
      <c r="F13" t="s">
        <v>26</v>
      </c>
      <c r="H13">
        <v>0</v>
      </c>
      <c r="I13">
        <v>21410</v>
      </c>
      <c r="N13">
        <v>12</v>
      </c>
      <c r="O13" t="s">
        <v>9</v>
      </c>
      <c r="P13" t="s">
        <v>28</v>
      </c>
      <c r="R13">
        <v>1</v>
      </c>
      <c r="S13">
        <v>8636</v>
      </c>
      <c r="X13">
        <v>12</v>
      </c>
      <c r="Y13" t="s">
        <v>9</v>
      </c>
      <c r="Z13" t="s">
        <v>49</v>
      </c>
      <c r="AB13">
        <v>1</v>
      </c>
      <c r="AC13">
        <v>12229</v>
      </c>
      <c r="AI13">
        <v>12</v>
      </c>
      <c r="AJ13" t="s">
        <v>9</v>
      </c>
      <c r="AK13" t="s">
        <v>49</v>
      </c>
      <c r="AM13">
        <v>1</v>
      </c>
    </row>
    <row r="14" spans="1:40" x14ac:dyDescent="0.25">
      <c r="D14">
        <v>13</v>
      </c>
      <c r="E14" t="s">
        <v>9</v>
      </c>
      <c r="F14" t="s">
        <v>10</v>
      </c>
      <c r="H14">
        <v>1</v>
      </c>
      <c r="I14">
        <v>19699</v>
      </c>
      <c r="N14">
        <v>13</v>
      </c>
      <c r="O14" t="s">
        <v>9</v>
      </c>
      <c r="P14" t="s">
        <v>10</v>
      </c>
      <c r="R14">
        <v>1</v>
      </c>
      <c r="S14">
        <v>7841</v>
      </c>
      <c r="X14">
        <v>13</v>
      </c>
      <c r="Y14" t="s">
        <v>12</v>
      </c>
      <c r="Z14" t="s">
        <v>50</v>
      </c>
      <c r="AB14">
        <v>1</v>
      </c>
      <c r="AC14">
        <v>11773</v>
      </c>
      <c r="AI14">
        <v>13</v>
      </c>
      <c r="AJ14" t="s">
        <v>14</v>
      </c>
      <c r="AK14" t="s">
        <v>40</v>
      </c>
      <c r="AM14">
        <v>0</v>
      </c>
    </row>
    <row r="15" spans="1:40" x14ac:dyDescent="0.25">
      <c r="D15">
        <v>14</v>
      </c>
      <c r="E15" t="s">
        <v>14</v>
      </c>
      <c r="F15" t="s">
        <v>15</v>
      </c>
      <c r="H15">
        <v>0</v>
      </c>
      <c r="I15">
        <v>12751</v>
      </c>
      <c r="N15">
        <v>14</v>
      </c>
      <c r="O15" t="s">
        <v>22</v>
      </c>
      <c r="P15" t="s">
        <v>23</v>
      </c>
      <c r="R15">
        <v>1</v>
      </c>
      <c r="S15">
        <v>7728</v>
      </c>
      <c r="X15">
        <v>14</v>
      </c>
      <c r="Y15" t="s">
        <v>14</v>
      </c>
      <c r="Z15" t="s">
        <v>51</v>
      </c>
      <c r="AB15">
        <v>1</v>
      </c>
      <c r="AC15">
        <v>12545</v>
      </c>
      <c r="AI15">
        <v>14</v>
      </c>
      <c r="AJ15" t="s">
        <v>14</v>
      </c>
      <c r="AK15" t="s">
        <v>51</v>
      </c>
      <c r="AM15">
        <v>1</v>
      </c>
    </row>
    <row r="16" spans="1:40" ht="15.75" x14ac:dyDescent="0.25">
      <c r="H16" s="6">
        <f>SUM(H2:H15)</f>
        <v>8</v>
      </c>
      <c r="R16" s="5">
        <f>SUM(R2:R15)</f>
        <v>8</v>
      </c>
      <c r="AB16" s="6">
        <f>SUM(AB2:AB15)</f>
        <v>6</v>
      </c>
      <c r="AM16">
        <f>SUM(AM2:AM15)</f>
        <v>8</v>
      </c>
    </row>
    <row r="20" spans="4:8" x14ac:dyDescent="0.25">
      <c r="D20" t="s">
        <v>181</v>
      </c>
      <c r="E20" t="s">
        <v>116</v>
      </c>
      <c r="F20" t="s">
        <v>117</v>
      </c>
      <c r="G20" t="s">
        <v>118</v>
      </c>
      <c r="H20" t="s">
        <v>119</v>
      </c>
    </row>
    <row r="21" spans="4:8" x14ac:dyDescent="0.25">
      <c r="D21" t="s">
        <v>182</v>
      </c>
      <c r="E21">
        <v>8</v>
      </c>
      <c r="F21">
        <v>8</v>
      </c>
      <c r="G21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Patient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2023-02-28T10:50:54Z</dcterms:modified>
</cp:coreProperties>
</file>