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atient" sheetId="11" r:id="rId1"/>
    <sheet name="AS verbale" sheetId="1" r:id="rId2"/>
    <sheet name="AS visuelle" sheetId="2" r:id="rId3"/>
    <sheet name="EXE verb." sheetId="3" r:id="rId4"/>
    <sheet name="EXE visu." sheetId="4" r:id="rId5"/>
    <sheet name="FLUENCE cat." sheetId="5" r:id="rId6"/>
    <sheet name="FLUENCE verb." sheetId="6" r:id="rId7"/>
    <sheet name="DC cat." sheetId="7" r:id="rId8"/>
    <sheet name="DENO" sheetId="8" r:id="rId9"/>
    <sheet name="LECTURE" sheetId="9" r:id="rId10"/>
    <sheet name="BIP" sheetId="10" r:id="rId11"/>
  </sheets>
  <calcPr calcId="152511"/>
</workbook>
</file>

<file path=xl/calcChain.xml><?xml version="1.0" encoding="utf-8"?>
<calcChain xmlns="http://schemas.openxmlformats.org/spreadsheetml/2006/main">
  <c r="BC29" i="2" l="1"/>
  <c r="BD31" i="1" l="1"/>
  <c r="BD29" i="1"/>
  <c r="BC29" i="1"/>
  <c r="U42" i="8" l="1"/>
  <c r="I43" i="8"/>
  <c r="AH42" i="8"/>
  <c r="AT42" i="8" l="1"/>
  <c r="AP16" i="10"/>
  <c r="AT46" i="7" l="1"/>
  <c r="AS44" i="7"/>
  <c r="AU44" i="7"/>
  <c r="AR31" i="2"/>
  <c r="AQ29" i="2"/>
  <c r="AS29" i="2"/>
  <c r="AR30" i="1"/>
  <c r="AQ29" i="1"/>
  <c r="AS29" i="1"/>
  <c r="AB31" i="4"/>
  <c r="AA29" i="4"/>
  <c r="AC29" i="4"/>
  <c r="AK30" i="4"/>
  <c r="AJ29" i="4"/>
  <c r="AL29" i="4"/>
  <c r="Q31" i="4"/>
  <c r="P29" i="4"/>
  <c r="R29" i="4"/>
  <c r="G31" i="4"/>
  <c r="F29" i="4"/>
  <c r="H29" i="4"/>
  <c r="AK31" i="3"/>
  <c r="AJ29" i="3"/>
  <c r="AL29" i="3"/>
  <c r="AB31" i="3"/>
  <c r="AB29" i="3"/>
  <c r="AA29" i="3"/>
  <c r="Q31" i="3"/>
  <c r="R29" i="3"/>
  <c r="P29" i="3"/>
  <c r="G31" i="3"/>
  <c r="H29" i="3"/>
  <c r="F29" i="3"/>
  <c r="AJ47" i="9" l="1"/>
  <c r="AA47" i="9"/>
  <c r="Q47" i="9"/>
  <c r="G47" i="9"/>
  <c r="AI44" i="7" l="1"/>
  <c r="AJ44" i="7"/>
  <c r="AG44" i="7"/>
  <c r="V44" i="7"/>
  <c r="T44" i="7"/>
  <c r="W44" i="7"/>
  <c r="I44" i="7"/>
  <c r="J44" i="7"/>
  <c r="G44" i="7"/>
  <c r="AE18" i="10"/>
  <c r="S17" i="10"/>
  <c r="H17" i="10"/>
  <c r="AF29" i="2"/>
  <c r="AG29" i="2"/>
  <c r="AE29" i="2"/>
  <c r="T30" i="2"/>
  <c r="U30" i="2"/>
  <c r="S30" i="2"/>
  <c r="H31" i="2"/>
  <c r="I30" i="2"/>
  <c r="G30" i="2"/>
  <c r="AF31" i="1"/>
  <c r="AG29" i="1"/>
  <c r="U30" i="1"/>
  <c r="T31" i="1" s="1"/>
  <c r="H30" i="1"/>
  <c r="I29" i="1"/>
  <c r="AE29" i="1"/>
  <c r="S30" i="1"/>
  <c r="G29" i="1"/>
</calcChain>
</file>

<file path=xl/sharedStrings.xml><?xml version="1.0" encoding="utf-8"?>
<sst xmlns="http://schemas.openxmlformats.org/spreadsheetml/2006/main" count="2656" uniqueCount="875">
  <si>
    <t>Version</t>
  </si>
  <si>
    <t>Session</t>
  </si>
  <si>
    <t>Trial</t>
  </si>
  <si>
    <t>ImageDisplay2.ACC</t>
  </si>
  <si>
    <t>ImageDisplay2.RT</t>
  </si>
  <si>
    <t>RT correct</t>
  </si>
  <si>
    <t>Prétraitement</t>
  </si>
  <si>
    <t>nonviv.mot13.bmp</t>
  </si>
  <si>
    <t>non vivant</t>
  </si>
  <si>
    <t>AS verbale</t>
  </si>
  <si>
    <t>viv.mot24.bmp</t>
  </si>
  <si>
    <t>vivant</t>
  </si>
  <si>
    <t>viv.mot25.bmp</t>
  </si>
  <si>
    <t>nonviv.mot12.bmp</t>
  </si>
  <si>
    <t>viv.mot17.bmp</t>
  </si>
  <si>
    <t>viv.mot7.bmp</t>
  </si>
  <si>
    <t>viv.mot18.bmp</t>
  </si>
  <si>
    <t>viv.mot14.bmp</t>
  </si>
  <si>
    <t>nonviv.mot8.bmp</t>
  </si>
  <si>
    <t>nonviv.mot17.bmp</t>
  </si>
  <si>
    <t>nonviv.mot18.bmp</t>
  </si>
  <si>
    <t>viv.mot9.bmp</t>
  </si>
  <si>
    <t>nonviv.mot15.bmp</t>
  </si>
  <si>
    <t>nonviv.mot19.bmp</t>
  </si>
  <si>
    <t>nonviv.mot16.bmp</t>
  </si>
  <si>
    <t>nonviv.mot7.bmp</t>
  </si>
  <si>
    <t>viv.mot26.bmp</t>
  </si>
  <si>
    <t>nonviv.mot9.bmp</t>
  </si>
  <si>
    <t>viv.mot8.bmp</t>
  </si>
  <si>
    <t>viv.mot6.bmp</t>
  </si>
  <si>
    <t>nonviv.mot10.bmp</t>
  </si>
  <si>
    <t>nonviv.mot11.bmp</t>
  </si>
  <si>
    <t>viv.mot15.bmp</t>
  </si>
  <si>
    <t>viv.mot5.bmp</t>
  </si>
  <si>
    <t>nonviv.mot14.bmp</t>
  </si>
  <si>
    <t>viv.mot11.bmp</t>
  </si>
  <si>
    <t>PAT001-0021-RP</t>
  </si>
  <si>
    <t>condtarget</t>
  </si>
  <si>
    <t>target</t>
  </si>
  <si>
    <t>viv.mot1.bmp</t>
  </si>
  <si>
    <t>nonviv.mot6.bmp</t>
  </si>
  <si>
    <t>viv.mot23.bmp</t>
  </si>
  <si>
    <t>nonviv.mot2.bmp</t>
  </si>
  <si>
    <t>viv.mot13.bmp</t>
  </si>
  <si>
    <t>viv.mot10.bmp</t>
  </si>
  <si>
    <t>nonviv.mot1.bmp</t>
  </si>
  <si>
    <t>nonviv.mot23.bmp</t>
  </si>
  <si>
    <t>viv.mot22.bmp</t>
  </si>
  <si>
    <t>viv.mot4.bmp</t>
  </si>
  <si>
    <t>nonviv.mot24.bmp</t>
  </si>
  <si>
    <t>viv.mot2.bmp</t>
  </si>
  <si>
    <t>viv.mot3.bmp</t>
  </si>
  <si>
    <t>nonviv.mot20.bmp</t>
  </si>
  <si>
    <t>nonviv.mot4.bmp</t>
  </si>
  <si>
    <t>viv.mot21.bmp</t>
  </si>
  <si>
    <t>viv.mot12.bmp</t>
  </si>
  <si>
    <t>viv.mot16.bmp</t>
  </si>
  <si>
    <t>nonviv.mot25.bmp</t>
  </si>
  <si>
    <t>nonviv.mot21.bmp</t>
  </si>
  <si>
    <t>viv.mot20.bmp</t>
  </si>
  <si>
    <t>nonviv.mot22.bmp</t>
  </si>
  <si>
    <t>nonviv.mot5.bmp</t>
  </si>
  <si>
    <t>viv.mot19.bmp</t>
  </si>
  <si>
    <t>nonviv.mot26.bmp</t>
  </si>
  <si>
    <t>nonviv.mot3.bmp</t>
  </si>
  <si>
    <t>14.03.2019</t>
  </si>
  <si>
    <t xml:space="preserve">prétraitement </t>
  </si>
  <si>
    <t>viv23.bmp</t>
  </si>
  <si>
    <t>nonviv23.bmp</t>
  </si>
  <si>
    <t>viv2.bmp</t>
  </si>
  <si>
    <t>viv20.bmp</t>
  </si>
  <si>
    <t>nonviv20.bmp</t>
  </si>
  <si>
    <t>nonviv5.bmp</t>
  </si>
  <si>
    <t>viv22.bmp</t>
  </si>
  <si>
    <t>nonviv25.bmp</t>
  </si>
  <si>
    <t>viv3.bmp</t>
  </si>
  <si>
    <t>nonviv4.bmp</t>
  </si>
  <si>
    <t>nonviv22.bmp</t>
  </si>
  <si>
    <t>viv21.bmp</t>
  </si>
  <si>
    <t>viv13.bmp</t>
  </si>
  <si>
    <t>viv12.bmp</t>
  </si>
  <si>
    <t>viv4.bmp</t>
  </si>
  <si>
    <t>nonviv6.bmp</t>
  </si>
  <si>
    <t>nonviv21.bmp</t>
  </si>
  <si>
    <t>viv16.bmp</t>
  </si>
  <si>
    <t>nonviv24.bmp</t>
  </si>
  <si>
    <t>viv1.bmp</t>
  </si>
  <si>
    <t>nonviv3.bmp</t>
  </si>
  <si>
    <t>viv10.bmp</t>
  </si>
  <si>
    <t>nonviv1.bmp</t>
  </si>
  <si>
    <t>viv19.bmp</t>
  </si>
  <si>
    <t>nonviv2.bmp</t>
  </si>
  <si>
    <t>nonviv26.bmp</t>
  </si>
  <si>
    <t>RT Corr</t>
  </si>
  <si>
    <t>Post 1</t>
  </si>
  <si>
    <t>01.04.2019</t>
  </si>
  <si>
    <t>nonviv10.bmp</t>
  </si>
  <si>
    <t>viv17.bmp</t>
  </si>
  <si>
    <t>viv7.bmp</t>
  </si>
  <si>
    <t>viv15.bmp</t>
  </si>
  <si>
    <t>nonviv17.bmp</t>
  </si>
  <si>
    <t>nonviv7.bmp</t>
  </si>
  <si>
    <t>nonviv12.bmp</t>
  </si>
  <si>
    <t>nonviv16.bmp</t>
  </si>
  <si>
    <t>nonviv14.bmp</t>
  </si>
  <si>
    <t>viv18.bmp</t>
  </si>
  <si>
    <t>viv6.bmp</t>
  </si>
  <si>
    <t>viv11.bmp</t>
  </si>
  <si>
    <t>viv8.bmp</t>
  </si>
  <si>
    <t>nonviv9.bmp</t>
  </si>
  <si>
    <t>viv24.bmp</t>
  </si>
  <si>
    <t>viv9.bmp</t>
  </si>
  <si>
    <t>viv26.bmp</t>
  </si>
  <si>
    <t>viv25.bmp</t>
  </si>
  <si>
    <t>nonviv11.bmp</t>
  </si>
  <si>
    <t>viv5.bmp</t>
  </si>
  <si>
    <t>nonviv8.bmp</t>
  </si>
  <si>
    <t>nonviv13.bmp</t>
  </si>
  <si>
    <t>nonviv15.bmp</t>
  </si>
  <si>
    <t>nonviv18.bmp</t>
  </si>
  <si>
    <t>viv14.bmp</t>
  </si>
  <si>
    <t>nonviv19.bmp</t>
  </si>
  <si>
    <t>post 2</t>
  </si>
  <si>
    <t>11.04.2019</t>
  </si>
  <si>
    <t>Nom</t>
  </si>
  <si>
    <t>Personnalités reconnues</t>
  </si>
  <si>
    <t>BIP.ACC</t>
  </si>
  <si>
    <t>BIP.RT</t>
  </si>
  <si>
    <t>Category</t>
  </si>
  <si>
    <t>Chanteur</t>
  </si>
  <si>
    <t>Présentateur TV</t>
  </si>
  <si>
    <t>Presentateur TV</t>
  </si>
  <si>
    <t>Acteur</t>
  </si>
  <si>
    <t>Politique</t>
  </si>
  <si>
    <t>Présentatrice TV</t>
  </si>
  <si>
    <t>Actrice</t>
  </si>
  <si>
    <t>Name</t>
  </si>
  <si>
    <t>Serge Gainsbourg</t>
  </si>
  <si>
    <t>Michel Drucker</t>
  </si>
  <si>
    <t>PPDA</t>
  </si>
  <si>
    <t>Georges Brassens</t>
  </si>
  <si>
    <t>Daniel Auteuil</t>
  </si>
  <si>
    <t>Sean Connery</t>
  </si>
  <si>
    <t>Arlette Laguiller</t>
  </si>
  <si>
    <t>Johnny Halliday</t>
  </si>
  <si>
    <t>Danièle Gilbert</t>
  </si>
  <si>
    <t>Brigitte Bardot</t>
  </si>
  <si>
    <t>Thierry Lhermitte</t>
  </si>
  <si>
    <t xml:space="preserve">Catherine Deneuve </t>
  </si>
  <si>
    <t>Fernandel</t>
  </si>
  <si>
    <t>Jeanne Moreau</t>
  </si>
  <si>
    <t>Trials</t>
  </si>
  <si>
    <t>Jean Pierre Foulcault</t>
  </si>
  <si>
    <t>Renaud</t>
  </si>
  <si>
    <t>Jacques Chirac</t>
  </si>
  <si>
    <t>Edouard Balladur</t>
  </si>
  <si>
    <t>Sylvie Vartan</t>
  </si>
  <si>
    <t>Juliette Greco</t>
  </si>
  <si>
    <t>Pierre Richard</t>
  </si>
  <si>
    <t>Yves Montand</t>
  </si>
  <si>
    <t>Charles Aznavour</t>
  </si>
  <si>
    <t>Bourvil</t>
  </si>
  <si>
    <t>Miou Miou</t>
  </si>
  <si>
    <t>Romy Schneider</t>
  </si>
  <si>
    <t>Pascal Sevran</t>
  </si>
  <si>
    <t>Gérard Depardieu</t>
  </si>
  <si>
    <t>status</t>
  </si>
  <si>
    <t>stimulus</t>
  </si>
  <si>
    <t>TextDisplay2.ACC</t>
  </si>
  <si>
    <t>TextDisplay2.RT</t>
  </si>
  <si>
    <t>RT corr</t>
  </si>
  <si>
    <t>living</t>
  </si>
  <si>
    <t>manmade</t>
  </si>
  <si>
    <t>rhinocéros</t>
  </si>
  <si>
    <t>sifflet</t>
  </si>
  <si>
    <t>télescope</t>
  </si>
  <si>
    <t>stéthoscope</t>
  </si>
  <si>
    <t>méduse</t>
  </si>
  <si>
    <t>seringue</t>
  </si>
  <si>
    <t>lime</t>
  </si>
  <si>
    <t>koala</t>
  </si>
  <si>
    <t>fouet</t>
  </si>
  <si>
    <t>sauterelle</t>
  </si>
  <si>
    <t>toupie</t>
  </si>
  <si>
    <t>microscope</t>
  </si>
  <si>
    <t>kangourou</t>
  </si>
  <si>
    <t>pichet</t>
  </si>
  <si>
    <t>mouche</t>
  </si>
  <si>
    <t xml:space="preserve">moustique </t>
  </si>
  <si>
    <t>tortue</t>
  </si>
  <si>
    <t>autruche</t>
  </si>
  <si>
    <t>saxophone</t>
  </si>
  <si>
    <t>puits</t>
  </si>
  <si>
    <t>spatule</t>
  </si>
  <si>
    <t>tambourin</t>
  </si>
  <si>
    <t>coq</t>
  </si>
  <si>
    <t>chaîne</t>
  </si>
  <si>
    <t xml:space="preserve">limace </t>
  </si>
  <si>
    <t>hyène</t>
  </si>
  <si>
    <t xml:space="preserve">pigeon </t>
  </si>
  <si>
    <t>léopard</t>
  </si>
  <si>
    <t>toucan</t>
  </si>
  <si>
    <t>église</t>
  </si>
  <si>
    <t xml:space="preserve">taupe </t>
  </si>
  <si>
    <t xml:space="preserve">oie </t>
  </si>
  <si>
    <t>panda</t>
  </si>
  <si>
    <t>igloo</t>
  </si>
  <si>
    <t>poêle</t>
  </si>
  <si>
    <t>hélice</t>
  </si>
  <si>
    <t>cor</t>
  </si>
  <si>
    <t>chèvre</t>
  </si>
  <si>
    <t>tondeuse</t>
  </si>
  <si>
    <t xml:space="preserve">poussin </t>
  </si>
  <si>
    <t>prétraitement</t>
  </si>
  <si>
    <t>post 1</t>
  </si>
  <si>
    <t>entonnoir</t>
  </si>
  <si>
    <t>flèche</t>
  </si>
  <si>
    <t xml:space="preserve">hérisson </t>
  </si>
  <si>
    <t>paon</t>
  </si>
  <si>
    <t>accordéon</t>
  </si>
  <si>
    <t>poisson</t>
  </si>
  <si>
    <t>barbecue</t>
  </si>
  <si>
    <t>baleine</t>
  </si>
  <si>
    <t>compas</t>
  </si>
  <si>
    <t xml:space="preserve">crevette </t>
  </si>
  <si>
    <t>élan</t>
  </si>
  <si>
    <t xml:space="preserve">huître </t>
  </si>
  <si>
    <t>hippopotame</t>
  </si>
  <si>
    <t>grenouille</t>
  </si>
  <si>
    <t>cymbales</t>
  </si>
  <si>
    <t>éventail</t>
  </si>
  <si>
    <t>agneau</t>
  </si>
  <si>
    <t>hamac</t>
  </si>
  <si>
    <t>fourmilier</t>
  </si>
  <si>
    <t>ballon</t>
  </si>
  <si>
    <t>boussole</t>
  </si>
  <si>
    <t>balançoire</t>
  </si>
  <si>
    <t>buffle</t>
  </si>
  <si>
    <t>bocal</t>
  </si>
  <si>
    <t>éléphant</t>
  </si>
  <si>
    <t>dauphin</t>
  </si>
  <si>
    <t>enclume</t>
  </si>
  <si>
    <t>hippocampe</t>
  </si>
  <si>
    <t>bouilloire</t>
  </si>
  <si>
    <t>cerf</t>
  </si>
  <si>
    <t>parachute</t>
  </si>
  <si>
    <t>luge</t>
  </si>
  <si>
    <t>landau</t>
  </si>
  <si>
    <t>bassine</t>
  </si>
  <si>
    <t>fourchette</t>
  </si>
  <si>
    <t xml:space="preserve">lionceau </t>
  </si>
  <si>
    <t xml:space="preserve">colombe </t>
  </si>
  <si>
    <t>cygne</t>
  </si>
  <si>
    <t>blatte</t>
  </si>
  <si>
    <t>cloche</t>
  </si>
  <si>
    <t>Items</t>
  </si>
  <si>
    <t>Nombre</t>
  </si>
  <si>
    <t>Post-STIM 1</t>
  </si>
  <si>
    <t>Post STIM 2</t>
  </si>
  <si>
    <t>FLUENCE catégorielle</t>
  </si>
  <si>
    <t>Score 0</t>
  </si>
  <si>
    <t>salade</t>
  </si>
  <si>
    <t>pommes</t>
  </si>
  <si>
    <t>œufs</t>
  </si>
  <si>
    <t>riz</t>
  </si>
  <si>
    <t>bananes</t>
  </si>
  <si>
    <t>ceux qui sont verts</t>
  </si>
  <si>
    <t>des trucs blancs</t>
  </si>
  <si>
    <t>pas de bananes</t>
  </si>
  <si>
    <t>la fleur</t>
  </si>
  <si>
    <t>roses</t>
  </si>
  <si>
    <t>il y en a d'autres à la maison</t>
  </si>
  <si>
    <t>canard</t>
  </si>
  <si>
    <t>FLUENCE littérale</t>
  </si>
  <si>
    <t xml:space="preserve">Score </t>
  </si>
  <si>
    <t>café</t>
  </si>
  <si>
    <t>cabane</t>
  </si>
  <si>
    <t>1.04.2019</t>
  </si>
  <si>
    <t>chat</t>
  </si>
  <si>
    <t>camion</t>
  </si>
  <si>
    <t>chute</t>
  </si>
  <si>
    <t>cabanais</t>
  </si>
  <si>
    <t>chambre</t>
  </si>
  <si>
    <t>11.04</t>
  </si>
  <si>
    <t>pied</t>
  </si>
  <si>
    <t>pont</t>
  </si>
  <si>
    <t>pavé</t>
  </si>
  <si>
    <t>pierre</t>
  </si>
  <si>
    <t>pomme</t>
  </si>
  <si>
    <t>pièce</t>
  </si>
  <si>
    <t>pommade</t>
  </si>
  <si>
    <t>dénomination</t>
  </si>
  <si>
    <t>Réponse</t>
  </si>
  <si>
    <t xml:space="preserve"> R après coup</t>
  </si>
  <si>
    <t>SCORE : bonne réponse</t>
  </si>
  <si>
    <t>Post-1</t>
  </si>
  <si>
    <t>Post 2</t>
  </si>
  <si>
    <t>cat</t>
  </si>
  <si>
    <t>non living</t>
  </si>
  <si>
    <t>repos</t>
  </si>
  <si>
    <t>SNAKE.bmp</t>
  </si>
  <si>
    <t>TURTLE.bmp</t>
  </si>
  <si>
    <t>LOCK.bmp</t>
  </si>
  <si>
    <t>PANDA.bmp</t>
  </si>
  <si>
    <t>ARROW.bmp</t>
  </si>
  <si>
    <t>PINEAPPL.bmp</t>
  </si>
  <si>
    <t>IGLOO.bmp</t>
  </si>
  <si>
    <t>LIGHTBUL.bmp</t>
  </si>
  <si>
    <t>WINDMILL.bmp</t>
  </si>
  <si>
    <t>SPIDER.bmp</t>
  </si>
  <si>
    <t>BUTTERFL.bmp</t>
  </si>
  <si>
    <t>CAT.bmp</t>
  </si>
  <si>
    <t>MICROSCO.bmp</t>
  </si>
  <si>
    <t>BOOK.bmp</t>
  </si>
  <si>
    <t>PIANO.bmp</t>
  </si>
  <si>
    <t>GRAPES.bmp</t>
  </si>
  <si>
    <t>SAW.bmp</t>
  </si>
  <si>
    <t>FLOWER.bmp</t>
  </si>
  <si>
    <t>GUITAR.bmp</t>
  </si>
  <si>
    <t>ELEPHANT.bmp</t>
  </si>
  <si>
    <t>SNAIL.bmp</t>
  </si>
  <si>
    <t>SQUIRREL.bmp</t>
  </si>
  <si>
    <t>DOLPHIN.bmp</t>
  </si>
  <si>
    <t>GARBAGEC.bmp</t>
  </si>
  <si>
    <t>KOALA.bmp</t>
  </si>
  <si>
    <t>LION.bmp</t>
  </si>
  <si>
    <t>THERMOME.bmp</t>
  </si>
  <si>
    <t>ZEBRA.bmp</t>
  </si>
  <si>
    <t>ARTICHOK.bmp</t>
  </si>
  <si>
    <t>GLASSES.bmp</t>
  </si>
  <si>
    <t>TELEPHON.bmp</t>
  </si>
  <si>
    <t>HAMMER.bmp</t>
  </si>
  <si>
    <t>FORK.bmp</t>
  </si>
  <si>
    <t>CACTUS.bmp</t>
  </si>
  <si>
    <t>HELICOPT.bmp</t>
  </si>
  <si>
    <t>SCALE.bmp</t>
  </si>
  <si>
    <t>FISH.bmp</t>
  </si>
  <si>
    <t>SYRINGE.bmp</t>
  </si>
  <si>
    <t>PENGUIN.bmp</t>
  </si>
  <si>
    <t>BELL.bmp</t>
  </si>
  <si>
    <t>MUSHROOM.bmp</t>
  </si>
  <si>
    <t>HIPPOPOT.bmp</t>
  </si>
  <si>
    <t>CRAB.bmp</t>
  </si>
  <si>
    <t>BRUSH.bmp</t>
  </si>
  <si>
    <t>GIRAFFE.bmp</t>
  </si>
  <si>
    <t>OSTRICH.bmp</t>
  </si>
  <si>
    <t>MOTORCYC.bmp</t>
  </si>
  <si>
    <t>APPLE.bmp</t>
  </si>
  <si>
    <t>PIPE.bmp</t>
  </si>
  <si>
    <t>WHISTLE.bmp</t>
  </si>
  <si>
    <t>CARROT.bmp</t>
  </si>
  <si>
    <t>HARP.bmp</t>
  </si>
  <si>
    <t>RHINOCER.bmp</t>
  </si>
  <si>
    <t>SWAN.bmp</t>
  </si>
  <si>
    <t>TABLE.bmp</t>
  </si>
  <si>
    <t>HANGER.bmp</t>
  </si>
  <si>
    <t>PANTS.bmp</t>
  </si>
  <si>
    <t>BEAR.bmp</t>
  </si>
  <si>
    <t>ANCHOR.bmp</t>
  </si>
  <si>
    <t>BINOCULA.bmp</t>
  </si>
  <si>
    <t>RABBIT.bmp</t>
  </si>
  <si>
    <t>HORSE.bmp</t>
  </si>
  <si>
    <t>KANGAROO.bmp</t>
  </si>
  <si>
    <t>TIGER.bmp</t>
  </si>
  <si>
    <t>GLASS.bmp</t>
  </si>
  <si>
    <t>AXE.bmp</t>
  </si>
  <si>
    <t>CANDLE.bmp</t>
  </si>
  <si>
    <t>CIGAR.bmp</t>
  </si>
  <si>
    <t>WHALE.bmp</t>
  </si>
  <si>
    <t>DEER.bmp</t>
  </si>
  <si>
    <t>PYRAMID.bmp</t>
  </si>
  <si>
    <t>BROOM.bmp</t>
  </si>
  <si>
    <t>CROWN.bmp</t>
  </si>
  <si>
    <t>PEAR.bmp</t>
  </si>
  <si>
    <t>FAUCET.bmp</t>
  </si>
  <si>
    <t>PEANUT.bmp</t>
  </si>
  <si>
    <t>VIOLIN.bmp</t>
  </si>
  <si>
    <t>SHARK.bmp</t>
  </si>
  <si>
    <t>SWING.bmp</t>
  </si>
  <si>
    <t>SCORPION.bmp</t>
  </si>
  <si>
    <t xml:space="preserve">score 10 </t>
  </si>
  <si>
    <t>score 6</t>
  </si>
  <si>
    <t>score :8</t>
  </si>
  <si>
    <t xml:space="preserve">Déno </t>
  </si>
  <si>
    <t>INC</t>
  </si>
  <si>
    <t>BIP</t>
  </si>
  <si>
    <t>Post-2</t>
  </si>
  <si>
    <t>lecture</t>
  </si>
  <si>
    <t>regulier</t>
  </si>
  <si>
    <t>laitue</t>
  </si>
  <si>
    <t>irregulier</t>
  </si>
  <si>
    <t>lichen</t>
  </si>
  <si>
    <t>non mot</t>
  </si>
  <si>
    <t>sagon</t>
  </si>
  <si>
    <t>vapou</t>
  </si>
  <si>
    <t>oisillon</t>
  </si>
  <si>
    <t>covric</t>
  </si>
  <si>
    <t>orchidée</t>
  </si>
  <si>
    <t>pougo</t>
  </si>
  <si>
    <t>volupté</t>
  </si>
  <si>
    <t>faisan</t>
  </si>
  <si>
    <t>mythe</t>
  </si>
  <si>
    <t>paltice</t>
  </si>
  <si>
    <t>reliquat</t>
  </si>
  <si>
    <t>sculpture</t>
  </si>
  <si>
    <t>dolcon</t>
  </si>
  <si>
    <t>koumilié</t>
  </si>
  <si>
    <t>porche</t>
  </si>
  <si>
    <t>réflexion</t>
  </si>
  <si>
    <t>marecte</t>
  </si>
  <si>
    <t>ciel</t>
  </si>
  <si>
    <t>aric</t>
  </si>
  <si>
    <t>équation</t>
  </si>
  <si>
    <t>clef</t>
  </si>
  <si>
    <t>pintatine</t>
  </si>
  <si>
    <t>bec</t>
  </si>
  <si>
    <t>sédiment</t>
  </si>
  <si>
    <t>vakou</t>
  </si>
  <si>
    <t>locrume</t>
  </si>
  <si>
    <t>colume</t>
  </si>
  <si>
    <t>flanc</t>
  </si>
  <si>
    <t>légume</t>
  </si>
  <si>
    <t>amachile</t>
  </si>
  <si>
    <t>pouliche</t>
  </si>
  <si>
    <t>estomac</t>
  </si>
  <si>
    <t>tonguelle</t>
  </si>
  <si>
    <t>oignon</t>
  </si>
  <si>
    <t>square</t>
  </si>
  <si>
    <t>chlore</t>
  </si>
  <si>
    <t>géranium</t>
  </si>
  <si>
    <t>instinct</t>
  </si>
  <si>
    <t>service</t>
  </si>
  <si>
    <t>manioc</t>
  </si>
  <si>
    <t>galop</t>
  </si>
  <si>
    <t>tabac</t>
  </si>
  <si>
    <t>Status</t>
  </si>
  <si>
    <t>Stimulus</t>
  </si>
  <si>
    <t xml:space="preserve">Réponse </t>
  </si>
  <si>
    <t>API</t>
  </si>
  <si>
    <r>
      <t>li</t>
    </r>
    <r>
      <rPr>
        <sz val="11"/>
        <color theme="1"/>
        <rFont val="Calibri"/>
        <family val="2"/>
      </rPr>
      <t>ʃεn</t>
    </r>
  </si>
  <si>
    <t xml:space="preserve">ᴐziljɔ̃ </t>
  </si>
  <si>
    <r>
      <rPr>
        <sz val="11"/>
        <color theme="1"/>
        <rFont val="Calibri"/>
        <family val="2"/>
      </rPr>
      <t>ᴐʁʃ</t>
    </r>
    <r>
      <rPr>
        <sz val="11"/>
        <color theme="1"/>
        <rFont val="Calibri"/>
        <family val="2"/>
        <scheme val="minor"/>
      </rPr>
      <t>ide</t>
    </r>
  </si>
  <si>
    <r>
      <t>f</t>
    </r>
    <r>
      <rPr>
        <sz val="11"/>
        <color theme="1"/>
        <rFont val="Calibri"/>
        <family val="2"/>
      </rPr>
      <t>εzᾰ</t>
    </r>
  </si>
  <si>
    <r>
      <t>kum</t>
    </r>
    <r>
      <rPr>
        <sz val="11"/>
        <color theme="1"/>
        <rFont val="Calibri"/>
        <family val="2"/>
      </rPr>
      <t>εlje</t>
    </r>
  </si>
  <si>
    <t xml:space="preserve">ekwatjɔ̃ </t>
  </si>
  <si>
    <r>
      <t>kl</t>
    </r>
    <r>
      <rPr>
        <sz val="11"/>
        <color theme="1"/>
        <rFont val="Calibri"/>
        <family val="2"/>
      </rPr>
      <t>εf</t>
    </r>
  </si>
  <si>
    <t>pɛ̃tamin</t>
  </si>
  <si>
    <t>wakle</t>
  </si>
  <si>
    <r>
      <t>tɔ̃gy</t>
    </r>
    <r>
      <rPr>
        <sz val="11"/>
        <color theme="1"/>
        <rFont val="Calibri"/>
        <family val="2"/>
      </rPr>
      <t>εl</t>
    </r>
  </si>
  <si>
    <t>waɲɔ̃</t>
  </si>
  <si>
    <t>skaʁ</t>
  </si>
  <si>
    <r>
      <t>kʁ</t>
    </r>
    <r>
      <rPr>
        <sz val="11"/>
        <color theme="1"/>
        <rFont val="Calibri"/>
        <family val="2"/>
      </rPr>
      <t>ᴐl</t>
    </r>
  </si>
  <si>
    <t>ɛ̃stɛ̃kt</t>
  </si>
  <si>
    <r>
      <t>gal</t>
    </r>
    <r>
      <rPr>
        <sz val="11"/>
        <color theme="1"/>
        <rFont val="Calibri"/>
        <family val="2"/>
      </rPr>
      <t>ᴐp</t>
    </r>
  </si>
  <si>
    <t>tabak</t>
  </si>
  <si>
    <t>score 28/45</t>
  </si>
  <si>
    <t>pɛ̃tatimə</t>
  </si>
  <si>
    <r>
      <t>tɔ̃gœ</t>
    </r>
    <r>
      <rPr>
        <sz val="11"/>
        <color theme="1"/>
        <rFont val="Calibri"/>
        <family val="2"/>
      </rPr>
      <t>l</t>
    </r>
  </si>
  <si>
    <r>
      <t>f</t>
    </r>
    <r>
      <rPr>
        <sz val="11"/>
        <color theme="1"/>
        <rFont val="Calibri"/>
        <family val="2"/>
      </rPr>
      <t>ε</t>
    </r>
    <r>
      <rPr>
        <sz val="12.1"/>
        <color theme="1"/>
        <rFont val="Calibri"/>
        <family val="2"/>
      </rPr>
      <t>zᾰ</t>
    </r>
  </si>
  <si>
    <t>mitl</t>
  </si>
  <si>
    <t xml:space="preserve">saʒɔ̃ </t>
  </si>
  <si>
    <r>
      <t>bl</t>
    </r>
    <r>
      <rPr>
        <sz val="11"/>
        <color theme="1"/>
        <rFont val="Calibri"/>
        <family val="2"/>
      </rPr>
      <t>ᾰ</t>
    </r>
  </si>
  <si>
    <r>
      <t>li</t>
    </r>
    <r>
      <rPr>
        <sz val="11"/>
        <color theme="1"/>
        <rFont val="Calibri"/>
        <family val="2"/>
      </rPr>
      <t>ʃ</t>
    </r>
    <r>
      <rPr>
        <sz val="12.1"/>
        <color theme="1"/>
        <rFont val="Calibri"/>
        <family val="2"/>
      </rPr>
      <t>εn</t>
    </r>
  </si>
  <si>
    <t xml:space="preserve">wasilɔ̃ </t>
  </si>
  <si>
    <r>
      <t>kl</t>
    </r>
    <r>
      <rPr>
        <sz val="11"/>
        <color theme="1"/>
        <rFont val="Calibri"/>
        <family val="2"/>
      </rPr>
      <t>ε</t>
    </r>
    <r>
      <rPr>
        <sz val="12.1"/>
        <color theme="1"/>
        <rFont val="Calibri"/>
        <family val="2"/>
      </rPr>
      <t>f</t>
    </r>
  </si>
  <si>
    <t>score 31/45</t>
  </si>
  <si>
    <t>choeur</t>
  </si>
  <si>
    <t>tronc</t>
  </si>
  <si>
    <t>astrigon</t>
  </si>
  <si>
    <t>outil</t>
  </si>
  <si>
    <t>coualte</t>
  </si>
  <si>
    <t>figoir</t>
  </si>
  <si>
    <t>jaguar</t>
  </si>
  <si>
    <t>wagon</t>
  </si>
  <si>
    <t>pouls</t>
  </si>
  <si>
    <t>quartz</t>
  </si>
  <si>
    <t>bloc</t>
  </si>
  <si>
    <t>balcon</t>
  </si>
  <si>
    <t>crofilu</t>
  </si>
  <si>
    <t>charisme</t>
  </si>
  <si>
    <t>pentagone</t>
  </si>
  <si>
    <t>couguar</t>
  </si>
  <si>
    <t>respect</t>
  </si>
  <si>
    <t>vatreuil</t>
  </si>
  <si>
    <t>pendentif</t>
  </si>
  <si>
    <t>caspau</t>
  </si>
  <si>
    <t>consul</t>
  </si>
  <si>
    <t>dompteur</t>
  </si>
  <si>
    <t>ochisse</t>
  </si>
  <si>
    <t>ubron</t>
  </si>
  <si>
    <t>spune</t>
  </si>
  <si>
    <t>monsieur</t>
  </si>
  <si>
    <t>arkiton</t>
  </si>
  <si>
    <t>houle</t>
  </si>
  <si>
    <t>contact</t>
  </si>
  <si>
    <t>chêne</t>
  </si>
  <si>
    <t>saoul</t>
  </si>
  <si>
    <t>chapelure</t>
  </si>
  <si>
    <t>iguane</t>
  </si>
  <si>
    <t>emmenthal</t>
  </si>
  <si>
    <t>kiosque</t>
  </si>
  <si>
    <t>noumiste</t>
  </si>
  <si>
    <t>languette</t>
  </si>
  <si>
    <t>mirsane</t>
  </si>
  <si>
    <t>répoune</t>
  </si>
  <si>
    <t>izome</t>
  </si>
  <si>
    <t>bitume</t>
  </si>
  <si>
    <t>achupe</t>
  </si>
  <si>
    <r>
      <t>mu</t>
    </r>
    <r>
      <rPr>
        <sz val="11"/>
        <color theme="1"/>
        <rFont val="Calibri"/>
        <family val="2"/>
      </rPr>
      <t>ʃ</t>
    </r>
    <r>
      <rPr>
        <sz val="12.1"/>
        <color theme="1"/>
        <rFont val="Calibri"/>
        <family val="2"/>
      </rPr>
      <t>waʁ</t>
    </r>
  </si>
  <si>
    <t>trɔ̃k</t>
  </si>
  <si>
    <t>astigrɔ̃</t>
  </si>
  <si>
    <r>
      <t>k</t>
    </r>
    <r>
      <rPr>
        <sz val="11"/>
        <color theme="1"/>
        <rFont val="Calibri"/>
        <family val="2"/>
      </rPr>
      <t>ᴐ</t>
    </r>
    <r>
      <rPr>
        <sz val="12.1"/>
        <color theme="1"/>
        <rFont val="Calibri"/>
        <family val="2"/>
      </rPr>
      <t>alt</t>
    </r>
  </si>
  <si>
    <t>ʒagaʁ</t>
  </si>
  <si>
    <t>pul</t>
  </si>
  <si>
    <t>kaʁ</t>
  </si>
  <si>
    <r>
      <t>ʃ</t>
    </r>
    <r>
      <rPr>
        <sz val="12.1"/>
        <color theme="1"/>
        <rFont val="Calibri"/>
        <family val="2"/>
      </rPr>
      <t>aʁism</t>
    </r>
  </si>
  <si>
    <t>kugyaʁ</t>
  </si>
  <si>
    <r>
      <t>ʁ</t>
    </r>
    <r>
      <rPr>
        <sz val="11"/>
        <color theme="1"/>
        <rFont val="Calibri"/>
        <family val="2"/>
      </rPr>
      <t>ε</t>
    </r>
    <r>
      <rPr>
        <sz val="12.1"/>
        <color theme="1"/>
        <rFont val="Calibri"/>
        <family val="2"/>
      </rPr>
      <t>spεkt</t>
    </r>
  </si>
  <si>
    <r>
      <rPr>
        <sz val="11"/>
        <color theme="1"/>
        <rFont val="Calibri"/>
        <family val="2"/>
      </rPr>
      <t>ᴐ</t>
    </r>
    <r>
      <rPr>
        <sz val="12.1"/>
        <color theme="1"/>
        <rFont val="Calibri"/>
        <family val="2"/>
      </rPr>
      <t>ʃiz</t>
    </r>
  </si>
  <si>
    <r>
      <t>k</t>
    </r>
    <r>
      <rPr>
        <sz val="11"/>
        <color theme="1"/>
        <rFont val="Calibri"/>
        <family val="2"/>
      </rPr>
      <t>ᴐ</t>
    </r>
    <r>
      <rPr>
        <sz val="12.1"/>
        <color theme="1"/>
        <rFont val="Calibri"/>
        <family val="2"/>
      </rPr>
      <t>stakt</t>
    </r>
  </si>
  <si>
    <t>saul</t>
  </si>
  <si>
    <t>igyan</t>
  </si>
  <si>
    <r>
      <rPr>
        <sz val="11"/>
        <color theme="1"/>
        <rFont val="Calibri"/>
        <family val="2"/>
      </rPr>
      <t>ʃ</t>
    </r>
    <r>
      <rPr>
        <sz val="12.1"/>
        <color theme="1"/>
        <rFont val="Calibri"/>
        <family val="2"/>
      </rPr>
      <t>iᴐsk</t>
    </r>
  </si>
  <si>
    <t>munist</t>
  </si>
  <si>
    <r>
      <t>ak</t>
    </r>
    <r>
      <rPr>
        <sz val="11"/>
        <color theme="1"/>
        <rFont val="Calibri"/>
        <family val="2"/>
      </rPr>
      <t>ʃ</t>
    </r>
    <r>
      <rPr>
        <sz val="12.1"/>
        <color theme="1"/>
        <rFont val="Calibri"/>
        <family val="2"/>
      </rPr>
      <t>yp</t>
    </r>
  </si>
  <si>
    <t>Post 3</t>
  </si>
  <si>
    <t>kualt</t>
  </si>
  <si>
    <t>ʃœʁ</t>
  </si>
  <si>
    <t>amaks</t>
  </si>
  <si>
    <r>
      <t>tʁ</t>
    </r>
    <r>
      <rPr>
        <sz val="11"/>
        <color theme="1"/>
        <rFont val="Calibri"/>
        <family val="2"/>
      </rPr>
      <t>ᾰ</t>
    </r>
    <r>
      <rPr>
        <sz val="12.1"/>
        <color theme="1"/>
        <rFont val="Calibri"/>
        <family val="2"/>
      </rPr>
      <t>k</t>
    </r>
  </si>
  <si>
    <r>
      <t>o</t>
    </r>
    <r>
      <rPr>
        <sz val="11"/>
        <color theme="1"/>
        <rFont val="Calibri"/>
        <family val="2"/>
      </rPr>
      <t>ʃ</t>
    </r>
    <r>
      <rPr>
        <sz val="12.1"/>
        <color theme="1"/>
        <rFont val="Calibri"/>
        <family val="2"/>
      </rPr>
      <t>is</t>
    </r>
  </si>
  <si>
    <r>
      <t>vatr</t>
    </r>
    <r>
      <rPr>
        <sz val="11"/>
        <color theme="1"/>
        <rFont val="Calibri"/>
        <family val="2"/>
      </rPr>
      <t>ᴐ</t>
    </r>
    <r>
      <rPr>
        <sz val="12.1"/>
        <color theme="1"/>
        <rFont val="Calibri"/>
        <family val="2"/>
      </rPr>
      <t>j</t>
    </r>
  </si>
  <si>
    <r>
      <rPr>
        <sz val="11"/>
        <color theme="1"/>
        <rFont val="Calibri"/>
        <family val="2"/>
      </rPr>
      <t>ᴐ</t>
    </r>
    <r>
      <rPr>
        <sz val="12.1"/>
        <color theme="1"/>
        <rFont val="Calibri"/>
        <family val="2"/>
      </rPr>
      <t>mᾰtal</t>
    </r>
  </si>
  <si>
    <t>mɔ̃sjœ</t>
  </si>
  <si>
    <t>Target</t>
  </si>
  <si>
    <t>CORR RT</t>
  </si>
  <si>
    <t>Mot21v2.tif</t>
  </si>
  <si>
    <t>EXE verb</t>
  </si>
  <si>
    <t>Mot11v2.tif</t>
  </si>
  <si>
    <t>Mot10v2.tif</t>
  </si>
  <si>
    <t>Mot12v2.tif</t>
  </si>
  <si>
    <t>Mot5v2.tif</t>
  </si>
  <si>
    <t>Mot1v2.tif</t>
  </si>
  <si>
    <t>Mot16v2.tif</t>
  </si>
  <si>
    <t>Mot24v2.tif</t>
  </si>
  <si>
    <t>Mot25v2.tif</t>
  </si>
  <si>
    <t>Mot2v2.tif</t>
  </si>
  <si>
    <t>Mot26v2.tif</t>
  </si>
  <si>
    <t>Mot4v2.tif</t>
  </si>
  <si>
    <t>Mot9v2.tif</t>
  </si>
  <si>
    <t>Mot7v2.tif</t>
  </si>
  <si>
    <t>Mot22v2.tif</t>
  </si>
  <si>
    <t>Mot23v2.tif</t>
  </si>
  <si>
    <t>Mot17v2.tif</t>
  </si>
  <si>
    <t>Mot8v2.tif</t>
  </si>
  <si>
    <t>Mot3v2.tif</t>
  </si>
  <si>
    <t>Mot19v2.tif</t>
  </si>
  <si>
    <t>Mot13v2.tif</t>
  </si>
  <si>
    <t>Mot15v2.tif</t>
  </si>
  <si>
    <t>Mot6v2.tif</t>
  </si>
  <si>
    <t>Mot18v2.tif</t>
  </si>
  <si>
    <t>Mot14v2.tif</t>
  </si>
  <si>
    <t>Mot20v2.tif</t>
  </si>
  <si>
    <t>score 24/26</t>
  </si>
  <si>
    <t>score 26/26</t>
  </si>
  <si>
    <t>Mot2v1.tif</t>
  </si>
  <si>
    <t>Mot20v1.tif</t>
  </si>
  <si>
    <t>Mot16v1.tif</t>
  </si>
  <si>
    <t>Mot3v1.tif</t>
  </si>
  <si>
    <t>Mot21v1.tif</t>
  </si>
  <si>
    <t>Mot6v1.tif</t>
  </si>
  <si>
    <t>Mot9v1.tif</t>
  </si>
  <si>
    <t>Mot22v1.tif</t>
  </si>
  <si>
    <t>Mot8v1.tif</t>
  </si>
  <si>
    <t>Mot23v1.tif</t>
  </si>
  <si>
    <t>Mot10v1.tif</t>
  </si>
  <si>
    <t>Mot5v1.tif</t>
  </si>
  <si>
    <t>Mot18v1.tif</t>
  </si>
  <si>
    <t>Mot26v1.tif</t>
  </si>
  <si>
    <t>Mot13v1.tif</t>
  </si>
  <si>
    <t>Mot4v1.tif</t>
  </si>
  <si>
    <t>Mot25v1.tif</t>
  </si>
  <si>
    <t>Mot12v1.tif</t>
  </si>
  <si>
    <t>Mot1v1.tif</t>
  </si>
  <si>
    <t>Mot24v1.tif</t>
  </si>
  <si>
    <t>Mot19v1.tif</t>
  </si>
  <si>
    <t>Mot15v1.tif</t>
  </si>
  <si>
    <t>Mot14v1.tif</t>
  </si>
  <si>
    <t>Mot7v1.tif</t>
  </si>
  <si>
    <t>Mot17v1.tif</t>
  </si>
  <si>
    <t>Mot11v1.tif</t>
  </si>
  <si>
    <t>02.08.2019</t>
  </si>
  <si>
    <t>EXE visu</t>
  </si>
  <si>
    <t>Fig13v2.tif</t>
  </si>
  <si>
    <t>Fig24v2.tif</t>
  </si>
  <si>
    <t>Fig6v2.tif</t>
  </si>
  <si>
    <t>Fig10v2.tif</t>
  </si>
  <si>
    <t>Fig5v2.tif</t>
  </si>
  <si>
    <t>Fig16v2.tif</t>
  </si>
  <si>
    <t>Fig3v2.tif</t>
  </si>
  <si>
    <t>Fig26v2.tif</t>
  </si>
  <si>
    <t>Fig8v2.tif</t>
  </si>
  <si>
    <t>Fig18v2.tif</t>
  </si>
  <si>
    <t>Fig1v2.tif</t>
  </si>
  <si>
    <t>Fig7v2.tif</t>
  </si>
  <si>
    <t>Fig2v2.tif</t>
  </si>
  <si>
    <t>Fig20v2.tif</t>
  </si>
  <si>
    <t>Fig22v2.tif</t>
  </si>
  <si>
    <t>Fig14v2.tif</t>
  </si>
  <si>
    <t>Fig17v2.tif</t>
  </si>
  <si>
    <t>Fig25v2.tif</t>
  </si>
  <si>
    <t>Fig21v2.tif</t>
  </si>
  <si>
    <t>Fig19v2.tif</t>
  </si>
  <si>
    <t>Fig9v2.tif</t>
  </si>
  <si>
    <t>Fig12v2.tif</t>
  </si>
  <si>
    <t>Fig4v2.tif</t>
  </si>
  <si>
    <t>Fig11v2.tif</t>
  </si>
  <si>
    <t>Fig23v2.tif</t>
  </si>
  <si>
    <t>Fig15v2.tif</t>
  </si>
  <si>
    <t>score 23/26</t>
  </si>
  <si>
    <t>score 22/26</t>
  </si>
  <si>
    <t>Fig15v1.tif</t>
  </si>
  <si>
    <t>Fig24v1.tif</t>
  </si>
  <si>
    <t>Fig9v1.tif</t>
  </si>
  <si>
    <t>Fig19v1.tif</t>
  </si>
  <si>
    <t>Fig17v1.tif</t>
  </si>
  <si>
    <t>Fig22v1.tif</t>
  </si>
  <si>
    <t>Fig4v1.tif</t>
  </si>
  <si>
    <t>Fig3v1.tif</t>
  </si>
  <si>
    <t>Fig12v1.tif</t>
  </si>
  <si>
    <t>Fig1v1.tif</t>
  </si>
  <si>
    <t>Fig6v1.tif</t>
  </si>
  <si>
    <t>Fig23v1.tif</t>
  </si>
  <si>
    <t>Fig11v1.tif</t>
  </si>
  <si>
    <t>Fig2v1.tif</t>
  </si>
  <si>
    <t>Fig8v1.tif</t>
  </si>
  <si>
    <t>Fig7v1.tif</t>
  </si>
  <si>
    <t>Fig16v1.tif</t>
  </si>
  <si>
    <t>Fig10v1.tif</t>
  </si>
  <si>
    <t>Fig25v1.tif</t>
  </si>
  <si>
    <t>Fig14v1.tif</t>
  </si>
  <si>
    <t>Fig26v1.tif</t>
  </si>
  <si>
    <t>Fig13v1.tif</t>
  </si>
  <si>
    <t>Fig20v1.tif</t>
  </si>
  <si>
    <t>Fig21v1.tif</t>
  </si>
  <si>
    <t>Fig5v1.tif</t>
  </si>
  <si>
    <t>Fig18v1.tif</t>
  </si>
  <si>
    <t>score 21/26</t>
  </si>
  <si>
    <t>score 12/26</t>
  </si>
  <si>
    <t>post 3</t>
  </si>
  <si>
    <t>score 19/26</t>
  </si>
  <si>
    <t>score 16/26</t>
  </si>
  <si>
    <t>AS Visu</t>
  </si>
  <si>
    <t>AS visu</t>
  </si>
  <si>
    <t>score 13/26</t>
  </si>
  <si>
    <t>décision catégorielle</t>
  </si>
  <si>
    <t>score 7</t>
  </si>
  <si>
    <t>Post STIM 3</t>
  </si>
  <si>
    <t>papier</t>
  </si>
  <si>
    <t>pain</t>
  </si>
  <si>
    <t>piège</t>
  </si>
  <si>
    <t>papa</t>
  </si>
  <si>
    <t>Score 8</t>
  </si>
  <si>
    <t>2.08.2019</t>
  </si>
  <si>
    <t>la c'est pour balayer là</t>
  </si>
  <si>
    <t>ça c'est un animal ah …qui est grand</t>
  </si>
  <si>
    <t>ça aussi c'est un animal, non c'est pas la vache ça</t>
  </si>
  <si>
    <t>ça c'est pour balayer c'est pour nettoyer, le nom je ne sais plus</t>
  </si>
  <si>
    <t>alors là tiens je ne sais pas ce que c'est ça</t>
  </si>
  <si>
    <t>ça c'est c'est pas un animal…</t>
  </si>
  <si>
    <t>ça c'est c'est un animal ça c'est pas oiseau ça mais c'est un animal</t>
  </si>
  <si>
    <t>ah ça c'est, c'est pas la vache ça ?</t>
  </si>
  <si>
    <t>ça c'est euh c'est pour monter dessus c'est pas un chat ?</t>
  </si>
  <si>
    <t>ah ça c'est non…</t>
  </si>
  <si>
    <t>ça c'est pour faire de la musique, ça se met comme ça…mais le mot …</t>
  </si>
  <si>
    <t>ça c'est quoi ça ? C'est pas un œuf ?</t>
  </si>
  <si>
    <t>ça c'est …(xxx) pour pour chais pas</t>
  </si>
  <si>
    <t>ah ça c'est ….</t>
  </si>
  <si>
    <t>ça c'est un fruit</t>
  </si>
  <si>
    <t>ah tiens, non c'est pas un chien ça si ?</t>
  </si>
  <si>
    <t>akors là…</t>
  </si>
  <si>
    <t>la c'est de l'eau qui tombe la dedans dans la maison pour laver des trucs et oui…</t>
  </si>
  <si>
    <t>ça …</t>
  </si>
  <si>
    <t>je ne vois pasn c'est un outil?</t>
  </si>
  <si>
    <t>ah ça c'est un animal avec les deux pates en fait c'est …</t>
  </si>
  <si>
    <t>ça c'est un …un animal pour l'eau c'est un poisson ça</t>
  </si>
  <si>
    <t>c'est quoi ça …euh</t>
  </si>
  <si>
    <t>du papier ?</t>
  </si>
  <si>
    <t>alors là c'est un animal non ?</t>
  </si>
  <si>
    <t>alors c'est un animal ça je sais plus leur nom c'est pas des chevaux…</t>
  </si>
  <si>
    <t>ça c'est un fruit c'est une poire….</t>
  </si>
  <si>
    <t>alors elle c'est quoi ? Tiens il y a le petit</t>
  </si>
  <si>
    <t>ah ça c'est pour dormir non ?</t>
  </si>
  <si>
    <t>ah bein ça c'est un animal mais c'est pas un cheval c'est….</t>
  </si>
  <si>
    <t>tiens c'est quoi ça…non c'est pas un</t>
  </si>
  <si>
    <t>ah c'est c'est une méto…non une moto!</t>
  </si>
  <si>
    <t>c'est la verre ça, quand il fait chaud on boit du grand verre</t>
  </si>
  <si>
    <t>ça c'est pas de la f….</t>
  </si>
  <si>
    <t>ça c'est encore un animal, c'est pas un animal d'eau? c'est un poisson</t>
  </si>
  <si>
    <t>et c'est non, c'est pas un petit chat ils ont pas des oreilles ….</t>
  </si>
  <si>
    <t>ah ça oui c'est pour casser quelque chose, pour couper</t>
  </si>
  <si>
    <t xml:space="preserve">ça c'est …c'est pas pour faire de ….il y a un endroit…. À pa </t>
  </si>
  <si>
    <t>Paris…</t>
  </si>
  <si>
    <t>ah cça c'est un animal…c'est pas un oiseau non ?</t>
  </si>
  <si>
    <t>score : 4</t>
  </si>
  <si>
    <t>c'est oh c'est pas une fleur ça ? Ou un arbre ?</t>
  </si>
  <si>
    <t>ça c'est un animal bba non je ne sais pas cheval non</t>
  </si>
  <si>
    <t>ça aussi c'est un animal non ?</t>
  </si>
  <si>
    <t>ça c'est un peinge pour pein…non c'est pas un peinge, c'est pour froter ça</t>
  </si>
  <si>
    <t>ça c'est un ….ah ouiais c'est un animal qui est grand ça c'est….</t>
  </si>
  <si>
    <t>ça c'est un oiseau ça….</t>
  </si>
  <si>
    <t>c'est pas une pomme ça ?</t>
  </si>
  <si>
    <t>ça c'est non c'est pas ….</t>
  </si>
  <si>
    <t>ça aussi c'est quoi ? Tiens, je ne vois pas tous les jours ça</t>
  </si>
  <si>
    <t>ça c'est non c'est pas un fruit,c'est pas une fleur ?</t>
  </si>
  <si>
    <t>ça c'est pas euh pour faire de la musique ça ?</t>
  </si>
  <si>
    <t>ça c'est un animal c'est un d…non c'est pas un cheval ça</t>
  </si>
  <si>
    <t>ça c'est un oiseau, un gros oiseau</t>
  </si>
  <si>
    <t>je ne sais plus</t>
  </si>
  <si>
    <t>ça c'est encore un animal mais le nom ?</t>
  </si>
  <si>
    <t>c'est quoi ça ? La je ne sais pas ce que c'est</t>
  </si>
  <si>
    <t>ah tiens, ah non, c'est pas un chat ça ?</t>
  </si>
  <si>
    <t>ça c'est un cheval ça oui</t>
  </si>
  <si>
    <t>ça c'est encore un animal c'est pas un cheval, je ne sais pas</t>
  </si>
  <si>
    <t>ah ça c'est, c'est un animal mais c'est un….</t>
  </si>
  <si>
    <t>un verre ça c'est un verre ça, ça va</t>
  </si>
  <si>
    <t>ça c'est pas un marteau ?</t>
  </si>
  <si>
    <t>ça c'est pas pour faire de la lumière ça ?</t>
  </si>
  <si>
    <t>c'est…</t>
  </si>
  <si>
    <t>oh c'est encore un animal c'est pas un loup</t>
  </si>
  <si>
    <t>tiens ça c'est non c'est pas….</t>
  </si>
  <si>
    <t>chais pas</t>
  </si>
  <si>
    <t>c'est pas pour nettoyer ?</t>
  </si>
  <si>
    <t>alors là ?</t>
  </si>
  <si>
    <t>ça c'est …c'est pas une poire ça ?</t>
  </si>
  <si>
    <t>c'est pas un…c'est pour faire tomber de l'eau…c'est un robinet non ?</t>
  </si>
  <si>
    <t xml:space="preserve">alors là ? </t>
  </si>
  <si>
    <t>ça c'est pour faire de la musique</t>
  </si>
  <si>
    <t>ça c'est dans l'eau ça c'est un animal dans l'eau c'est un poisson</t>
  </si>
  <si>
    <t xml:space="preserve">tiens, qu'est-ce que c'est que ça ? </t>
  </si>
  <si>
    <t>on en, a pas</t>
  </si>
  <si>
    <t>c'est encore un animal ben oui mais</t>
  </si>
  <si>
    <t>ça c'est un animal oui, qu'il faut pas qu'il pique car il peut faire mourir</t>
  </si>
  <si>
    <t>ça aussi c'est encore un animal, mais je connais des gens qui en avaient dans leur jardin</t>
  </si>
  <si>
    <t>ça c'est c'est pas non c'est pas un outil ça ?</t>
  </si>
  <si>
    <t>ah ça c'est un animal aussi c'est pas un chien ça ?  Ah peut être un, deux</t>
  </si>
  <si>
    <t>ça c'est une flèche</t>
  </si>
  <si>
    <t>ça c'est pas une fleur ça?</t>
  </si>
  <si>
    <t>ça c'est une euh quelque chose pour un animal pour qu'il se mette dedans</t>
  </si>
  <si>
    <t>mais je ne sais pas lequel</t>
  </si>
  <si>
    <t>ça c'est un, c'est quelque chose qui tourne c'est un médi….</t>
  </si>
  <si>
    <t>àa c'est…non c'est pas un oiseau s'il ont pas de ….</t>
  </si>
  <si>
    <t>ça c'est un oiseau</t>
  </si>
  <si>
    <t>ça c'est un chat comme nous à la maison</t>
  </si>
  <si>
    <t>oh c'est c'est …c'est pour bricoler</t>
  </si>
  <si>
    <t>ça c'est …..un animal?</t>
  </si>
  <si>
    <t>c'est une scie, je m'eb suis servie il y a pas longtemps</t>
  </si>
  <si>
    <t>ça c'est un animal alors pour dire ce que c'est ….</t>
  </si>
  <si>
    <t xml:space="preserve">ça c'est encore un animal </t>
  </si>
  <si>
    <t>ça aussi, mais non c'est pas un chien, il y a la queue….</t>
  </si>
  <si>
    <t>ça encore un animal</t>
  </si>
  <si>
    <t>ça c'est à …pour poubelle ça ?</t>
  </si>
  <si>
    <t>ça c'est deux animaux</t>
  </si>
  <si>
    <t xml:space="preserve">ça c'est encore un animal, c'est pas un cheval ça </t>
  </si>
  <si>
    <t>ça c'est pour euh avoir les ….quel temps il fait, la chaleur</t>
  </si>
  <si>
    <t>tiens encore un cheval, pas un cheval, un animal</t>
  </si>
  <si>
    <t>ça c'est….peut être une fleur e,core je ne sais pas</t>
  </si>
  <si>
    <t>ça c'est du lunettes, ça va, je sais j'en ai</t>
  </si>
  <si>
    <t>ah ça c'est….un téléphones, les numéros sont là …et puis</t>
  </si>
  <si>
    <t xml:space="preserve">ça c'est un outil ça, c'est pas un marteau ça non </t>
  </si>
  <si>
    <t>ça c'est pour manger le midi, c'est pas une cuillière c'est une ….</t>
  </si>
  <si>
    <t>je ne me rappelle plus le nom</t>
  </si>
  <si>
    <t>tiens c'est un arbre ça non ? Je ne sais pas ce que c'est ça</t>
  </si>
  <si>
    <t>un avion, non c'est pas un avion c'est ce qui est sur les ….</t>
  </si>
  <si>
    <t>oh là là</t>
  </si>
  <si>
    <t>ah c'est c'est un poisson ça, non c'est pas dans l'eau ça ?</t>
  </si>
  <si>
    <t>pas un crayon ça non ?</t>
  </si>
  <si>
    <t>un animal , on a pas vu tout à l'heure celui là déjà ?</t>
  </si>
  <si>
    <t>c'est une c'est pour la lumiere ça, je ne sais plus le nom</t>
  </si>
  <si>
    <t>c'est pour alumer</t>
  </si>
  <si>
    <t>qu'est-ce que c'est ça ? je ne sais pas c'est pas une table ça ?</t>
  </si>
  <si>
    <t>ça c'est ….c'est pas des fleurs ça  …</t>
  </si>
  <si>
    <t>ça c'est une c'est pour manger, c'est une ….oui, c'est pour manger</t>
  </si>
  <si>
    <t>c'est pas une cabane pour un animal ça non ?</t>
  </si>
  <si>
    <t>ça c'est un animal ça..c'est pas un poisson ?</t>
  </si>
  <si>
    <t xml:space="preserve">ça c'est pour euh, couper, c'est une scie, j'en ai des comme ça </t>
  </si>
  <si>
    <t>ah oui c'est …ça s'appelle…c'est quelque chose de dure sur le dos c'est ….</t>
  </si>
  <si>
    <t xml:space="preserve">ça c'est un ma…un marteau </t>
  </si>
  <si>
    <t>ah non ça c'est pas pour viser ça , je ne sais pas ce que c'est</t>
  </si>
  <si>
    <t>ça c'est un livre, ça se voit, il y a des feuilles et tout</t>
  </si>
  <si>
    <t>ah oui, c'est pour fabriquer</t>
  </si>
  <si>
    <t>ça c'est un cheval…pas un cheval mais…</t>
  </si>
  <si>
    <t>ah c'est pas des fleurs encore ça ?</t>
  </si>
  <si>
    <t>ah oui, ça c'est pour mettre de la lumière, ben oui</t>
  </si>
  <si>
    <t>ça c'est un, qu'est-ce que c'est comme anomal ça, ah non c'est….</t>
  </si>
  <si>
    <t>encore un animal ça ? Ah non</t>
  </si>
  <si>
    <t>ah un animal, c'est pas dans l'eau ? Poisson ? Ah non pas ça…</t>
  </si>
  <si>
    <t>ah, la maman et petit, les animaux là</t>
  </si>
  <si>
    <t>ça c'est un avion, non pas un avion, un oiseau ça</t>
  </si>
  <si>
    <t>c'est pas pour bricoler, c'est pas un outil ça ?</t>
  </si>
  <si>
    <t>ah ça c'est, c'est pour fermer à clé, ça s'appelle….</t>
  </si>
  <si>
    <t xml:space="preserve">j'en ai </t>
  </si>
  <si>
    <t>ça c'est un animal</t>
  </si>
  <si>
    <t>ah, c'est non, je croyais que c'est pour mettre du ….</t>
  </si>
  <si>
    <t>ça c'est un</t>
  </si>
  <si>
    <t>ah oui c'est il faut faire attention pour pas que ça pique</t>
  </si>
  <si>
    <t>ah ça c'est ah oui…non c'est pas du cheval</t>
  </si>
  <si>
    <t xml:space="preserve">ça c'est pour faire de la musique c'est une </t>
  </si>
  <si>
    <t>ça c'est pour euh…pour voir combien il fait, le temps</t>
  </si>
  <si>
    <t>c'est quoi ce ptit…</t>
  </si>
  <si>
    <t xml:space="preserve">ça aussi c'est de l'animal </t>
  </si>
  <si>
    <t>ah ça c'est pas un avion c'est un hélicoptère</t>
  </si>
  <si>
    <t>encore une petite bête</t>
  </si>
  <si>
    <t>c'est une fleur</t>
  </si>
  <si>
    <t>ça un ani…il n' a que deux pates?</t>
  </si>
  <si>
    <t>Post 4</t>
  </si>
  <si>
    <t>AS visuelle</t>
  </si>
  <si>
    <t>ImageDisplay2.RTTime</t>
  </si>
  <si>
    <t xml:space="preserve">Identification : </t>
  </si>
  <si>
    <t>Examen Clinique :</t>
  </si>
  <si>
    <t>Langage :</t>
  </si>
  <si>
    <t xml:space="preserve">ECRF </t>
  </si>
  <si>
    <t>examen neurologique élémentaire</t>
  </si>
  <si>
    <t>Echelle de sévérité de l'aphasie (BDAE)</t>
  </si>
  <si>
    <t>base de données EXCEL</t>
  </si>
  <si>
    <t>praxies idéo-motrices</t>
  </si>
  <si>
    <t>anonimisation imagerie</t>
  </si>
  <si>
    <t>fonctions executives</t>
  </si>
  <si>
    <t>DO 80 Score</t>
  </si>
  <si>
    <t>mémoire épisodique</t>
  </si>
  <si>
    <t>paraphasie sémantiques</t>
  </si>
  <si>
    <t>sexe</t>
  </si>
  <si>
    <t>fonctions visuo-spatiales</t>
  </si>
  <si>
    <t>paraphasie phonémiques</t>
  </si>
  <si>
    <t>date de naissance</t>
  </si>
  <si>
    <t>non réponses</t>
  </si>
  <si>
    <t>âge</t>
  </si>
  <si>
    <t>Evaluation neuropsy</t>
  </si>
  <si>
    <t>MMS</t>
  </si>
  <si>
    <t>Fluence littérale R /2 minutes</t>
  </si>
  <si>
    <t>date HDJ</t>
  </si>
  <si>
    <t>MADRS</t>
  </si>
  <si>
    <t>Fluence catégirielle fruits / minutes</t>
  </si>
  <si>
    <t>signature du consentement</t>
  </si>
  <si>
    <t>BREF</t>
  </si>
  <si>
    <t>Discrimination verbale (BDAE)</t>
  </si>
  <si>
    <t>MATTIS</t>
  </si>
  <si>
    <t>Répétition des phrases (BDAE)</t>
  </si>
  <si>
    <t>lateralité</t>
  </si>
  <si>
    <t>Empans chiffres directs</t>
  </si>
  <si>
    <t>Pyramide and Palm test (PPTI) verbal</t>
  </si>
  <si>
    <t>niveau d'études</t>
  </si>
  <si>
    <t>Empans chiffres indirects</t>
  </si>
  <si>
    <t>Pyramide and Palm test (PPTI) visuel</t>
  </si>
  <si>
    <t>Empan spatial direct</t>
  </si>
  <si>
    <t>premiers signes de la maladie</t>
  </si>
  <si>
    <t>Empan spatial indirect</t>
  </si>
  <si>
    <t>date du diagnostic</t>
  </si>
  <si>
    <t>TMT A</t>
  </si>
  <si>
    <t>autres antécédents</t>
  </si>
  <si>
    <t>TMT B</t>
  </si>
  <si>
    <t>Test des portes A</t>
  </si>
  <si>
    <t>antécédents familiaux</t>
  </si>
  <si>
    <t>Test des portes B</t>
  </si>
  <si>
    <t>Praxies Mahieux</t>
  </si>
  <si>
    <t>001-0021-RP</t>
  </si>
  <si>
    <t>001-0015-RP</t>
  </si>
  <si>
    <t>homme</t>
  </si>
  <si>
    <t>droitier</t>
  </si>
  <si>
    <t>BAC</t>
  </si>
  <si>
    <t>HTA</t>
  </si>
  <si>
    <t>non</t>
  </si>
  <si>
    <t>normal</t>
  </si>
  <si>
    <t>NA</t>
  </si>
  <si>
    <t>troubles mineurs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</si>
</sst>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.1"/>
      <color theme="1"/>
      <name val="Calibri"/>
      <family val="2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color theme="9" tint="0.79998168889431442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9">
    <xf numFmtId="0" fontId="0" fillId="0" borderId="0" xfId="0"/>
    <xf numFmtId="0" fontId="3" fillId="0" borderId="0" xfId="0" applyFont="1"/>
    <xf numFmtId="0" fontId="2" fillId="0" borderId="0" xfId="0" applyFont="1"/>
    <xf numFmtId="0" fontId="3" fillId="2" borderId="0" xfId="0" applyFont="1" applyFill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7" fontId="4" fillId="0" borderId="0" xfId="0" applyNumberFormat="1" applyFont="1"/>
    <xf numFmtId="17" fontId="3" fillId="0" borderId="0" xfId="0" applyNumberFormat="1" applyFont="1"/>
    <xf numFmtId="14" fontId="3" fillId="0" borderId="0" xfId="0" applyNumberFormat="1" applyFont="1"/>
    <xf numFmtId="0" fontId="10" fillId="0" borderId="0" xfId="0" applyFont="1"/>
    <xf numFmtId="0" fontId="6" fillId="0" borderId="0" xfId="1" applyFont="1"/>
    <xf numFmtId="0" fontId="12" fillId="0" borderId="0" xfId="0" applyFont="1"/>
    <xf numFmtId="0" fontId="14" fillId="0" borderId="0" xfId="0" applyFont="1"/>
    <xf numFmtId="0" fontId="15" fillId="0" borderId="0" xfId="0" applyFont="1"/>
    <xf numFmtId="0" fontId="2" fillId="2" borderId="0" xfId="0" applyFont="1" applyFill="1"/>
    <xf numFmtId="0" fontId="2" fillId="0" borderId="0" xfId="0" applyFont="1" applyFill="1"/>
    <xf numFmtId="14" fontId="0" fillId="0" borderId="0" xfId="0" applyNumberFormat="1"/>
    <xf numFmtId="0" fontId="16" fillId="0" borderId="0" xfId="0" applyFont="1"/>
    <xf numFmtId="0" fontId="1" fillId="2" borderId="0" xfId="0" applyFont="1" applyFill="1"/>
    <xf numFmtId="0" fontId="0" fillId="2" borderId="0" xfId="0" applyFill="1"/>
    <xf numFmtId="14" fontId="2" fillId="0" borderId="0" xfId="0" applyNumberFormat="1" applyFont="1"/>
    <xf numFmtId="0" fontId="17" fillId="0" borderId="0" xfId="0" applyFont="1" applyAlignment="1">
      <alignment vertical="top"/>
    </xf>
    <xf numFmtId="0" fontId="18" fillId="0" borderId="0" xfId="0" applyFont="1"/>
    <xf numFmtId="0" fontId="19" fillId="0" borderId="0" xfId="0" applyFont="1"/>
    <xf numFmtId="0" fontId="20" fillId="3" borderId="0" xfId="0" applyFont="1" applyFill="1"/>
    <xf numFmtId="0" fontId="18" fillId="4" borderId="0" xfId="0" applyFont="1" applyFill="1"/>
    <xf numFmtId="0" fontId="19" fillId="4" borderId="0" xfId="0" applyFont="1" applyFill="1"/>
    <xf numFmtId="0" fontId="19" fillId="0" borderId="0" xfId="0" applyFont="1" applyFill="1"/>
    <xf numFmtId="14" fontId="19" fillId="0" borderId="0" xfId="0" applyNumberFormat="1" applyFont="1"/>
    <xf numFmtId="0" fontId="19" fillId="5" borderId="0" xfId="0" applyFont="1" applyFill="1"/>
    <xf numFmtId="0" fontId="18" fillId="0" borderId="0" xfId="0" applyFont="1" applyFill="1"/>
    <xf numFmtId="0" fontId="19" fillId="3" borderId="0" xfId="0" applyFont="1" applyFill="1"/>
    <xf numFmtId="17" fontId="19" fillId="0" borderId="0" xfId="0" applyNumberFormat="1" applyFont="1"/>
    <xf numFmtId="14" fontId="19" fillId="2" borderId="0" xfId="0" applyNumberFormat="1" applyFont="1" applyFill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AS</a:t>
            </a:r>
            <a:r>
              <a:rPr lang="fr-FR" baseline="0"/>
              <a:t> verb. ACC / 26</a:t>
            </a:r>
            <a:endParaRPr lang="fr-FR"/>
          </a:p>
        </c:rich>
      </c:tx>
      <c:layout>
        <c:manualLayout>
          <c:xMode val="edge"/>
          <c:yMode val="edge"/>
          <c:x val="0.34595122484689411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'AS verbale'!$U$34:$W$34</c:f>
              <c:strCache>
                <c:ptCount val="3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</c:strCache>
            </c:strRef>
          </c:cat>
          <c:val>
            <c:numRef>
              <c:f>'AS verbale'!$U$35:$W$35</c:f>
              <c:numCache>
                <c:formatCode>General</c:formatCode>
                <c:ptCount val="3"/>
                <c:pt idx="0">
                  <c:v>12</c:v>
                </c:pt>
                <c:pt idx="1">
                  <c:v>16</c:v>
                </c:pt>
                <c:pt idx="2">
                  <c:v>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1299800"/>
        <c:axId val="221319696"/>
      </c:lineChart>
      <c:catAx>
        <c:axId val="221299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1319696"/>
        <c:crosses val="autoZero"/>
        <c:auto val="1"/>
        <c:lblAlgn val="ctr"/>
        <c:lblOffset val="100"/>
        <c:noMultiLvlLbl val="0"/>
      </c:catAx>
      <c:valAx>
        <c:axId val="22131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1299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AS</a:t>
            </a:r>
            <a:r>
              <a:rPr lang="fr-FR" baseline="0"/>
              <a:t> verb. RT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'AS verbale'!$Z$33:$AB$33</c:f>
              <c:strCache>
                <c:ptCount val="3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</c:strCache>
            </c:strRef>
          </c:cat>
          <c:val>
            <c:numRef>
              <c:f>'AS verbale'!$Z$34:$AB$34</c:f>
              <c:numCache>
                <c:formatCode>General</c:formatCode>
                <c:ptCount val="3"/>
                <c:pt idx="0">
                  <c:v>5018.25</c:v>
                </c:pt>
                <c:pt idx="1">
                  <c:v>3942.18</c:v>
                </c:pt>
                <c:pt idx="2">
                  <c:v>4174.42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1390808"/>
        <c:axId val="221391192"/>
      </c:lineChart>
      <c:catAx>
        <c:axId val="221390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1391192"/>
        <c:crosses val="autoZero"/>
        <c:auto val="1"/>
        <c:lblAlgn val="ctr"/>
        <c:lblOffset val="100"/>
        <c:noMultiLvlLbl val="0"/>
      </c:catAx>
      <c:valAx>
        <c:axId val="221391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1390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AS</a:t>
            </a:r>
            <a:r>
              <a:rPr lang="fr-FR" baseline="0"/>
              <a:t> verb. ACC/26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'AS verbale'!$U$34:$W$34</c:f>
              <c:strCache>
                <c:ptCount val="3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</c:strCache>
            </c:strRef>
          </c:cat>
          <c:val>
            <c:numRef>
              <c:f>'AS verbale'!$U$35:$W$35</c:f>
              <c:numCache>
                <c:formatCode>General</c:formatCode>
                <c:ptCount val="3"/>
                <c:pt idx="0">
                  <c:v>12</c:v>
                </c:pt>
                <c:pt idx="1">
                  <c:v>16</c:v>
                </c:pt>
                <c:pt idx="2">
                  <c:v>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1397904"/>
        <c:axId val="221856544"/>
      </c:lineChart>
      <c:catAx>
        <c:axId val="22139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1856544"/>
        <c:crosses val="autoZero"/>
        <c:auto val="1"/>
        <c:lblAlgn val="ctr"/>
        <c:lblOffset val="100"/>
        <c:noMultiLvlLbl val="0"/>
      </c:catAx>
      <c:valAx>
        <c:axId val="22185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1397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AS</a:t>
            </a:r>
            <a:r>
              <a:rPr lang="fr-FR" baseline="0"/>
              <a:t> visu. RT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'AS visuelle'!$S$34:$U$34</c:f>
              <c:strCache>
                <c:ptCount val="3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</c:strCache>
            </c:strRef>
          </c:cat>
          <c:val>
            <c:numRef>
              <c:f>'AS visuelle'!$S$35:$U$35</c:f>
              <c:numCache>
                <c:formatCode>General</c:formatCode>
                <c:ptCount val="3"/>
                <c:pt idx="0">
                  <c:v>3781.56</c:v>
                </c:pt>
                <c:pt idx="1">
                  <c:v>2964</c:v>
                </c:pt>
                <c:pt idx="2">
                  <c:v>3882.12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1881160"/>
        <c:axId val="221881544"/>
      </c:lineChart>
      <c:catAx>
        <c:axId val="221881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1881544"/>
        <c:crosses val="autoZero"/>
        <c:auto val="1"/>
        <c:lblAlgn val="ctr"/>
        <c:lblOffset val="100"/>
        <c:noMultiLvlLbl val="0"/>
      </c:catAx>
      <c:valAx>
        <c:axId val="221881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1881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AS</a:t>
            </a:r>
            <a:r>
              <a:rPr lang="fr-FR" baseline="0"/>
              <a:t> visu ACC/26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'AS visuelle'!$M$33:$O$33</c:f>
              <c:strCache>
                <c:ptCount val="3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</c:strCache>
            </c:strRef>
          </c:cat>
          <c:val>
            <c:numRef>
              <c:f>'AS visuelle'!$M$34:$O$34</c:f>
              <c:numCache>
                <c:formatCode>General</c:formatCode>
                <c:ptCount val="3"/>
                <c:pt idx="0">
                  <c:v>16</c:v>
                </c:pt>
                <c:pt idx="1">
                  <c:v>13</c:v>
                </c:pt>
                <c:pt idx="2">
                  <c:v>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1871088"/>
        <c:axId val="221912832"/>
      </c:lineChart>
      <c:catAx>
        <c:axId val="22187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1912832"/>
        <c:crosses val="autoZero"/>
        <c:auto val="1"/>
        <c:lblAlgn val="ctr"/>
        <c:lblOffset val="100"/>
        <c:noMultiLvlLbl val="0"/>
      </c:catAx>
      <c:valAx>
        <c:axId val="22191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187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Flu.</a:t>
            </a:r>
            <a:r>
              <a:rPr lang="fr-FR" baseline="0"/>
              <a:t> Cat.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'FLUENCE cat.'!$D$16:$F$16</c:f>
              <c:strCache>
                <c:ptCount val="3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</c:strCache>
            </c:strRef>
          </c:cat>
          <c:val>
            <c:numRef>
              <c:f>'FLUENCE cat.'!$D$17:$F$17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1161344"/>
        <c:axId val="221161736"/>
      </c:lineChart>
      <c:catAx>
        <c:axId val="22116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1161736"/>
        <c:crosses val="autoZero"/>
        <c:auto val="1"/>
        <c:lblAlgn val="ctr"/>
        <c:lblOffset val="100"/>
        <c:noMultiLvlLbl val="0"/>
      </c:catAx>
      <c:valAx>
        <c:axId val="221161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116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Flu.</a:t>
            </a:r>
            <a:r>
              <a:rPr lang="fr-FR" baseline="0"/>
              <a:t> litt.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'FLUENCE verb.'!$D$15:$F$15</c:f>
              <c:strCache>
                <c:ptCount val="3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</c:strCache>
            </c:strRef>
          </c:cat>
          <c:val>
            <c:numRef>
              <c:f>'FLUENCE verb.'!$D$16:$F$16</c:f>
              <c:numCache>
                <c:formatCode>General</c:formatCode>
                <c:ptCount val="3"/>
                <c:pt idx="0">
                  <c:v>2</c:v>
                </c:pt>
                <c:pt idx="1">
                  <c:v>6</c:v>
                </c:pt>
                <c:pt idx="2">
                  <c:v>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1162520"/>
        <c:axId val="221162912"/>
      </c:lineChart>
      <c:catAx>
        <c:axId val="221162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1162912"/>
        <c:crosses val="autoZero"/>
        <c:auto val="1"/>
        <c:lblAlgn val="ctr"/>
        <c:lblOffset val="100"/>
        <c:noMultiLvlLbl val="0"/>
      </c:catAx>
      <c:valAx>
        <c:axId val="22116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1162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Déno</a:t>
            </a:r>
            <a:r>
              <a:rPr lang="fr-FR" baseline="0"/>
              <a:t> cat.RT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'DC cat.'!$O$52:$Q$52</c:f>
              <c:strCache>
                <c:ptCount val="3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</c:strCache>
            </c:strRef>
          </c:cat>
          <c:val>
            <c:numRef>
              <c:f>'DC cat.'!$O$53:$Q$53</c:f>
              <c:numCache>
                <c:formatCode>General</c:formatCode>
                <c:ptCount val="3"/>
                <c:pt idx="0">
                  <c:v>2550.3200000000002</c:v>
                </c:pt>
                <c:pt idx="1">
                  <c:v>2916.44</c:v>
                </c:pt>
                <c:pt idx="2">
                  <c:v>2526.86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1163696"/>
        <c:axId val="221164088"/>
      </c:lineChart>
      <c:catAx>
        <c:axId val="22116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1164088"/>
        <c:crosses val="autoZero"/>
        <c:auto val="1"/>
        <c:lblAlgn val="ctr"/>
        <c:lblOffset val="100"/>
        <c:noMultiLvlLbl val="0"/>
      </c:catAx>
      <c:valAx>
        <c:axId val="221164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116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Déno.</a:t>
            </a:r>
            <a:r>
              <a:rPr lang="fr-FR" baseline="0"/>
              <a:t> Cat ACC/ 40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'DC cat.'!$K$52:$M$52</c:f>
              <c:strCache>
                <c:ptCount val="3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</c:strCache>
            </c:strRef>
          </c:cat>
          <c:val>
            <c:numRef>
              <c:f>'DC cat.'!$K$53:$M$53</c:f>
              <c:numCache>
                <c:formatCode>General</c:formatCode>
                <c:ptCount val="3"/>
                <c:pt idx="0">
                  <c:v>28</c:v>
                </c:pt>
                <c:pt idx="1">
                  <c:v>27</c:v>
                </c:pt>
                <c:pt idx="2">
                  <c:v>30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1164872"/>
        <c:axId val="221165264"/>
      </c:lineChart>
      <c:catAx>
        <c:axId val="221164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1165264"/>
        <c:crosses val="autoZero"/>
        <c:auto val="1"/>
        <c:lblAlgn val="ctr"/>
        <c:lblOffset val="100"/>
        <c:noMultiLvlLbl val="0"/>
      </c:catAx>
      <c:valAx>
        <c:axId val="22116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1164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Déno</a:t>
            </a:r>
          </a:p>
        </c:rich>
      </c:tx>
      <c:layout>
        <c:manualLayout>
          <c:xMode val="edge"/>
          <c:yMode val="edge"/>
          <c:x val="0.34595122484689411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DENO!$D$56:$F$56</c:f>
              <c:strCache>
                <c:ptCount val="3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</c:strCache>
            </c:strRef>
          </c:cat>
          <c:val>
            <c:numRef>
              <c:f>DENO!$D$57:$F$57</c:f>
              <c:numCache>
                <c:formatCode>General</c:formatCode>
                <c:ptCount val="3"/>
                <c:pt idx="0">
                  <c:v>10</c:v>
                </c:pt>
                <c:pt idx="1">
                  <c:v>10</c:v>
                </c:pt>
                <c:pt idx="2">
                  <c:v>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1166440"/>
        <c:axId val="221166832"/>
      </c:lineChart>
      <c:catAx>
        <c:axId val="221166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1166832"/>
        <c:crosses val="autoZero"/>
        <c:auto val="1"/>
        <c:lblAlgn val="ctr"/>
        <c:lblOffset val="100"/>
        <c:noMultiLvlLbl val="0"/>
      </c:catAx>
      <c:valAx>
        <c:axId val="22116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1166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BIP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BIP!$D$26:$F$26</c:f>
              <c:strCache>
                <c:ptCount val="3"/>
                <c:pt idx="0">
                  <c:v>INC</c:v>
                </c:pt>
                <c:pt idx="1">
                  <c:v>Post-1</c:v>
                </c:pt>
                <c:pt idx="2">
                  <c:v>Post-2</c:v>
                </c:pt>
              </c:strCache>
            </c:strRef>
          </c:cat>
          <c:val>
            <c:numRef>
              <c:f>BIP!$D$27:$F$27</c:f>
              <c:numCache>
                <c:formatCode>General</c:formatCode>
                <c:ptCount val="3"/>
                <c:pt idx="0">
                  <c:v>5</c:v>
                </c:pt>
                <c:pt idx="1">
                  <c:v>5</c:v>
                </c:pt>
                <c:pt idx="2">
                  <c:v>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1167616"/>
        <c:axId val="221168008"/>
      </c:lineChart>
      <c:catAx>
        <c:axId val="22116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1168008"/>
        <c:crosses val="autoZero"/>
        <c:auto val="1"/>
        <c:lblAlgn val="ctr"/>
        <c:lblOffset val="100"/>
        <c:noMultiLvlLbl val="0"/>
      </c:catAx>
      <c:valAx>
        <c:axId val="221168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1167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19050</xdr:colOff>
      <xdr:row>12</xdr:row>
      <xdr:rowOff>23812</xdr:rowOff>
    </xdr:from>
    <xdr:to>
      <xdr:col>24</xdr:col>
      <xdr:colOff>1266825</xdr:colOff>
      <xdr:row>26</xdr:row>
      <xdr:rowOff>100012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1143000</xdr:colOff>
      <xdr:row>26</xdr:row>
      <xdr:rowOff>176212</xdr:rowOff>
    </xdr:from>
    <xdr:to>
      <xdr:col>26</xdr:col>
      <xdr:colOff>361950</xdr:colOff>
      <xdr:row>41</xdr:row>
      <xdr:rowOff>61912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552450</xdr:colOff>
      <xdr:row>26</xdr:row>
      <xdr:rowOff>61912</xdr:rowOff>
    </xdr:from>
    <xdr:to>
      <xdr:col>19</xdr:col>
      <xdr:colOff>1123950</xdr:colOff>
      <xdr:row>40</xdr:row>
      <xdr:rowOff>138112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28575</xdr:colOff>
      <xdr:row>12</xdr:row>
      <xdr:rowOff>52387</xdr:rowOff>
    </xdr:from>
    <xdr:to>
      <xdr:col>27</xdr:col>
      <xdr:colOff>723900</xdr:colOff>
      <xdr:row>26</xdr:row>
      <xdr:rowOff>128587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304800</xdr:colOff>
      <xdr:row>12</xdr:row>
      <xdr:rowOff>52387</xdr:rowOff>
    </xdr:from>
    <xdr:to>
      <xdr:col>16</xdr:col>
      <xdr:colOff>161925</xdr:colOff>
      <xdr:row>26</xdr:row>
      <xdr:rowOff>128587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704850</xdr:colOff>
      <xdr:row>12</xdr:row>
      <xdr:rowOff>14287</xdr:rowOff>
    </xdr:from>
    <xdr:to>
      <xdr:col>9</xdr:col>
      <xdr:colOff>933450</xdr:colOff>
      <xdr:row>26</xdr:row>
      <xdr:rowOff>90487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933450</xdr:colOff>
      <xdr:row>12</xdr:row>
      <xdr:rowOff>14287</xdr:rowOff>
    </xdr:from>
    <xdr:to>
      <xdr:col>11</xdr:col>
      <xdr:colOff>628650</xdr:colOff>
      <xdr:row>26</xdr:row>
      <xdr:rowOff>90487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704850</xdr:colOff>
      <xdr:row>32</xdr:row>
      <xdr:rowOff>61912</xdr:rowOff>
    </xdr:from>
    <xdr:to>
      <xdr:col>23</xdr:col>
      <xdr:colOff>38100</xdr:colOff>
      <xdr:row>46</xdr:row>
      <xdr:rowOff>138112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419100</xdr:colOff>
      <xdr:row>32</xdr:row>
      <xdr:rowOff>61912</xdr:rowOff>
    </xdr:from>
    <xdr:to>
      <xdr:col>13</xdr:col>
      <xdr:colOff>1181100</xdr:colOff>
      <xdr:row>46</xdr:row>
      <xdr:rowOff>138112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44</xdr:row>
      <xdr:rowOff>90487</xdr:rowOff>
    </xdr:from>
    <xdr:to>
      <xdr:col>6</xdr:col>
      <xdr:colOff>3686175</xdr:colOff>
      <xdr:row>58</xdr:row>
      <xdr:rowOff>166687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762000</xdr:colOff>
      <xdr:row>12</xdr:row>
      <xdr:rowOff>52387</xdr:rowOff>
    </xdr:from>
    <xdr:to>
      <xdr:col>10</xdr:col>
      <xdr:colOff>571500</xdr:colOff>
      <xdr:row>26</xdr:row>
      <xdr:rowOff>128587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fr.wikipedia.org/wiki/API_%C9%9B%CC%83" TargetMode="External"/><Relationship Id="rId1" Type="http://schemas.openxmlformats.org/officeDocument/2006/relationships/hyperlink" Target="https://fr.wikipedia.org/wiki/API_%C9%9B%CC%83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F14" sqref="F14"/>
    </sheetView>
  </sheetViews>
  <sheetFormatPr baseColWidth="10" defaultRowHeight="15" x14ac:dyDescent="0.25"/>
  <cols>
    <col min="1" max="1" width="32.85546875" customWidth="1"/>
    <col min="2" max="2" width="22.5703125" customWidth="1"/>
    <col min="3" max="3" width="36.140625" customWidth="1"/>
    <col min="4" max="4" width="18.28515625" customWidth="1"/>
    <col min="5" max="5" width="48.28515625" customWidth="1"/>
  </cols>
  <sheetData>
    <row r="1" spans="1:6" ht="18.75" x14ac:dyDescent="0.25">
      <c r="A1" s="26" t="s">
        <v>818</v>
      </c>
      <c r="C1" s="26" t="s">
        <v>819</v>
      </c>
      <c r="E1" s="26" t="s">
        <v>820</v>
      </c>
    </row>
    <row r="2" spans="1:6" ht="15.75" x14ac:dyDescent="0.25">
      <c r="A2" s="27" t="s">
        <v>821</v>
      </c>
      <c r="B2" s="28" t="s">
        <v>865</v>
      </c>
      <c r="C2" s="28" t="s">
        <v>822</v>
      </c>
      <c r="D2" s="28" t="s">
        <v>872</v>
      </c>
      <c r="E2" s="28" t="s">
        <v>823</v>
      </c>
      <c r="F2" s="28">
        <v>3</v>
      </c>
    </row>
    <row r="3" spans="1:6" ht="15.75" x14ac:dyDescent="0.25">
      <c r="A3" s="27" t="s">
        <v>824</v>
      </c>
      <c r="B3" s="28" t="s">
        <v>865</v>
      </c>
      <c r="C3" s="28" t="s">
        <v>825</v>
      </c>
      <c r="D3" s="28" t="s">
        <v>872</v>
      </c>
      <c r="E3" s="29"/>
      <c r="F3" s="36"/>
    </row>
    <row r="4" spans="1:6" ht="15.75" x14ac:dyDescent="0.25">
      <c r="A4" s="27" t="s">
        <v>826</v>
      </c>
      <c r="B4" s="28" t="s">
        <v>866</v>
      </c>
      <c r="C4" s="28" t="s">
        <v>827</v>
      </c>
      <c r="D4" s="28" t="s">
        <v>874</v>
      </c>
      <c r="E4" s="28" t="s">
        <v>828</v>
      </c>
      <c r="F4" s="28">
        <v>38</v>
      </c>
    </row>
    <row r="5" spans="1:6" ht="15.75" x14ac:dyDescent="0.25">
      <c r="A5" s="30"/>
      <c r="B5" s="31"/>
      <c r="C5" s="32" t="s">
        <v>829</v>
      </c>
      <c r="D5" s="32" t="s">
        <v>873</v>
      </c>
      <c r="E5" s="32" t="s">
        <v>830</v>
      </c>
      <c r="F5" s="32">
        <v>26</v>
      </c>
    </row>
    <row r="6" spans="1:6" ht="15.75" x14ac:dyDescent="0.25">
      <c r="A6" s="27" t="s">
        <v>831</v>
      </c>
      <c r="B6" s="28" t="s">
        <v>867</v>
      </c>
      <c r="C6" s="32" t="s">
        <v>832</v>
      </c>
      <c r="D6" s="28" t="s">
        <v>872</v>
      </c>
      <c r="E6" s="32" t="s">
        <v>833</v>
      </c>
      <c r="F6" s="28">
        <v>0</v>
      </c>
    </row>
    <row r="7" spans="1:6" ht="15.75" x14ac:dyDescent="0.25">
      <c r="A7" s="27" t="s">
        <v>834</v>
      </c>
      <c r="B7" s="33">
        <v>19196</v>
      </c>
      <c r="C7" s="34"/>
      <c r="D7" s="34"/>
      <c r="E7" s="32" t="s">
        <v>835</v>
      </c>
      <c r="F7" s="28">
        <v>16</v>
      </c>
    </row>
    <row r="8" spans="1:6" ht="15.75" x14ac:dyDescent="0.25">
      <c r="A8" s="27" t="s">
        <v>836</v>
      </c>
      <c r="B8" s="28">
        <v>66</v>
      </c>
      <c r="C8" s="35" t="s">
        <v>837</v>
      </c>
      <c r="D8" s="28"/>
      <c r="E8" s="36"/>
      <c r="F8" s="36"/>
    </row>
    <row r="9" spans="1:6" ht="15.75" x14ac:dyDescent="0.25">
      <c r="A9" s="30"/>
      <c r="B9" s="31"/>
      <c r="C9" s="32" t="s">
        <v>838</v>
      </c>
      <c r="D9" s="28">
        <v>27</v>
      </c>
      <c r="E9" s="32" t="s">
        <v>839</v>
      </c>
      <c r="F9" s="28">
        <v>11</v>
      </c>
    </row>
    <row r="10" spans="1:6" ht="15.75" x14ac:dyDescent="0.25">
      <c r="A10" s="27" t="s">
        <v>840</v>
      </c>
      <c r="B10" s="38"/>
      <c r="C10" s="32" t="s">
        <v>841</v>
      </c>
      <c r="D10" s="28">
        <v>2</v>
      </c>
      <c r="E10" s="32" t="s">
        <v>842</v>
      </c>
      <c r="F10" s="28">
        <v>5</v>
      </c>
    </row>
    <row r="11" spans="1:6" ht="15.75" x14ac:dyDescent="0.25">
      <c r="A11" s="27" t="s">
        <v>843</v>
      </c>
      <c r="B11" s="33">
        <v>43538</v>
      </c>
      <c r="C11" s="32" t="s">
        <v>844</v>
      </c>
      <c r="D11" s="28">
        <v>15</v>
      </c>
      <c r="E11" s="32" t="s">
        <v>845</v>
      </c>
      <c r="F11" s="28">
        <v>59</v>
      </c>
    </row>
    <row r="12" spans="1:6" ht="15.75" x14ac:dyDescent="0.25">
      <c r="A12" s="30"/>
      <c r="B12" s="31"/>
      <c r="C12" s="32" t="s">
        <v>846</v>
      </c>
      <c r="D12" s="28">
        <v>130</v>
      </c>
      <c r="E12" s="32" t="s">
        <v>847</v>
      </c>
      <c r="F12" s="28">
        <v>14</v>
      </c>
    </row>
    <row r="13" spans="1:6" ht="15.75" x14ac:dyDescent="0.25">
      <c r="A13" s="27" t="s">
        <v>848</v>
      </c>
      <c r="B13" s="28" t="s">
        <v>868</v>
      </c>
      <c r="C13" s="32" t="s">
        <v>849</v>
      </c>
      <c r="D13" s="28">
        <v>6</v>
      </c>
      <c r="E13" s="32" t="s">
        <v>850</v>
      </c>
      <c r="F13" s="28">
        <v>32</v>
      </c>
    </row>
    <row r="14" spans="1:6" ht="15.75" x14ac:dyDescent="0.25">
      <c r="A14" s="27" t="s">
        <v>851</v>
      </c>
      <c r="B14" s="28" t="s">
        <v>869</v>
      </c>
      <c r="C14" s="32" t="s">
        <v>852</v>
      </c>
      <c r="D14" s="28">
        <v>4</v>
      </c>
      <c r="E14" s="32" t="s">
        <v>853</v>
      </c>
      <c r="F14" s="28">
        <v>29</v>
      </c>
    </row>
    <row r="15" spans="1:6" ht="15.75" x14ac:dyDescent="0.25">
      <c r="A15" s="31"/>
      <c r="B15" s="31"/>
      <c r="C15" s="32" t="s">
        <v>854</v>
      </c>
      <c r="D15" s="28">
        <v>5</v>
      </c>
      <c r="E15" s="28"/>
      <c r="F15" s="28"/>
    </row>
    <row r="16" spans="1:6" ht="15.75" x14ac:dyDescent="0.25">
      <c r="A16" s="27" t="s">
        <v>855</v>
      </c>
      <c r="B16" s="37">
        <v>40544</v>
      </c>
      <c r="C16" s="32" t="s">
        <v>856</v>
      </c>
      <c r="D16" s="28">
        <v>4</v>
      </c>
      <c r="E16" s="28"/>
      <c r="F16" s="28"/>
    </row>
    <row r="17" spans="1:6" ht="15.75" x14ac:dyDescent="0.25">
      <c r="A17" s="27" t="s">
        <v>857</v>
      </c>
      <c r="B17" s="37">
        <v>40969</v>
      </c>
      <c r="C17" s="32" t="s">
        <v>858</v>
      </c>
      <c r="D17" s="28">
        <v>116</v>
      </c>
      <c r="E17" s="28"/>
      <c r="F17" s="28"/>
    </row>
    <row r="18" spans="1:6" ht="15.75" x14ac:dyDescent="0.25">
      <c r="A18" s="27" t="s">
        <v>859</v>
      </c>
      <c r="B18" s="28" t="s">
        <v>870</v>
      </c>
      <c r="C18" s="32" t="s">
        <v>860</v>
      </c>
      <c r="D18" s="28">
        <v>67</v>
      </c>
      <c r="E18" s="28"/>
      <c r="F18" s="28"/>
    </row>
    <row r="19" spans="1:6" ht="15.75" x14ac:dyDescent="0.25">
      <c r="A19" s="31"/>
      <c r="B19" s="31"/>
      <c r="C19" s="32" t="s">
        <v>861</v>
      </c>
      <c r="D19" s="28">
        <v>11</v>
      </c>
      <c r="E19" s="28"/>
      <c r="F19" s="28"/>
    </row>
    <row r="20" spans="1:6" ht="15.75" x14ac:dyDescent="0.25">
      <c r="A20" s="27" t="s">
        <v>862</v>
      </c>
      <c r="B20" s="28" t="s">
        <v>871</v>
      </c>
      <c r="C20" s="32" t="s">
        <v>863</v>
      </c>
      <c r="D20" s="28">
        <v>5</v>
      </c>
      <c r="E20" s="28"/>
      <c r="F20" s="28"/>
    </row>
    <row r="21" spans="1:6" ht="15.75" x14ac:dyDescent="0.25">
      <c r="A21" s="28"/>
      <c r="B21" s="28"/>
      <c r="C21" s="32" t="s">
        <v>864</v>
      </c>
      <c r="D21" s="28">
        <v>22</v>
      </c>
      <c r="E21" s="28"/>
      <c r="F21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5"/>
  <sheetViews>
    <sheetView topLeftCell="AL1" workbookViewId="0">
      <selection activeCell="AW1" sqref="AW1:BE27"/>
    </sheetView>
  </sheetViews>
  <sheetFormatPr baseColWidth="10" defaultColWidth="9.140625" defaultRowHeight="15" x14ac:dyDescent="0.25"/>
  <cols>
    <col min="1" max="1" width="14.28515625" customWidth="1"/>
    <col min="6" max="6" width="17.28515625" customWidth="1"/>
    <col min="7" max="7" width="18.42578125" customWidth="1"/>
    <col min="8" max="8" width="17.85546875" customWidth="1"/>
    <col min="9" max="9" width="19.85546875" customWidth="1"/>
    <col min="13" max="13" width="22.140625" customWidth="1"/>
    <col min="18" max="18" width="21.140625" customWidth="1"/>
    <col min="19" max="19" width="20.5703125" customWidth="1"/>
    <col min="20" max="20" width="22.7109375" customWidth="1"/>
    <col min="21" max="21" width="22.42578125" customWidth="1"/>
    <col min="25" max="25" width="21.28515625" customWidth="1"/>
    <col min="29" max="29" width="19" customWidth="1"/>
    <col min="30" max="30" width="18.7109375" customWidth="1"/>
    <col min="31" max="31" width="17.140625" customWidth="1"/>
    <col min="32" max="32" width="23.5703125" customWidth="1"/>
    <col min="33" max="33" width="28.7109375" customWidth="1"/>
    <col min="37" max="37" width="18.7109375" customWidth="1"/>
    <col min="41" max="41" width="18.28515625" customWidth="1"/>
    <col min="42" max="42" width="15.5703125" customWidth="1"/>
    <col min="43" max="43" width="17.85546875" customWidth="1"/>
    <col min="44" max="44" width="15.85546875" customWidth="1"/>
    <col min="45" max="45" width="11.85546875" customWidth="1"/>
    <col min="49" max="49" width="18.5703125" customWidth="1"/>
  </cols>
  <sheetData>
    <row r="1" spans="1:57" ht="15.75" x14ac:dyDescent="0.25">
      <c r="A1" s="1" t="s">
        <v>36</v>
      </c>
      <c r="B1" s="2" t="s">
        <v>0</v>
      </c>
      <c r="C1" s="2" t="s">
        <v>1</v>
      </c>
      <c r="D1" s="2" t="s">
        <v>2</v>
      </c>
      <c r="E1" s="2" t="s">
        <v>38</v>
      </c>
      <c r="F1" s="2" t="s">
        <v>37</v>
      </c>
      <c r="G1" s="2" t="s">
        <v>3</v>
      </c>
      <c r="H1" s="2" t="s">
        <v>4</v>
      </c>
      <c r="I1" s="2" t="s">
        <v>5</v>
      </c>
      <c r="M1" s="1" t="s">
        <v>36</v>
      </c>
      <c r="N1" s="2" t="s">
        <v>0</v>
      </c>
      <c r="O1" s="2" t="s">
        <v>1</v>
      </c>
      <c r="P1" s="2" t="s">
        <v>2</v>
      </c>
      <c r="Q1" s="2" t="s">
        <v>38</v>
      </c>
      <c r="R1" s="2" t="s">
        <v>37</v>
      </c>
      <c r="S1" s="2" t="s">
        <v>3</v>
      </c>
      <c r="T1" s="2" t="s">
        <v>4</v>
      </c>
      <c r="U1" s="2" t="s">
        <v>5</v>
      </c>
      <c r="Y1" s="1" t="s">
        <v>36</v>
      </c>
      <c r="Z1" s="2" t="s">
        <v>0</v>
      </c>
      <c r="AA1" s="2" t="s">
        <v>1</v>
      </c>
      <c r="AB1" s="2" t="s">
        <v>2</v>
      </c>
      <c r="AC1" s="2" t="s">
        <v>38</v>
      </c>
      <c r="AD1" s="2" t="s">
        <v>37</v>
      </c>
      <c r="AE1" s="2" t="s">
        <v>3</v>
      </c>
      <c r="AF1" s="2" t="s">
        <v>4</v>
      </c>
      <c r="AG1" s="2" t="s">
        <v>5</v>
      </c>
      <c r="AK1" s="1" t="s">
        <v>36</v>
      </c>
      <c r="AL1" s="2" t="s">
        <v>0</v>
      </c>
      <c r="AM1" s="2" t="s">
        <v>1</v>
      </c>
      <c r="AN1" s="2" t="s">
        <v>2</v>
      </c>
      <c r="AO1" s="2" t="s">
        <v>38</v>
      </c>
      <c r="AP1" s="2" t="s">
        <v>37</v>
      </c>
      <c r="AQ1" s="2" t="s">
        <v>3</v>
      </c>
      <c r="AR1" s="2" t="s">
        <v>4</v>
      </c>
      <c r="AS1" s="2" t="s">
        <v>5</v>
      </c>
      <c r="AW1" s="1" t="s">
        <v>36</v>
      </c>
      <c r="AX1" s="2" t="s">
        <v>0</v>
      </c>
      <c r="AY1" s="2" t="s">
        <v>1</v>
      </c>
      <c r="AZ1" s="2" t="s">
        <v>2</v>
      </c>
      <c r="BA1" s="2" t="s">
        <v>38</v>
      </c>
      <c r="BB1" s="2" t="s">
        <v>37</v>
      </c>
      <c r="BC1" s="2" t="s">
        <v>3</v>
      </c>
      <c r="BD1" s="2" t="s">
        <v>4</v>
      </c>
      <c r="BE1" s="2" t="s">
        <v>5</v>
      </c>
    </row>
    <row r="2" spans="1:57" ht="15.75" x14ac:dyDescent="0.25">
      <c r="A2" s="3" t="s">
        <v>6</v>
      </c>
      <c r="B2" s="2">
        <v>2</v>
      </c>
      <c r="C2" s="2">
        <v>1</v>
      </c>
      <c r="D2">
        <v>1</v>
      </c>
      <c r="E2" t="s">
        <v>39</v>
      </c>
      <c r="F2" t="s">
        <v>11</v>
      </c>
      <c r="G2">
        <v>1</v>
      </c>
      <c r="H2">
        <v>6049</v>
      </c>
      <c r="I2">
        <v>6049</v>
      </c>
      <c r="M2" s="3" t="s">
        <v>94</v>
      </c>
      <c r="N2">
        <v>2</v>
      </c>
      <c r="O2">
        <v>2</v>
      </c>
      <c r="P2">
        <v>1</v>
      </c>
      <c r="Q2" t="s">
        <v>39</v>
      </c>
      <c r="R2" t="s">
        <v>11</v>
      </c>
      <c r="S2">
        <v>1</v>
      </c>
      <c r="T2">
        <v>2811</v>
      </c>
      <c r="U2">
        <v>2811</v>
      </c>
      <c r="Y2" s="3" t="s">
        <v>296</v>
      </c>
      <c r="Z2">
        <v>1</v>
      </c>
      <c r="AA2">
        <v>3</v>
      </c>
      <c r="AB2">
        <v>1</v>
      </c>
      <c r="AC2" t="s">
        <v>20</v>
      </c>
      <c r="AD2" t="s">
        <v>8</v>
      </c>
      <c r="AE2" s="4">
        <v>0</v>
      </c>
      <c r="AF2" s="4">
        <v>3759</v>
      </c>
      <c r="AG2" s="4"/>
      <c r="AK2" s="3" t="s">
        <v>525</v>
      </c>
      <c r="AL2">
        <v>1</v>
      </c>
      <c r="AM2">
        <v>4</v>
      </c>
      <c r="AN2">
        <v>1</v>
      </c>
      <c r="AO2" t="s">
        <v>15</v>
      </c>
      <c r="AP2" t="s">
        <v>11</v>
      </c>
      <c r="AQ2">
        <v>1</v>
      </c>
      <c r="AR2">
        <v>4500</v>
      </c>
      <c r="AS2">
        <v>4500</v>
      </c>
      <c r="AW2" s="3" t="s">
        <v>815</v>
      </c>
      <c r="AX2">
        <v>1</v>
      </c>
      <c r="AY2">
        <v>5</v>
      </c>
      <c r="AZ2">
        <v>1</v>
      </c>
      <c r="BA2" t="s">
        <v>20</v>
      </c>
      <c r="BB2" t="s">
        <v>8</v>
      </c>
      <c r="BC2">
        <v>0</v>
      </c>
      <c r="BD2">
        <v>0</v>
      </c>
    </row>
    <row r="3" spans="1:57" ht="15.75" x14ac:dyDescent="0.25">
      <c r="A3" s="1" t="s">
        <v>9</v>
      </c>
      <c r="D3">
        <v>2</v>
      </c>
      <c r="E3" t="s">
        <v>40</v>
      </c>
      <c r="F3" t="s">
        <v>8</v>
      </c>
      <c r="G3" s="4">
        <v>0</v>
      </c>
      <c r="H3" s="4">
        <v>6193</v>
      </c>
      <c r="I3" s="4"/>
      <c r="M3" s="1" t="s">
        <v>9</v>
      </c>
      <c r="P3">
        <v>2</v>
      </c>
      <c r="Q3" t="s">
        <v>61</v>
      </c>
      <c r="R3" t="s">
        <v>8</v>
      </c>
      <c r="S3">
        <v>1</v>
      </c>
      <c r="T3">
        <v>2674</v>
      </c>
      <c r="U3">
        <v>2674</v>
      </c>
      <c r="Y3" s="1" t="s">
        <v>9</v>
      </c>
      <c r="AB3">
        <v>2</v>
      </c>
      <c r="AC3" t="s">
        <v>24</v>
      </c>
      <c r="AD3" t="s">
        <v>8</v>
      </c>
      <c r="AE3">
        <v>1</v>
      </c>
      <c r="AF3">
        <v>4138</v>
      </c>
      <c r="AG3">
        <v>4138</v>
      </c>
      <c r="AK3" s="1" t="s">
        <v>9</v>
      </c>
      <c r="AN3">
        <v>2</v>
      </c>
      <c r="AO3" t="s">
        <v>32</v>
      </c>
      <c r="AP3" t="s">
        <v>11</v>
      </c>
      <c r="AQ3" s="4">
        <v>0</v>
      </c>
      <c r="AR3" s="4">
        <v>0</v>
      </c>
      <c r="AS3" s="4"/>
      <c r="AW3" s="1" t="s">
        <v>9</v>
      </c>
      <c r="AZ3">
        <v>2</v>
      </c>
      <c r="BA3" t="s">
        <v>28</v>
      </c>
      <c r="BB3" t="s">
        <v>11</v>
      </c>
      <c r="BC3">
        <v>0</v>
      </c>
      <c r="BD3">
        <v>0</v>
      </c>
    </row>
    <row r="4" spans="1:57" ht="15.75" x14ac:dyDescent="0.25">
      <c r="A4" s="1" t="s">
        <v>65</v>
      </c>
      <c r="D4">
        <v>3</v>
      </c>
      <c r="E4" t="s">
        <v>41</v>
      </c>
      <c r="F4" t="s">
        <v>11</v>
      </c>
      <c r="G4" s="4">
        <v>0</v>
      </c>
      <c r="H4" s="4">
        <v>7473</v>
      </c>
      <c r="I4" s="4"/>
      <c r="M4" s="1" t="s">
        <v>277</v>
      </c>
      <c r="P4">
        <v>3</v>
      </c>
      <c r="Q4" t="s">
        <v>43</v>
      </c>
      <c r="R4" t="s">
        <v>11</v>
      </c>
      <c r="S4" s="4">
        <v>0</v>
      </c>
      <c r="T4" s="4">
        <v>3566</v>
      </c>
      <c r="U4" s="4"/>
      <c r="Y4" s="2" t="s">
        <v>123</v>
      </c>
      <c r="AB4">
        <v>3</v>
      </c>
      <c r="AC4" t="s">
        <v>17</v>
      </c>
      <c r="AD4" t="s">
        <v>11</v>
      </c>
      <c r="AE4">
        <v>1</v>
      </c>
      <c r="AF4">
        <v>4018</v>
      </c>
      <c r="AG4">
        <v>4018</v>
      </c>
      <c r="AK4" s="2" t="s">
        <v>591</v>
      </c>
      <c r="AN4">
        <v>3</v>
      </c>
      <c r="AO4" t="s">
        <v>14</v>
      </c>
      <c r="AP4" t="s">
        <v>11</v>
      </c>
      <c r="AQ4" s="4">
        <v>0</v>
      </c>
      <c r="AR4" s="4">
        <v>0</v>
      </c>
      <c r="AS4" s="4"/>
      <c r="AW4" s="25">
        <v>44452</v>
      </c>
      <c r="AZ4">
        <v>3</v>
      </c>
      <c r="BA4" t="s">
        <v>12</v>
      </c>
      <c r="BB4" t="s">
        <v>11</v>
      </c>
      <c r="BC4">
        <v>0</v>
      </c>
      <c r="BD4">
        <v>0</v>
      </c>
    </row>
    <row r="5" spans="1:57" x14ac:dyDescent="0.25">
      <c r="D5">
        <v>4</v>
      </c>
      <c r="E5" t="s">
        <v>42</v>
      </c>
      <c r="F5" t="s">
        <v>8</v>
      </c>
      <c r="G5">
        <v>1</v>
      </c>
      <c r="H5">
        <v>4878</v>
      </c>
      <c r="I5">
        <v>4878</v>
      </c>
      <c r="P5">
        <v>4</v>
      </c>
      <c r="Q5" t="s">
        <v>60</v>
      </c>
      <c r="R5" t="s">
        <v>8</v>
      </c>
      <c r="S5">
        <v>1</v>
      </c>
      <c r="T5">
        <v>4318</v>
      </c>
      <c r="U5">
        <v>4318</v>
      </c>
      <c r="Y5" s="2" t="s">
        <v>651</v>
      </c>
      <c r="AB5">
        <v>4</v>
      </c>
      <c r="AC5" t="s">
        <v>28</v>
      </c>
      <c r="AD5" t="s">
        <v>11</v>
      </c>
      <c r="AE5" s="4">
        <v>0</v>
      </c>
      <c r="AF5" s="4">
        <v>4719</v>
      </c>
      <c r="AG5" s="4"/>
      <c r="AK5" s="2" t="s">
        <v>648</v>
      </c>
      <c r="AN5">
        <v>4</v>
      </c>
      <c r="AO5" t="s">
        <v>20</v>
      </c>
      <c r="AP5" t="s">
        <v>8</v>
      </c>
      <c r="AQ5" s="4">
        <v>0</v>
      </c>
      <c r="AR5" s="4">
        <v>4256</v>
      </c>
      <c r="AS5" s="4"/>
      <c r="AW5" s="2" t="s">
        <v>648</v>
      </c>
      <c r="AZ5">
        <v>4</v>
      </c>
      <c r="BA5" t="s">
        <v>26</v>
      </c>
      <c r="BB5" t="s">
        <v>11</v>
      </c>
      <c r="BC5">
        <v>0</v>
      </c>
      <c r="BD5">
        <v>0</v>
      </c>
    </row>
    <row r="6" spans="1:57" x14ac:dyDescent="0.25">
      <c r="D6">
        <v>5</v>
      </c>
      <c r="E6" t="s">
        <v>43</v>
      </c>
      <c r="F6" t="s">
        <v>11</v>
      </c>
      <c r="G6" s="4">
        <v>0</v>
      </c>
      <c r="H6" s="4">
        <v>4341</v>
      </c>
      <c r="I6" s="4"/>
      <c r="P6">
        <v>5</v>
      </c>
      <c r="Q6" t="s">
        <v>46</v>
      </c>
      <c r="R6" t="s">
        <v>8</v>
      </c>
      <c r="S6" s="4">
        <v>0</v>
      </c>
      <c r="T6" s="4">
        <v>4089</v>
      </c>
      <c r="U6" s="4"/>
      <c r="AB6">
        <v>5</v>
      </c>
      <c r="AC6" t="s">
        <v>16</v>
      </c>
      <c r="AD6" t="s">
        <v>11</v>
      </c>
      <c r="AE6" s="4">
        <v>0</v>
      </c>
      <c r="AF6" s="4">
        <v>3787</v>
      </c>
      <c r="AG6" s="4"/>
      <c r="AN6">
        <v>5</v>
      </c>
      <c r="AO6" t="s">
        <v>7</v>
      </c>
      <c r="AP6" t="s">
        <v>8</v>
      </c>
      <c r="AQ6" s="4">
        <v>0</v>
      </c>
      <c r="AR6" s="4">
        <v>6934</v>
      </c>
      <c r="AS6" s="4"/>
      <c r="AZ6">
        <v>5</v>
      </c>
      <c r="BA6" t="s">
        <v>29</v>
      </c>
      <c r="BB6" t="s">
        <v>11</v>
      </c>
      <c r="BC6">
        <v>0</v>
      </c>
      <c r="BD6">
        <v>0</v>
      </c>
    </row>
    <row r="7" spans="1:57" x14ac:dyDescent="0.25">
      <c r="D7">
        <v>6</v>
      </c>
      <c r="E7" t="s">
        <v>44</v>
      </c>
      <c r="F7" t="s">
        <v>11</v>
      </c>
      <c r="G7">
        <v>1</v>
      </c>
      <c r="H7">
        <v>4502</v>
      </c>
      <c r="I7">
        <v>4502</v>
      </c>
      <c r="P7">
        <v>6</v>
      </c>
      <c r="Q7" t="s">
        <v>40</v>
      </c>
      <c r="R7" t="s">
        <v>8</v>
      </c>
      <c r="S7" s="4">
        <v>0</v>
      </c>
      <c r="T7" s="4">
        <v>5866</v>
      </c>
      <c r="U7" s="4"/>
      <c r="AB7">
        <v>6</v>
      </c>
      <c r="AC7" t="s">
        <v>10</v>
      </c>
      <c r="AD7" t="s">
        <v>11</v>
      </c>
      <c r="AE7">
        <v>1</v>
      </c>
      <c r="AF7">
        <v>4895</v>
      </c>
      <c r="AG7">
        <v>4895</v>
      </c>
      <c r="AN7">
        <v>6</v>
      </c>
      <c r="AO7" t="s">
        <v>25</v>
      </c>
      <c r="AP7" t="s">
        <v>8</v>
      </c>
      <c r="AQ7" s="4">
        <v>0</v>
      </c>
      <c r="AR7" s="4">
        <v>7538</v>
      </c>
      <c r="AS7" s="4"/>
      <c r="AZ7">
        <v>6</v>
      </c>
      <c r="BA7" t="s">
        <v>15</v>
      </c>
      <c r="BB7" t="s">
        <v>11</v>
      </c>
      <c r="BC7">
        <v>0</v>
      </c>
      <c r="BD7">
        <v>0</v>
      </c>
    </row>
    <row r="8" spans="1:57" x14ac:dyDescent="0.25">
      <c r="D8">
        <v>7</v>
      </c>
      <c r="E8" t="s">
        <v>45</v>
      </c>
      <c r="F8" t="s">
        <v>8</v>
      </c>
      <c r="G8" s="4">
        <v>0</v>
      </c>
      <c r="H8" s="4">
        <v>4170</v>
      </c>
      <c r="I8" s="4"/>
      <c r="P8">
        <v>7</v>
      </c>
      <c r="Q8" t="s">
        <v>45</v>
      </c>
      <c r="R8" t="s">
        <v>8</v>
      </c>
      <c r="S8">
        <v>1</v>
      </c>
      <c r="T8">
        <v>4382</v>
      </c>
      <c r="U8">
        <v>4382</v>
      </c>
      <c r="AB8">
        <v>7</v>
      </c>
      <c r="AC8" t="s">
        <v>7</v>
      </c>
      <c r="AD8" t="s">
        <v>8</v>
      </c>
      <c r="AE8">
        <v>1</v>
      </c>
      <c r="AF8">
        <v>3649</v>
      </c>
      <c r="AG8">
        <v>3649</v>
      </c>
      <c r="AN8">
        <v>7</v>
      </c>
      <c r="AO8" t="s">
        <v>19</v>
      </c>
      <c r="AP8" t="s">
        <v>8</v>
      </c>
      <c r="AQ8" s="4">
        <v>0</v>
      </c>
      <c r="AR8" s="4">
        <v>6763</v>
      </c>
      <c r="AS8" s="4"/>
      <c r="AZ8">
        <v>7</v>
      </c>
      <c r="BA8" t="s">
        <v>23</v>
      </c>
      <c r="BB8" t="s">
        <v>8</v>
      </c>
      <c r="BC8">
        <v>0</v>
      </c>
      <c r="BD8">
        <v>0</v>
      </c>
    </row>
    <row r="9" spans="1:57" x14ac:dyDescent="0.25">
      <c r="D9">
        <v>8</v>
      </c>
      <c r="E9" t="s">
        <v>46</v>
      </c>
      <c r="F9" t="s">
        <v>8</v>
      </c>
      <c r="G9">
        <v>1</v>
      </c>
      <c r="H9">
        <v>4597</v>
      </c>
      <c r="I9">
        <v>4597</v>
      </c>
      <c r="P9">
        <v>8</v>
      </c>
      <c r="Q9" t="s">
        <v>53</v>
      </c>
      <c r="R9" t="s">
        <v>8</v>
      </c>
      <c r="S9">
        <v>1</v>
      </c>
      <c r="T9">
        <v>6054</v>
      </c>
      <c r="U9">
        <v>6054</v>
      </c>
      <c r="AB9">
        <v>8</v>
      </c>
      <c r="AC9" t="s">
        <v>18</v>
      </c>
      <c r="AD9" t="s">
        <v>8</v>
      </c>
      <c r="AE9" s="4">
        <v>0</v>
      </c>
      <c r="AF9" s="4">
        <v>3685</v>
      </c>
      <c r="AG9" s="4"/>
      <c r="AN9">
        <v>8</v>
      </c>
      <c r="AO9" t="s">
        <v>33</v>
      </c>
      <c r="AP9" t="s">
        <v>11</v>
      </c>
      <c r="AQ9" s="4">
        <v>0</v>
      </c>
      <c r="AR9" s="4">
        <v>5848</v>
      </c>
      <c r="AS9" s="4"/>
      <c r="AZ9">
        <v>8</v>
      </c>
      <c r="BA9" t="s">
        <v>19</v>
      </c>
      <c r="BB9" t="s">
        <v>8</v>
      </c>
      <c r="BC9">
        <v>0</v>
      </c>
      <c r="BD9">
        <v>0</v>
      </c>
    </row>
    <row r="10" spans="1:57" x14ac:dyDescent="0.25">
      <c r="D10">
        <v>9</v>
      </c>
      <c r="E10" t="s">
        <v>47</v>
      </c>
      <c r="F10" t="s">
        <v>11</v>
      </c>
      <c r="G10">
        <v>1</v>
      </c>
      <c r="H10">
        <v>6890</v>
      </c>
      <c r="I10">
        <v>6890</v>
      </c>
      <c r="P10">
        <v>9</v>
      </c>
      <c r="Q10" t="s">
        <v>41</v>
      </c>
      <c r="R10" t="s">
        <v>11</v>
      </c>
      <c r="S10">
        <v>1</v>
      </c>
      <c r="T10">
        <v>3502</v>
      </c>
      <c r="U10">
        <v>3502</v>
      </c>
      <c r="AB10">
        <v>9</v>
      </c>
      <c r="AC10" t="s">
        <v>27</v>
      </c>
      <c r="AD10" t="s">
        <v>8</v>
      </c>
      <c r="AE10">
        <v>1</v>
      </c>
      <c r="AF10">
        <v>3207</v>
      </c>
      <c r="AG10">
        <v>3207</v>
      </c>
      <c r="AN10">
        <v>9</v>
      </c>
      <c r="AO10" t="s">
        <v>16</v>
      </c>
      <c r="AP10" t="s">
        <v>11</v>
      </c>
      <c r="AQ10">
        <v>1</v>
      </c>
      <c r="AR10">
        <v>5526</v>
      </c>
      <c r="AS10">
        <v>5526</v>
      </c>
      <c r="AZ10">
        <v>9</v>
      </c>
      <c r="BA10" t="s">
        <v>14</v>
      </c>
      <c r="BB10" t="s">
        <v>11</v>
      </c>
      <c r="BC10">
        <v>0</v>
      </c>
      <c r="BD10">
        <v>0</v>
      </c>
    </row>
    <row r="11" spans="1:57" x14ac:dyDescent="0.25">
      <c r="D11">
        <v>10</v>
      </c>
      <c r="E11" t="s">
        <v>48</v>
      </c>
      <c r="F11" t="s">
        <v>11</v>
      </c>
      <c r="G11" s="4">
        <v>0</v>
      </c>
      <c r="H11" s="4">
        <v>5806</v>
      </c>
      <c r="I11" s="4"/>
      <c r="P11">
        <v>10</v>
      </c>
      <c r="Q11" t="s">
        <v>49</v>
      </c>
      <c r="R11" t="s">
        <v>8</v>
      </c>
      <c r="S11">
        <v>1</v>
      </c>
      <c r="T11">
        <v>4089</v>
      </c>
      <c r="U11">
        <v>4089</v>
      </c>
      <c r="AB11">
        <v>10</v>
      </c>
      <c r="AC11" t="s">
        <v>23</v>
      </c>
      <c r="AD11" t="s">
        <v>8</v>
      </c>
      <c r="AE11">
        <v>1</v>
      </c>
      <c r="AF11">
        <v>3113</v>
      </c>
      <c r="AG11">
        <v>3113</v>
      </c>
      <c r="AN11">
        <v>10</v>
      </c>
      <c r="AO11" t="s">
        <v>35</v>
      </c>
      <c r="AP11" t="s">
        <v>11</v>
      </c>
      <c r="AQ11" s="4">
        <v>0</v>
      </c>
      <c r="AR11" s="4">
        <v>0</v>
      </c>
      <c r="AS11" s="4"/>
      <c r="AZ11">
        <v>10</v>
      </c>
      <c r="BA11" t="s">
        <v>33</v>
      </c>
      <c r="BB11" t="s">
        <v>11</v>
      </c>
      <c r="BC11">
        <v>0</v>
      </c>
      <c r="BD11">
        <v>0</v>
      </c>
    </row>
    <row r="12" spans="1:57" x14ac:dyDescent="0.25">
      <c r="D12">
        <v>11</v>
      </c>
      <c r="E12" t="s">
        <v>49</v>
      </c>
      <c r="F12" t="s">
        <v>8</v>
      </c>
      <c r="G12" s="4">
        <v>0</v>
      </c>
      <c r="H12" s="4">
        <v>0</v>
      </c>
      <c r="I12" s="4"/>
      <c r="P12">
        <v>11</v>
      </c>
      <c r="Q12" t="s">
        <v>62</v>
      </c>
      <c r="R12" t="s">
        <v>11</v>
      </c>
      <c r="S12">
        <v>1</v>
      </c>
      <c r="T12">
        <v>3600</v>
      </c>
      <c r="U12">
        <v>3600</v>
      </c>
      <c r="AB12">
        <v>11</v>
      </c>
      <c r="AC12" t="s">
        <v>25</v>
      </c>
      <c r="AD12" t="s">
        <v>8</v>
      </c>
      <c r="AE12" s="4">
        <v>0</v>
      </c>
      <c r="AF12" s="4">
        <v>3444</v>
      </c>
      <c r="AG12" s="4"/>
      <c r="AN12">
        <v>11</v>
      </c>
      <c r="AO12" t="s">
        <v>29</v>
      </c>
      <c r="AP12" t="s">
        <v>11</v>
      </c>
      <c r="AQ12">
        <v>1</v>
      </c>
      <c r="AR12">
        <v>7427</v>
      </c>
      <c r="AS12">
        <v>7427</v>
      </c>
      <c r="AZ12">
        <v>11</v>
      </c>
      <c r="BA12" t="s">
        <v>10</v>
      </c>
      <c r="BB12" t="s">
        <v>11</v>
      </c>
      <c r="BC12">
        <v>0</v>
      </c>
      <c r="BD12">
        <v>0</v>
      </c>
    </row>
    <row r="13" spans="1:57" x14ac:dyDescent="0.25">
      <c r="D13">
        <v>12</v>
      </c>
      <c r="E13" t="s">
        <v>50</v>
      </c>
      <c r="F13" t="s">
        <v>11</v>
      </c>
      <c r="G13">
        <v>1</v>
      </c>
      <c r="H13">
        <v>4215</v>
      </c>
      <c r="I13">
        <v>4215</v>
      </c>
      <c r="P13">
        <v>12</v>
      </c>
      <c r="Q13" t="s">
        <v>48</v>
      </c>
      <c r="R13" t="s">
        <v>11</v>
      </c>
      <c r="S13" s="4">
        <v>0</v>
      </c>
      <c r="T13" s="4">
        <v>3825</v>
      </c>
      <c r="U13" s="4"/>
      <c r="AB13">
        <v>12</v>
      </c>
      <c r="AC13" t="s">
        <v>31</v>
      </c>
      <c r="AD13" t="s">
        <v>8</v>
      </c>
      <c r="AE13">
        <v>1</v>
      </c>
      <c r="AF13">
        <v>4055</v>
      </c>
      <c r="AG13">
        <v>4055</v>
      </c>
      <c r="AN13">
        <v>12</v>
      </c>
      <c r="AO13" t="s">
        <v>12</v>
      </c>
      <c r="AP13" t="s">
        <v>11</v>
      </c>
      <c r="AQ13" s="4">
        <v>0</v>
      </c>
      <c r="AR13" s="4">
        <v>0</v>
      </c>
      <c r="AS13" s="4"/>
      <c r="AZ13">
        <v>12</v>
      </c>
      <c r="BA13" t="s">
        <v>7</v>
      </c>
      <c r="BB13" t="s">
        <v>8</v>
      </c>
      <c r="BC13">
        <v>0</v>
      </c>
      <c r="BD13">
        <v>0</v>
      </c>
    </row>
    <row r="14" spans="1:57" x14ac:dyDescent="0.25">
      <c r="D14">
        <v>13</v>
      </c>
      <c r="E14" t="s">
        <v>51</v>
      </c>
      <c r="F14" t="s">
        <v>11</v>
      </c>
      <c r="G14" s="4">
        <v>0</v>
      </c>
      <c r="H14" s="4">
        <v>3465</v>
      </c>
      <c r="I14" s="4"/>
      <c r="P14">
        <v>13</v>
      </c>
      <c r="Q14" t="s">
        <v>64</v>
      </c>
      <c r="R14" t="s">
        <v>8</v>
      </c>
      <c r="S14">
        <v>1</v>
      </c>
      <c r="T14">
        <v>4098</v>
      </c>
      <c r="U14">
        <v>4098</v>
      </c>
      <c r="AB14">
        <v>13</v>
      </c>
      <c r="AC14" t="s">
        <v>29</v>
      </c>
      <c r="AD14" t="s">
        <v>11</v>
      </c>
      <c r="AE14" s="4">
        <v>0</v>
      </c>
      <c r="AF14" s="4">
        <v>4524</v>
      </c>
      <c r="AG14" s="4"/>
      <c r="AN14">
        <v>13</v>
      </c>
      <c r="AO14" t="s">
        <v>17</v>
      </c>
      <c r="AP14" t="s">
        <v>11</v>
      </c>
      <c r="AQ14">
        <v>1</v>
      </c>
      <c r="AR14">
        <v>4356</v>
      </c>
      <c r="AS14">
        <v>4356</v>
      </c>
      <c r="AZ14">
        <v>13</v>
      </c>
      <c r="BA14" t="s">
        <v>27</v>
      </c>
      <c r="BB14" t="s">
        <v>8</v>
      </c>
      <c r="BC14">
        <v>0</v>
      </c>
      <c r="BD14">
        <v>0</v>
      </c>
    </row>
    <row r="15" spans="1:57" x14ac:dyDescent="0.25">
      <c r="D15">
        <v>14</v>
      </c>
      <c r="E15" t="s">
        <v>52</v>
      </c>
      <c r="F15" t="s">
        <v>8</v>
      </c>
      <c r="G15" s="7">
        <v>1</v>
      </c>
      <c r="H15" s="7">
        <v>3581</v>
      </c>
      <c r="I15" s="7">
        <v>3581</v>
      </c>
      <c r="P15">
        <v>14</v>
      </c>
      <c r="Q15" t="s">
        <v>54</v>
      </c>
      <c r="R15" t="s">
        <v>11</v>
      </c>
      <c r="S15">
        <v>1</v>
      </c>
      <c r="T15">
        <v>5594</v>
      </c>
      <c r="U15">
        <v>5594</v>
      </c>
      <c r="AB15">
        <v>14</v>
      </c>
      <c r="AC15" t="s">
        <v>19</v>
      </c>
      <c r="AD15" t="s">
        <v>8</v>
      </c>
      <c r="AE15">
        <v>1</v>
      </c>
      <c r="AF15">
        <v>3728</v>
      </c>
      <c r="AG15">
        <v>3728</v>
      </c>
      <c r="AN15">
        <v>14</v>
      </c>
      <c r="AO15" t="s">
        <v>31</v>
      </c>
      <c r="AP15" t="s">
        <v>8</v>
      </c>
      <c r="AQ15">
        <v>1</v>
      </c>
      <c r="AR15">
        <v>7791</v>
      </c>
      <c r="AS15">
        <v>7791</v>
      </c>
      <c r="AZ15">
        <v>14</v>
      </c>
      <c r="BA15" t="s">
        <v>22</v>
      </c>
      <c r="BB15" t="s">
        <v>8</v>
      </c>
      <c r="BC15">
        <v>0</v>
      </c>
      <c r="BD15">
        <v>0</v>
      </c>
    </row>
    <row r="16" spans="1:57" x14ac:dyDescent="0.25">
      <c r="D16">
        <v>15</v>
      </c>
      <c r="E16" t="s">
        <v>53</v>
      </c>
      <c r="F16" t="s">
        <v>8</v>
      </c>
      <c r="G16" s="4">
        <v>0</v>
      </c>
      <c r="H16" s="4">
        <v>3610</v>
      </c>
      <c r="I16" s="4"/>
      <c r="P16">
        <v>15</v>
      </c>
      <c r="Q16" t="s">
        <v>50</v>
      </c>
      <c r="R16" t="s">
        <v>11</v>
      </c>
      <c r="S16" s="4">
        <v>0</v>
      </c>
      <c r="T16" s="4">
        <v>3294</v>
      </c>
      <c r="U16" s="4"/>
      <c r="AB16">
        <v>15</v>
      </c>
      <c r="AC16" t="s">
        <v>26</v>
      </c>
      <c r="AD16" t="s">
        <v>11</v>
      </c>
      <c r="AE16">
        <v>1</v>
      </c>
      <c r="AF16">
        <v>5744</v>
      </c>
      <c r="AG16">
        <v>5744</v>
      </c>
      <c r="AN16">
        <v>15</v>
      </c>
      <c r="AO16" t="s">
        <v>10</v>
      </c>
      <c r="AP16" t="s">
        <v>11</v>
      </c>
      <c r="AQ16">
        <v>1</v>
      </c>
      <c r="AR16">
        <v>7731</v>
      </c>
      <c r="AS16">
        <v>7731</v>
      </c>
      <c r="AZ16">
        <v>15</v>
      </c>
      <c r="BA16" t="s">
        <v>30</v>
      </c>
      <c r="BB16" t="s">
        <v>8</v>
      </c>
      <c r="BC16" s="4">
        <v>1</v>
      </c>
      <c r="BD16" s="4">
        <v>6534</v>
      </c>
    </row>
    <row r="17" spans="4:56" x14ac:dyDescent="0.25">
      <c r="D17">
        <v>16</v>
      </c>
      <c r="E17" t="s">
        <v>54</v>
      </c>
      <c r="F17" t="s">
        <v>11</v>
      </c>
      <c r="G17">
        <v>1</v>
      </c>
      <c r="H17">
        <v>3853</v>
      </c>
      <c r="I17">
        <v>3853</v>
      </c>
      <c r="P17">
        <v>16</v>
      </c>
      <c r="Q17" t="s">
        <v>57</v>
      </c>
      <c r="R17" t="s">
        <v>8</v>
      </c>
      <c r="S17">
        <v>1</v>
      </c>
      <c r="T17">
        <v>3817</v>
      </c>
      <c r="U17">
        <v>3817</v>
      </c>
      <c r="AB17">
        <v>16</v>
      </c>
      <c r="AC17" t="s">
        <v>21</v>
      </c>
      <c r="AD17" t="s">
        <v>11</v>
      </c>
      <c r="AE17">
        <v>1</v>
      </c>
      <c r="AF17">
        <v>4338</v>
      </c>
      <c r="AG17">
        <v>4338</v>
      </c>
      <c r="AN17">
        <v>16</v>
      </c>
      <c r="AO17" t="s">
        <v>23</v>
      </c>
      <c r="AP17" t="s">
        <v>8</v>
      </c>
      <c r="AQ17" s="4">
        <v>0</v>
      </c>
      <c r="AR17" s="4">
        <v>6715</v>
      </c>
      <c r="AS17" s="4"/>
      <c r="AZ17">
        <v>16</v>
      </c>
      <c r="BA17" t="s">
        <v>18</v>
      </c>
      <c r="BB17" t="s">
        <v>8</v>
      </c>
      <c r="BC17">
        <v>0</v>
      </c>
      <c r="BD17">
        <v>0</v>
      </c>
    </row>
    <row r="18" spans="4:56" x14ac:dyDescent="0.25">
      <c r="D18">
        <v>17</v>
      </c>
      <c r="E18" t="s">
        <v>55</v>
      </c>
      <c r="F18" t="s">
        <v>11</v>
      </c>
      <c r="G18" s="4">
        <v>0</v>
      </c>
      <c r="H18" s="4">
        <v>5545</v>
      </c>
      <c r="I18" s="4"/>
      <c r="P18">
        <v>17</v>
      </c>
      <c r="Q18" t="s">
        <v>55</v>
      </c>
      <c r="R18" t="s">
        <v>11</v>
      </c>
      <c r="S18" s="4">
        <v>0</v>
      </c>
      <c r="T18" s="4">
        <v>4611</v>
      </c>
      <c r="U18" s="4"/>
      <c r="AB18">
        <v>17</v>
      </c>
      <c r="AC18" t="s">
        <v>12</v>
      </c>
      <c r="AD18" t="s">
        <v>11</v>
      </c>
      <c r="AE18">
        <v>1</v>
      </c>
      <c r="AF18">
        <v>4638</v>
      </c>
      <c r="AG18">
        <v>4638</v>
      </c>
      <c r="AN18">
        <v>17</v>
      </c>
      <c r="AO18" t="s">
        <v>18</v>
      </c>
      <c r="AP18" t="s">
        <v>8</v>
      </c>
      <c r="AQ18">
        <v>1</v>
      </c>
      <c r="AR18">
        <v>3731</v>
      </c>
      <c r="AS18">
        <v>3731</v>
      </c>
      <c r="AZ18">
        <v>17</v>
      </c>
      <c r="BA18" t="s">
        <v>21</v>
      </c>
      <c r="BB18" t="s">
        <v>11</v>
      </c>
      <c r="BC18">
        <v>0</v>
      </c>
      <c r="BD18">
        <v>0</v>
      </c>
    </row>
    <row r="19" spans="4:56" x14ac:dyDescent="0.25">
      <c r="D19">
        <v>18</v>
      </c>
      <c r="E19" t="s">
        <v>56</v>
      </c>
      <c r="F19" t="s">
        <v>11</v>
      </c>
      <c r="G19">
        <v>1</v>
      </c>
      <c r="H19">
        <v>4753</v>
      </c>
      <c r="I19">
        <v>4753</v>
      </c>
      <c r="P19">
        <v>18</v>
      </c>
      <c r="Q19" t="s">
        <v>44</v>
      </c>
      <c r="R19" t="s">
        <v>11</v>
      </c>
      <c r="S19" s="4">
        <v>0</v>
      </c>
      <c r="T19" s="4">
        <v>3065</v>
      </c>
      <c r="U19" s="4"/>
      <c r="AB19">
        <v>18</v>
      </c>
      <c r="AC19" t="s">
        <v>34</v>
      </c>
      <c r="AD19" t="s">
        <v>8</v>
      </c>
      <c r="AE19" s="4">
        <v>0</v>
      </c>
      <c r="AF19" s="4">
        <v>4248</v>
      </c>
      <c r="AG19" s="4"/>
      <c r="AN19">
        <v>18</v>
      </c>
      <c r="AO19" t="s">
        <v>24</v>
      </c>
      <c r="AP19" t="s">
        <v>8</v>
      </c>
      <c r="AQ19">
        <v>1</v>
      </c>
      <c r="AR19">
        <v>7638</v>
      </c>
      <c r="AS19">
        <v>7638</v>
      </c>
      <c r="AZ19">
        <v>18</v>
      </c>
      <c r="BA19" t="s">
        <v>13</v>
      </c>
      <c r="BB19" t="s">
        <v>8</v>
      </c>
      <c r="BC19">
        <v>0</v>
      </c>
      <c r="BD19">
        <v>0</v>
      </c>
    </row>
    <row r="20" spans="4:56" x14ac:dyDescent="0.25">
      <c r="D20">
        <v>19</v>
      </c>
      <c r="E20" t="s">
        <v>57</v>
      </c>
      <c r="F20" t="s">
        <v>8</v>
      </c>
      <c r="G20" s="4">
        <v>0</v>
      </c>
      <c r="H20" s="4">
        <v>5753</v>
      </c>
      <c r="I20" s="4"/>
      <c r="P20">
        <v>19</v>
      </c>
      <c r="Q20" t="s">
        <v>47</v>
      </c>
      <c r="R20" t="s">
        <v>11</v>
      </c>
      <c r="S20">
        <v>1</v>
      </c>
      <c r="T20">
        <v>3754</v>
      </c>
      <c r="U20">
        <v>3754</v>
      </c>
      <c r="AB20">
        <v>19</v>
      </c>
      <c r="AC20" t="s">
        <v>14</v>
      </c>
      <c r="AD20" t="s">
        <v>11</v>
      </c>
      <c r="AE20" s="4">
        <v>0</v>
      </c>
      <c r="AF20" s="4">
        <v>4096</v>
      </c>
      <c r="AG20" s="4"/>
      <c r="AN20">
        <v>19</v>
      </c>
      <c r="AO20" t="s">
        <v>27</v>
      </c>
      <c r="AP20" t="s">
        <v>8</v>
      </c>
      <c r="AQ20">
        <v>1</v>
      </c>
      <c r="AR20">
        <v>6299</v>
      </c>
      <c r="AS20">
        <v>6299</v>
      </c>
      <c r="AZ20">
        <v>19</v>
      </c>
      <c r="BA20" t="s">
        <v>16</v>
      </c>
      <c r="BB20" t="s">
        <v>11</v>
      </c>
      <c r="BC20">
        <v>0</v>
      </c>
      <c r="BD20">
        <v>0</v>
      </c>
    </row>
    <row r="21" spans="4:56" x14ac:dyDescent="0.25">
      <c r="D21">
        <v>20</v>
      </c>
      <c r="E21" t="s">
        <v>58</v>
      </c>
      <c r="F21" t="s">
        <v>8</v>
      </c>
      <c r="G21" s="4">
        <v>0</v>
      </c>
      <c r="H21" s="4">
        <v>5186</v>
      </c>
      <c r="I21" s="4"/>
      <c r="P21">
        <v>20</v>
      </c>
      <c r="Q21" t="s">
        <v>59</v>
      </c>
      <c r="R21" t="s">
        <v>11</v>
      </c>
      <c r="S21">
        <v>1</v>
      </c>
      <c r="T21">
        <v>3403</v>
      </c>
      <c r="U21">
        <v>3403</v>
      </c>
      <c r="AB21">
        <v>20</v>
      </c>
      <c r="AC21" t="s">
        <v>30</v>
      </c>
      <c r="AD21" t="s">
        <v>8</v>
      </c>
      <c r="AE21" s="4">
        <v>0</v>
      </c>
      <c r="AF21" s="4">
        <v>4027</v>
      </c>
      <c r="AG21" s="4"/>
      <c r="AN21">
        <v>20</v>
      </c>
      <c r="AO21" t="s">
        <v>22</v>
      </c>
      <c r="AP21" t="s">
        <v>8</v>
      </c>
      <c r="AQ21" s="4">
        <v>0</v>
      </c>
      <c r="AR21" s="4">
        <v>6178</v>
      </c>
      <c r="AS21" s="4"/>
      <c r="AZ21">
        <v>20</v>
      </c>
      <c r="BA21" t="s">
        <v>35</v>
      </c>
      <c r="BB21" t="s">
        <v>11</v>
      </c>
      <c r="BC21">
        <v>0</v>
      </c>
      <c r="BD21">
        <v>0</v>
      </c>
    </row>
    <row r="22" spans="4:56" x14ac:dyDescent="0.25">
      <c r="D22">
        <v>21</v>
      </c>
      <c r="E22" t="s">
        <v>59</v>
      </c>
      <c r="F22" t="s">
        <v>11</v>
      </c>
      <c r="G22">
        <v>1</v>
      </c>
      <c r="H22">
        <v>5247</v>
      </c>
      <c r="I22">
        <v>5247</v>
      </c>
      <c r="P22">
        <v>21</v>
      </c>
      <c r="Q22" t="s">
        <v>58</v>
      </c>
      <c r="R22" t="s">
        <v>8</v>
      </c>
      <c r="S22" s="4">
        <v>0</v>
      </c>
      <c r="T22" s="4">
        <v>3465</v>
      </c>
      <c r="U22" s="4"/>
      <c r="AB22">
        <v>21</v>
      </c>
      <c r="AC22" t="s">
        <v>15</v>
      </c>
      <c r="AD22" t="s">
        <v>11</v>
      </c>
      <c r="AE22">
        <v>1</v>
      </c>
      <c r="AF22">
        <v>4398</v>
      </c>
      <c r="AG22">
        <v>4398</v>
      </c>
      <c r="AN22">
        <v>21</v>
      </c>
      <c r="AO22" t="s">
        <v>13</v>
      </c>
      <c r="AP22" t="s">
        <v>8</v>
      </c>
      <c r="AQ22" s="4">
        <v>0</v>
      </c>
      <c r="AR22" s="4">
        <v>0</v>
      </c>
      <c r="AS22" s="4"/>
      <c r="AZ22">
        <v>21</v>
      </c>
      <c r="BA22" t="s">
        <v>32</v>
      </c>
      <c r="BB22" t="s">
        <v>11</v>
      </c>
      <c r="BC22">
        <v>0</v>
      </c>
      <c r="BD22">
        <v>0</v>
      </c>
    </row>
    <row r="23" spans="4:56" x14ac:dyDescent="0.25">
      <c r="D23">
        <v>22</v>
      </c>
      <c r="E23" t="s">
        <v>60</v>
      </c>
      <c r="F23" t="s">
        <v>8</v>
      </c>
      <c r="G23">
        <v>1</v>
      </c>
      <c r="H23">
        <v>7277</v>
      </c>
      <c r="I23">
        <v>7277</v>
      </c>
      <c r="P23">
        <v>22</v>
      </c>
      <c r="Q23" t="s">
        <v>42</v>
      </c>
      <c r="R23" t="s">
        <v>8</v>
      </c>
      <c r="S23">
        <v>1</v>
      </c>
      <c r="T23">
        <v>4544</v>
      </c>
      <c r="U23">
        <v>4544</v>
      </c>
      <c r="AB23">
        <v>22</v>
      </c>
      <c r="AC23" t="s">
        <v>33</v>
      </c>
      <c r="AD23" t="s">
        <v>11</v>
      </c>
      <c r="AE23" s="4">
        <v>0</v>
      </c>
      <c r="AF23" s="4">
        <v>4439</v>
      </c>
      <c r="AG23" s="4"/>
      <c r="AN23">
        <v>22</v>
      </c>
      <c r="AO23" t="s">
        <v>30</v>
      </c>
      <c r="AP23" t="s">
        <v>8</v>
      </c>
      <c r="AQ23">
        <v>1</v>
      </c>
      <c r="AR23">
        <v>6766</v>
      </c>
      <c r="AS23">
        <v>6766</v>
      </c>
      <c r="AZ23">
        <v>22</v>
      </c>
      <c r="BA23" t="s">
        <v>31</v>
      </c>
      <c r="BB23" t="s">
        <v>8</v>
      </c>
      <c r="BC23" s="4">
        <v>1</v>
      </c>
      <c r="BD23" s="4">
        <v>5781</v>
      </c>
    </row>
    <row r="24" spans="4:56" x14ac:dyDescent="0.25">
      <c r="D24">
        <v>23</v>
      </c>
      <c r="E24" t="s">
        <v>61</v>
      </c>
      <c r="F24" t="s">
        <v>8</v>
      </c>
      <c r="G24" s="7">
        <v>1</v>
      </c>
      <c r="H24" s="7">
        <v>4377</v>
      </c>
      <c r="I24" s="7">
        <v>4377</v>
      </c>
      <c r="P24">
        <v>23</v>
      </c>
      <c r="Q24" t="s">
        <v>52</v>
      </c>
      <c r="R24" t="s">
        <v>8</v>
      </c>
      <c r="S24">
        <v>1</v>
      </c>
      <c r="T24">
        <v>2508</v>
      </c>
      <c r="U24">
        <v>2508</v>
      </c>
      <c r="AB24">
        <v>23</v>
      </c>
      <c r="AC24" t="s">
        <v>32</v>
      </c>
      <c r="AD24" t="s">
        <v>11</v>
      </c>
      <c r="AE24">
        <v>1</v>
      </c>
      <c r="AF24">
        <v>4903</v>
      </c>
      <c r="AG24">
        <v>4903</v>
      </c>
      <c r="AN24">
        <v>23</v>
      </c>
      <c r="AO24" t="s">
        <v>34</v>
      </c>
      <c r="AP24" t="s">
        <v>8</v>
      </c>
      <c r="AQ24">
        <v>1</v>
      </c>
      <c r="AR24">
        <v>4589</v>
      </c>
      <c r="AS24">
        <v>4589</v>
      </c>
      <c r="AZ24">
        <v>23</v>
      </c>
      <c r="BA24" t="s">
        <v>25</v>
      </c>
      <c r="BB24" t="s">
        <v>8</v>
      </c>
      <c r="BC24">
        <v>0</v>
      </c>
      <c r="BD24">
        <v>0</v>
      </c>
    </row>
    <row r="25" spans="4:56" x14ac:dyDescent="0.25">
      <c r="D25">
        <v>24</v>
      </c>
      <c r="E25" t="s">
        <v>62</v>
      </c>
      <c r="F25" t="s">
        <v>11</v>
      </c>
      <c r="G25" s="4">
        <v>0</v>
      </c>
      <c r="H25" s="4">
        <v>4652</v>
      </c>
      <c r="I25" s="4"/>
      <c r="P25">
        <v>24</v>
      </c>
      <c r="Q25" t="s">
        <v>56</v>
      </c>
      <c r="R25" t="s">
        <v>11</v>
      </c>
      <c r="S25" s="4">
        <v>0</v>
      </c>
      <c r="T25" s="4">
        <v>2718</v>
      </c>
      <c r="U25" s="4"/>
      <c r="AB25">
        <v>24</v>
      </c>
      <c r="AC25" t="s">
        <v>13</v>
      </c>
      <c r="AD25" t="s">
        <v>8</v>
      </c>
      <c r="AE25" s="4">
        <v>0</v>
      </c>
      <c r="AF25" s="4">
        <v>4224</v>
      </c>
      <c r="AG25" s="4"/>
      <c r="AN25">
        <v>24</v>
      </c>
      <c r="AO25" t="s">
        <v>28</v>
      </c>
      <c r="AP25" t="s">
        <v>11</v>
      </c>
      <c r="AQ25">
        <v>1</v>
      </c>
      <c r="AR25">
        <v>4007</v>
      </c>
      <c r="AS25">
        <v>4007</v>
      </c>
      <c r="AZ25">
        <v>24</v>
      </c>
      <c r="BA25" t="s">
        <v>24</v>
      </c>
      <c r="BB25" t="s">
        <v>8</v>
      </c>
      <c r="BC25">
        <v>0</v>
      </c>
      <c r="BD25">
        <v>0</v>
      </c>
    </row>
    <row r="26" spans="4:56" x14ac:dyDescent="0.25">
      <c r="D26">
        <v>25</v>
      </c>
      <c r="E26" t="s">
        <v>63</v>
      </c>
      <c r="F26" t="s">
        <v>8</v>
      </c>
      <c r="G26" s="4">
        <v>0</v>
      </c>
      <c r="H26" s="4">
        <v>4735</v>
      </c>
      <c r="I26" s="4"/>
      <c r="P26">
        <v>25</v>
      </c>
      <c r="Q26" t="s">
        <v>51</v>
      </c>
      <c r="R26" t="s">
        <v>11</v>
      </c>
      <c r="S26" s="4">
        <v>0</v>
      </c>
      <c r="T26" s="4">
        <v>3136</v>
      </c>
      <c r="U26" s="4"/>
      <c r="AB26">
        <v>25</v>
      </c>
      <c r="AC26" t="s">
        <v>35</v>
      </c>
      <c r="AD26" t="s">
        <v>11</v>
      </c>
      <c r="AE26">
        <v>1</v>
      </c>
      <c r="AF26">
        <v>3618</v>
      </c>
      <c r="AG26">
        <v>3618</v>
      </c>
      <c r="AN26">
        <v>25</v>
      </c>
      <c r="AO26" t="s">
        <v>21</v>
      </c>
      <c r="AP26" t="s">
        <v>11</v>
      </c>
      <c r="AQ26" s="4">
        <v>0</v>
      </c>
      <c r="AR26" s="4">
        <v>4910</v>
      </c>
      <c r="AS26" s="4"/>
      <c r="AZ26">
        <v>25</v>
      </c>
      <c r="BA26" t="s">
        <v>34</v>
      </c>
      <c r="BB26" t="s">
        <v>8</v>
      </c>
      <c r="BC26">
        <v>0</v>
      </c>
      <c r="BD26">
        <v>0</v>
      </c>
    </row>
    <row r="27" spans="4:56" x14ac:dyDescent="0.25">
      <c r="D27">
        <v>26</v>
      </c>
      <c r="E27" t="s">
        <v>64</v>
      </c>
      <c r="F27" t="s">
        <v>8</v>
      </c>
      <c r="G27" s="4">
        <v>0</v>
      </c>
      <c r="H27" s="4">
        <v>3420</v>
      </c>
      <c r="I27" s="4"/>
      <c r="P27">
        <v>26</v>
      </c>
      <c r="Q27" t="s">
        <v>63</v>
      </c>
      <c r="R27" t="s">
        <v>8</v>
      </c>
      <c r="S27">
        <v>1</v>
      </c>
      <c r="T27">
        <v>3927</v>
      </c>
      <c r="U27">
        <v>3927</v>
      </c>
      <c r="AB27">
        <v>26</v>
      </c>
      <c r="AC27" t="s">
        <v>22</v>
      </c>
      <c r="AD27" t="s">
        <v>8</v>
      </c>
      <c r="AE27" s="4">
        <v>0</v>
      </c>
      <c r="AF27" s="4">
        <v>4556</v>
      </c>
      <c r="AG27" s="4"/>
      <c r="AN27">
        <v>26</v>
      </c>
      <c r="AO27" t="s">
        <v>26</v>
      </c>
      <c r="AP27" t="s">
        <v>11</v>
      </c>
      <c r="AQ27" s="4">
        <v>0</v>
      </c>
      <c r="AR27" s="4">
        <v>6140</v>
      </c>
      <c r="AS27" s="4"/>
      <c r="AZ27">
        <v>26</v>
      </c>
      <c r="BA27" t="s">
        <v>17</v>
      </c>
      <c r="BB27" t="s">
        <v>11</v>
      </c>
      <c r="BC27">
        <v>0</v>
      </c>
      <c r="BD27">
        <v>0</v>
      </c>
    </row>
    <row r="28" spans="4:56" x14ac:dyDescent="0.25">
      <c r="G28" s="5"/>
    </row>
    <row r="29" spans="4:56" x14ac:dyDescent="0.25">
      <c r="G29" s="4">
        <f>SUM(G2:G28)</f>
        <v>12</v>
      </c>
      <c r="I29">
        <f>SUM(I2:I28)</f>
        <v>60219</v>
      </c>
      <c r="J29">
        <v>12</v>
      </c>
      <c r="AE29" s="4">
        <f>SUM(AE2:AE28)</f>
        <v>14</v>
      </c>
      <c r="AG29" s="7">
        <f>SUM(AG2:AG28)</f>
        <v>58442</v>
      </c>
      <c r="AQ29">
        <f>SUM(AQ2:AQ28)</f>
        <v>12</v>
      </c>
      <c r="AS29">
        <f>SUM(AS2:AS28)</f>
        <v>70361</v>
      </c>
      <c r="BC29">
        <f>SUM(BC2:BC28)</f>
        <v>2</v>
      </c>
      <c r="BD29">
        <f>SUM(BD2:BD28)</f>
        <v>12315</v>
      </c>
    </row>
    <row r="30" spans="4:56" x14ac:dyDescent="0.25">
      <c r="H30" s="5">
        <f>I29/J29</f>
        <v>5018.25</v>
      </c>
      <c r="S30" s="4">
        <f>SUM(S2:S29)</f>
        <v>16</v>
      </c>
      <c r="U30">
        <f>SUM(U2:U29)</f>
        <v>63075</v>
      </c>
      <c r="W30">
        <v>16</v>
      </c>
      <c r="AI30">
        <v>14</v>
      </c>
      <c r="AR30">
        <f>AS29/AQ29</f>
        <v>5863.416666666667</v>
      </c>
    </row>
    <row r="31" spans="4:56" x14ac:dyDescent="0.25">
      <c r="T31" s="5">
        <f>U30/W30</f>
        <v>3942.1875</v>
      </c>
      <c r="AF31" s="5">
        <f>AG29/AI30</f>
        <v>4174.4285714285716</v>
      </c>
      <c r="BD31" s="5">
        <f>BD29/BC29</f>
        <v>6157.5</v>
      </c>
    </row>
    <row r="33" spans="21:28" x14ac:dyDescent="0.25">
      <c r="Z33" t="s">
        <v>384</v>
      </c>
      <c r="AA33" t="s">
        <v>94</v>
      </c>
      <c r="AB33" t="s">
        <v>296</v>
      </c>
    </row>
    <row r="34" spans="21:28" x14ac:dyDescent="0.25">
      <c r="U34" t="s">
        <v>384</v>
      </c>
      <c r="V34" t="s">
        <v>94</v>
      </c>
      <c r="W34" t="s">
        <v>296</v>
      </c>
      <c r="Z34">
        <v>5018.25</v>
      </c>
      <c r="AA34">
        <v>3942.18</v>
      </c>
      <c r="AB34">
        <v>4174.42</v>
      </c>
    </row>
    <row r="35" spans="21:28" x14ac:dyDescent="0.25">
      <c r="U35">
        <v>12</v>
      </c>
      <c r="V35">
        <v>16</v>
      </c>
      <c r="W35">
        <v>14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5"/>
  <sheetViews>
    <sheetView workbookViewId="0">
      <selection activeCell="BC30" sqref="BC30"/>
    </sheetView>
  </sheetViews>
  <sheetFormatPr baseColWidth="10" defaultRowHeight="15" x14ac:dyDescent="0.25"/>
  <cols>
    <col min="1" max="1" width="29" customWidth="1"/>
    <col min="7" max="8" width="22.28515625" customWidth="1"/>
    <col min="9" max="9" width="17.85546875" customWidth="1"/>
    <col min="13" max="13" width="25" customWidth="1"/>
    <col min="20" max="20" width="20.85546875" customWidth="1"/>
    <col min="25" max="25" width="23.85546875" customWidth="1"/>
    <col min="31" max="31" width="18.140625" customWidth="1"/>
    <col min="32" max="32" width="26.28515625" customWidth="1"/>
    <col min="33" max="33" width="17.5703125" customWidth="1"/>
    <col min="43" max="43" width="17.42578125" customWidth="1"/>
    <col min="44" max="44" width="18" customWidth="1"/>
  </cols>
  <sheetData>
    <row r="1" spans="1:57" ht="15.75" x14ac:dyDescent="0.25">
      <c r="A1" s="1" t="s">
        <v>36</v>
      </c>
      <c r="B1" s="2" t="s">
        <v>0</v>
      </c>
      <c r="C1" s="2" t="s">
        <v>1</v>
      </c>
      <c r="D1" s="2" t="s">
        <v>2</v>
      </c>
      <c r="E1" s="2" t="s">
        <v>38</v>
      </c>
      <c r="F1" s="2" t="s">
        <v>37</v>
      </c>
      <c r="G1" s="2" t="s">
        <v>3</v>
      </c>
      <c r="H1" s="2" t="s">
        <v>4</v>
      </c>
      <c r="I1" s="2" t="s">
        <v>93</v>
      </c>
      <c r="M1" s="1" t="s">
        <v>36</v>
      </c>
      <c r="N1" s="2" t="s">
        <v>0</v>
      </c>
      <c r="O1" s="2" t="s">
        <v>1</v>
      </c>
      <c r="P1" s="2" t="s">
        <v>2</v>
      </c>
      <c r="Q1" s="2" t="s">
        <v>38</v>
      </c>
      <c r="R1" s="2" t="s">
        <v>37</v>
      </c>
      <c r="S1" s="2" t="s">
        <v>3</v>
      </c>
      <c r="T1" s="2" t="s">
        <v>4</v>
      </c>
      <c r="U1" s="2" t="s">
        <v>93</v>
      </c>
      <c r="Y1" s="1" t="s">
        <v>36</v>
      </c>
      <c r="Z1" s="2" t="s">
        <v>0</v>
      </c>
      <c r="AA1" s="2" t="s">
        <v>1</v>
      </c>
      <c r="AB1" s="2" t="s">
        <v>2</v>
      </c>
      <c r="AC1" s="2" t="s">
        <v>38</v>
      </c>
      <c r="AD1" s="2" t="s">
        <v>37</v>
      </c>
      <c r="AE1" s="2" t="s">
        <v>3</v>
      </c>
      <c r="AF1" s="2" t="s">
        <v>4</v>
      </c>
      <c r="AG1" s="2" t="s">
        <v>93</v>
      </c>
      <c r="AK1" s="1" t="s">
        <v>36</v>
      </c>
      <c r="AL1" s="2" t="s">
        <v>0</v>
      </c>
      <c r="AM1" s="2" t="s">
        <v>1</v>
      </c>
      <c r="AN1" s="2" t="s">
        <v>2</v>
      </c>
      <c r="AO1" s="2" t="s">
        <v>38</v>
      </c>
      <c r="AP1" s="2" t="s">
        <v>37</v>
      </c>
      <c r="AQ1" s="2" t="s">
        <v>3</v>
      </c>
      <c r="AR1" s="2" t="s">
        <v>4</v>
      </c>
      <c r="AS1" s="2" t="s">
        <v>93</v>
      </c>
      <c r="AW1" s="1" t="s">
        <v>36</v>
      </c>
      <c r="AX1" s="2" t="s">
        <v>0</v>
      </c>
      <c r="AY1" s="2" t="s">
        <v>1</v>
      </c>
      <c r="AZ1" s="2" t="s">
        <v>2</v>
      </c>
      <c r="BA1" s="2" t="s">
        <v>38</v>
      </c>
      <c r="BB1" s="2" t="s">
        <v>37</v>
      </c>
      <c r="BC1" s="2" t="s">
        <v>3</v>
      </c>
      <c r="BD1" s="2" t="s">
        <v>817</v>
      </c>
      <c r="BE1" s="2" t="s">
        <v>5</v>
      </c>
    </row>
    <row r="2" spans="1:57" ht="15.75" x14ac:dyDescent="0.25">
      <c r="A2" s="19" t="s">
        <v>66</v>
      </c>
      <c r="B2">
        <v>2</v>
      </c>
      <c r="C2">
        <v>1</v>
      </c>
      <c r="D2">
        <v>1</v>
      </c>
      <c r="E2" t="s">
        <v>67</v>
      </c>
      <c r="F2" t="s">
        <v>11</v>
      </c>
      <c r="G2">
        <v>1</v>
      </c>
      <c r="H2">
        <v>3821</v>
      </c>
      <c r="I2">
        <v>3821</v>
      </c>
      <c r="M2" s="19" t="s">
        <v>94</v>
      </c>
      <c r="N2">
        <v>2</v>
      </c>
      <c r="O2">
        <v>2</v>
      </c>
      <c r="P2">
        <v>1</v>
      </c>
      <c r="Q2" t="s">
        <v>80</v>
      </c>
      <c r="R2" t="s">
        <v>11</v>
      </c>
      <c r="S2" s="4">
        <v>0</v>
      </c>
      <c r="T2" s="4">
        <v>3190</v>
      </c>
      <c r="U2" s="4"/>
      <c r="Y2" s="19" t="s">
        <v>122</v>
      </c>
      <c r="Z2">
        <v>1</v>
      </c>
      <c r="AA2">
        <v>3</v>
      </c>
      <c r="AB2">
        <v>1</v>
      </c>
      <c r="AC2" t="s">
        <v>96</v>
      </c>
      <c r="AD2" t="s">
        <v>8</v>
      </c>
      <c r="AE2" s="4">
        <v>0</v>
      </c>
      <c r="AF2" s="4">
        <v>3416</v>
      </c>
      <c r="AG2" s="4"/>
      <c r="AK2" s="19" t="s">
        <v>649</v>
      </c>
      <c r="AL2">
        <v>1</v>
      </c>
      <c r="AM2">
        <v>4</v>
      </c>
      <c r="AN2">
        <v>1</v>
      </c>
      <c r="AO2" t="s">
        <v>102</v>
      </c>
      <c r="AP2" t="s">
        <v>8</v>
      </c>
      <c r="AQ2">
        <v>1</v>
      </c>
      <c r="AR2">
        <v>3105</v>
      </c>
      <c r="AS2">
        <v>3105</v>
      </c>
      <c r="AW2" s="3" t="s">
        <v>815</v>
      </c>
      <c r="AX2">
        <v>1</v>
      </c>
      <c r="AY2">
        <v>5</v>
      </c>
      <c r="AZ2">
        <v>1</v>
      </c>
      <c r="BA2" t="s">
        <v>120</v>
      </c>
      <c r="BB2" t="s">
        <v>11</v>
      </c>
      <c r="BC2">
        <v>0</v>
      </c>
      <c r="BD2">
        <v>0</v>
      </c>
    </row>
    <row r="3" spans="1:57" ht="15.75" x14ac:dyDescent="0.25">
      <c r="A3" s="2" t="s">
        <v>653</v>
      </c>
      <c r="D3">
        <v>2</v>
      </c>
      <c r="E3" t="s">
        <v>68</v>
      </c>
      <c r="F3" t="s">
        <v>8</v>
      </c>
      <c r="G3">
        <v>1</v>
      </c>
      <c r="H3">
        <v>3682</v>
      </c>
      <c r="I3">
        <v>3682</v>
      </c>
      <c r="M3" s="2" t="s">
        <v>653</v>
      </c>
      <c r="P3">
        <v>2</v>
      </c>
      <c r="Q3" t="s">
        <v>67</v>
      </c>
      <c r="R3" t="s">
        <v>11</v>
      </c>
      <c r="S3">
        <v>1</v>
      </c>
      <c r="T3">
        <v>3221</v>
      </c>
      <c r="U3">
        <v>3221</v>
      </c>
      <c r="Y3" s="2" t="s">
        <v>652</v>
      </c>
      <c r="AB3">
        <v>2</v>
      </c>
      <c r="AC3" t="s">
        <v>97</v>
      </c>
      <c r="AD3" t="s">
        <v>11</v>
      </c>
      <c r="AE3">
        <v>1</v>
      </c>
      <c r="AF3">
        <v>6014</v>
      </c>
      <c r="AG3">
        <v>6014</v>
      </c>
      <c r="AK3" s="2" t="s">
        <v>653</v>
      </c>
      <c r="AN3">
        <v>2</v>
      </c>
      <c r="AO3" t="s">
        <v>101</v>
      </c>
      <c r="AP3" t="s">
        <v>8</v>
      </c>
      <c r="AQ3">
        <v>1</v>
      </c>
      <c r="AR3">
        <v>2606</v>
      </c>
      <c r="AS3">
        <v>2606</v>
      </c>
      <c r="AW3" s="1" t="s">
        <v>816</v>
      </c>
      <c r="AZ3">
        <v>2</v>
      </c>
      <c r="BA3" t="s">
        <v>104</v>
      </c>
      <c r="BB3" t="s">
        <v>8</v>
      </c>
      <c r="BC3">
        <v>0</v>
      </c>
      <c r="BD3">
        <v>0</v>
      </c>
    </row>
    <row r="4" spans="1:57" x14ac:dyDescent="0.25">
      <c r="A4" s="2" t="s">
        <v>65</v>
      </c>
      <c r="D4">
        <v>3</v>
      </c>
      <c r="E4" t="s">
        <v>69</v>
      </c>
      <c r="F4" t="s">
        <v>11</v>
      </c>
      <c r="G4">
        <v>1</v>
      </c>
      <c r="H4">
        <v>3808</v>
      </c>
      <c r="I4">
        <v>3808</v>
      </c>
      <c r="M4" s="2" t="s">
        <v>95</v>
      </c>
      <c r="P4">
        <v>3</v>
      </c>
      <c r="Q4" t="s">
        <v>92</v>
      </c>
      <c r="R4" t="s">
        <v>8</v>
      </c>
      <c r="S4">
        <v>1</v>
      </c>
      <c r="T4">
        <v>3228</v>
      </c>
      <c r="U4">
        <v>3228</v>
      </c>
      <c r="Y4" s="2" t="s">
        <v>123</v>
      </c>
      <c r="AB4">
        <v>3</v>
      </c>
      <c r="AC4" t="s">
        <v>98</v>
      </c>
      <c r="AD4" t="s">
        <v>11</v>
      </c>
      <c r="AE4">
        <v>1</v>
      </c>
      <c r="AF4">
        <v>4124</v>
      </c>
      <c r="AG4">
        <v>4124</v>
      </c>
      <c r="AK4" s="2" t="s">
        <v>591</v>
      </c>
      <c r="AN4">
        <v>3</v>
      </c>
      <c r="AO4" t="s">
        <v>107</v>
      </c>
      <c r="AP4" t="s">
        <v>11</v>
      </c>
      <c r="AQ4">
        <v>1</v>
      </c>
      <c r="AR4">
        <v>4947</v>
      </c>
      <c r="AS4">
        <v>4947</v>
      </c>
      <c r="AW4" s="25">
        <v>44452</v>
      </c>
      <c r="AZ4">
        <v>3</v>
      </c>
      <c r="BA4" t="s">
        <v>108</v>
      </c>
      <c r="BB4" t="s">
        <v>11</v>
      </c>
      <c r="BC4">
        <v>0</v>
      </c>
      <c r="BD4">
        <v>0</v>
      </c>
    </row>
    <row r="5" spans="1:57" x14ac:dyDescent="0.25">
      <c r="A5" s="2" t="s">
        <v>651</v>
      </c>
      <c r="D5">
        <v>4</v>
      </c>
      <c r="E5" t="s">
        <v>70</v>
      </c>
      <c r="F5" t="s">
        <v>11</v>
      </c>
      <c r="G5">
        <v>1</v>
      </c>
      <c r="H5">
        <v>2527</v>
      </c>
      <c r="I5">
        <v>2527</v>
      </c>
      <c r="M5" s="2" t="s">
        <v>654</v>
      </c>
      <c r="P5">
        <v>4</v>
      </c>
      <c r="Q5" t="s">
        <v>73</v>
      </c>
      <c r="R5" t="s">
        <v>11</v>
      </c>
      <c r="S5">
        <v>1</v>
      </c>
      <c r="T5">
        <v>3253</v>
      </c>
      <c r="U5">
        <v>3253</v>
      </c>
      <c r="Y5" s="2" t="s">
        <v>651</v>
      </c>
      <c r="AB5">
        <v>4</v>
      </c>
      <c r="AC5" t="s">
        <v>99</v>
      </c>
      <c r="AD5" t="s">
        <v>11</v>
      </c>
      <c r="AE5">
        <v>1</v>
      </c>
      <c r="AF5">
        <v>4885</v>
      </c>
      <c r="AG5">
        <v>4885</v>
      </c>
      <c r="AK5" s="2" t="s">
        <v>650</v>
      </c>
      <c r="AN5">
        <v>4</v>
      </c>
      <c r="AO5" t="s">
        <v>113</v>
      </c>
      <c r="AP5" t="s">
        <v>11</v>
      </c>
      <c r="AQ5">
        <v>1</v>
      </c>
      <c r="AR5">
        <v>4172</v>
      </c>
      <c r="AS5">
        <v>4172</v>
      </c>
      <c r="AW5" s="2" t="s">
        <v>648</v>
      </c>
      <c r="AZ5">
        <v>4</v>
      </c>
      <c r="BA5" t="s">
        <v>113</v>
      </c>
      <c r="BB5" t="s">
        <v>11</v>
      </c>
      <c r="BC5">
        <v>0</v>
      </c>
      <c r="BD5">
        <v>0</v>
      </c>
    </row>
    <row r="6" spans="1:57" x14ac:dyDescent="0.25">
      <c r="D6">
        <v>5</v>
      </c>
      <c r="E6" t="s">
        <v>71</v>
      </c>
      <c r="F6" t="s">
        <v>8</v>
      </c>
      <c r="G6">
        <v>1</v>
      </c>
      <c r="H6">
        <v>2334</v>
      </c>
      <c r="I6">
        <v>2334</v>
      </c>
      <c r="P6">
        <v>5</v>
      </c>
      <c r="Q6" t="s">
        <v>74</v>
      </c>
      <c r="R6" t="s">
        <v>8</v>
      </c>
      <c r="S6" s="4">
        <v>0</v>
      </c>
      <c r="T6" s="4">
        <v>3461</v>
      </c>
      <c r="U6" s="4"/>
      <c r="AB6">
        <v>5</v>
      </c>
      <c r="AC6" t="s">
        <v>100</v>
      </c>
      <c r="AD6" t="s">
        <v>8</v>
      </c>
      <c r="AE6">
        <v>1</v>
      </c>
      <c r="AF6">
        <v>3025</v>
      </c>
      <c r="AG6">
        <v>3025</v>
      </c>
      <c r="AN6">
        <v>5</v>
      </c>
      <c r="AO6" t="s">
        <v>111</v>
      </c>
      <c r="AP6" t="s">
        <v>11</v>
      </c>
      <c r="AQ6">
        <v>1</v>
      </c>
      <c r="AR6">
        <v>5675</v>
      </c>
      <c r="AS6">
        <v>5675</v>
      </c>
      <c r="AZ6">
        <v>5</v>
      </c>
      <c r="BA6" t="s">
        <v>119</v>
      </c>
      <c r="BB6" t="s">
        <v>8</v>
      </c>
      <c r="BC6">
        <v>0</v>
      </c>
      <c r="BD6">
        <v>0</v>
      </c>
    </row>
    <row r="7" spans="1:57" x14ac:dyDescent="0.25">
      <c r="D7">
        <v>6</v>
      </c>
      <c r="E7" t="s">
        <v>72</v>
      </c>
      <c r="F7" t="s">
        <v>8</v>
      </c>
      <c r="G7">
        <v>1</v>
      </c>
      <c r="H7">
        <v>4609</v>
      </c>
      <c r="I7">
        <v>4609</v>
      </c>
      <c r="P7">
        <v>6</v>
      </c>
      <c r="Q7" t="s">
        <v>69</v>
      </c>
      <c r="R7" t="s">
        <v>11</v>
      </c>
      <c r="S7" s="4">
        <v>0</v>
      </c>
      <c r="T7" s="4">
        <v>3128</v>
      </c>
      <c r="U7" s="4"/>
      <c r="AB7">
        <v>6</v>
      </c>
      <c r="AC7" t="s">
        <v>101</v>
      </c>
      <c r="AD7" t="s">
        <v>8</v>
      </c>
      <c r="AE7">
        <v>1</v>
      </c>
      <c r="AF7">
        <v>3561</v>
      </c>
      <c r="AG7">
        <v>3561</v>
      </c>
      <c r="AN7">
        <v>6</v>
      </c>
      <c r="AO7" t="s">
        <v>120</v>
      </c>
      <c r="AP7" t="s">
        <v>11</v>
      </c>
      <c r="AQ7">
        <v>1</v>
      </c>
      <c r="AR7">
        <v>5630</v>
      </c>
      <c r="AS7">
        <v>5630</v>
      </c>
      <c r="AZ7">
        <v>6</v>
      </c>
      <c r="BA7" t="s">
        <v>116</v>
      </c>
      <c r="BB7" t="s">
        <v>8</v>
      </c>
      <c r="BC7">
        <v>0</v>
      </c>
      <c r="BD7">
        <v>0</v>
      </c>
    </row>
    <row r="8" spans="1:57" x14ac:dyDescent="0.25">
      <c r="D8">
        <v>7</v>
      </c>
      <c r="E8" s="4" t="s">
        <v>73</v>
      </c>
      <c r="F8" s="4" t="s">
        <v>11</v>
      </c>
      <c r="G8" s="4">
        <v>0</v>
      </c>
      <c r="H8" s="4">
        <v>3280</v>
      </c>
      <c r="I8" s="4"/>
      <c r="P8">
        <v>7</v>
      </c>
      <c r="Q8" t="s">
        <v>82</v>
      </c>
      <c r="R8" t="s">
        <v>8</v>
      </c>
      <c r="S8" s="4">
        <v>0</v>
      </c>
      <c r="T8" s="4">
        <v>3941</v>
      </c>
      <c r="U8" s="4"/>
      <c r="AB8">
        <v>7</v>
      </c>
      <c r="AC8" t="s">
        <v>102</v>
      </c>
      <c r="AD8" t="s">
        <v>8</v>
      </c>
      <c r="AE8">
        <v>1</v>
      </c>
      <c r="AF8">
        <v>3491</v>
      </c>
      <c r="AG8">
        <v>3491</v>
      </c>
      <c r="AN8">
        <v>7</v>
      </c>
      <c r="AO8" t="s">
        <v>108</v>
      </c>
      <c r="AP8" t="s">
        <v>11</v>
      </c>
      <c r="AQ8">
        <v>1</v>
      </c>
      <c r="AR8">
        <v>5375</v>
      </c>
      <c r="AS8">
        <v>5375</v>
      </c>
      <c r="AZ8">
        <v>7</v>
      </c>
      <c r="BA8" t="s">
        <v>97</v>
      </c>
      <c r="BB8" t="s">
        <v>11</v>
      </c>
      <c r="BC8">
        <v>0</v>
      </c>
      <c r="BD8">
        <v>0</v>
      </c>
    </row>
    <row r="9" spans="1:57" x14ac:dyDescent="0.25">
      <c r="D9">
        <v>8</v>
      </c>
      <c r="E9" s="4" t="s">
        <v>74</v>
      </c>
      <c r="F9" s="4" t="s">
        <v>8</v>
      </c>
      <c r="G9" s="4">
        <v>0</v>
      </c>
      <c r="H9" s="4">
        <v>4082</v>
      </c>
      <c r="I9" s="4"/>
      <c r="P9">
        <v>8</v>
      </c>
      <c r="Q9" t="s">
        <v>83</v>
      </c>
      <c r="R9" t="s">
        <v>8</v>
      </c>
      <c r="S9" s="4">
        <v>0</v>
      </c>
      <c r="T9" s="4">
        <v>3757</v>
      </c>
      <c r="U9" s="4"/>
      <c r="AB9">
        <v>8</v>
      </c>
      <c r="AC9" t="s">
        <v>103</v>
      </c>
      <c r="AD9" t="s">
        <v>8</v>
      </c>
      <c r="AE9">
        <v>1</v>
      </c>
      <c r="AF9">
        <v>5565</v>
      </c>
      <c r="AG9">
        <v>5565</v>
      </c>
      <c r="AN9">
        <v>8</v>
      </c>
      <c r="AO9" t="s">
        <v>96</v>
      </c>
      <c r="AP9" t="s">
        <v>8</v>
      </c>
      <c r="AQ9" s="4">
        <v>0</v>
      </c>
      <c r="AR9" s="4">
        <v>4382</v>
      </c>
      <c r="AS9" s="4"/>
      <c r="AZ9">
        <v>8</v>
      </c>
      <c r="BA9" t="s">
        <v>118</v>
      </c>
      <c r="BB9" t="s">
        <v>8</v>
      </c>
      <c r="BC9">
        <v>0</v>
      </c>
      <c r="BD9">
        <v>0</v>
      </c>
    </row>
    <row r="10" spans="1:57" x14ac:dyDescent="0.25">
      <c r="D10">
        <v>9</v>
      </c>
      <c r="E10" t="s">
        <v>75</v>
      </c>
      <c r="F10" t="s">
        <v>11</v>
      </c>
      <c r="G10">
        <v>1</v>
      </c>
      <c r="H10">
        <v>4313</v>
      </c>
      <c r="I10">
        <v>4313</v>
      </c>
      <c r="P10">
        <v>9</v>
      </c>
      <c r="Q10" t="s">
        <v>76</v>
      </c>
      <c r="R10" t="s">
        <v>8</v>
      </c>
      <c r="S10" s="4">
        <v>0</v>
      </c>
      <c r="T10" s="4">
        <v>3402</v>
      </c>
      <c r="U10" s="4"/>
      <c r="AB10">
        <v>9</v>
      </c>
      <c r="AC10" t="s">
        <v>104</v>
      </c>
      <c r="AD10" t="s">
        <v>8</v>
      </c>
      <c r="AE10" s="4">
        <v>0</v>
      </c>
      <c r="AF10" s="4">
        <v>4093</v>
      </c>
      <c r="AG10" s="4"/>
      <c r="AN10">
        <v>9</v>
      </c>
      <c r="AO10" t="s">
        <v>97</v>
      </c>
      <c r="AP10" t="s">
        <v>11</v>
      </c>
      <c r="AQ10">
        <v>1</v>
      </c>
      <c r="AR10">
        <v>4796</v>
      </c>
      <c r="AS10">
        <v>4796</v>
      </c>
      <c r="AZ10">
        <v>9</v>
      </c>
      <c r="BA10" t="s">
        <v>99</v>
      </c>
      <c r="BB10" t="s">
        <v>11</v>
      </c>
      <c r="BC10">
        <v>0</v>
      </c>
      <c r="BD10">
        <v>0</v>
      </c>
    </row>
    <row r="11" spans="1:57" x14ac:dyDescent="0.25">
      <c r="D11">
        <v>10</v>
      </c>
      <c r="E11" t="s">
        <v>76</v>
      </c>
      <c r="F11" t="s">
        <v>8</v>
      </c>
      <c r="G11" s="4">
        <v>0</v>
      </c>
      <c r="H11" s="4">
        <v>3757</v>
      </c>
      <c r="I11" s="4"/>
      <c r="P11">
        <v>10</v>
      </c>
      <c r="Q11" t="s">
        <v>70</v>
      </c>
      <c r="R11" t="s">
        <v>11</v>
      </c>
      <c r="S11" s="4">
        <v>0</v>
      </c>
      <c r="T11" s="4">
        <v>2415</v>
      </c>
      <c r="U11" s="4"/>
      <c r="AB11">
        <v>10</v>
      </c>
      <c r="AC11" t="s">
        <v>105</v>
      </c>
      <c r="AD11" t="s">
        <v>11</v>
      </c>
      <c r="AE11" s="4">
        <v>0</v>
      </c>
      <c r="AF11" s="4">
        <v>3946</v>
      </c>
      <c r="AG11" s="4"/>
      <c r="AN11">
        <v>10</v>
      </c>
      <c r="AO11" t="s">
        <v>116</v>
      </c>
      <c r="AP11" t="s">
        <v>8</v>
      </c>
      <c r="AQ11">
        <v>1</v>
      </c>
      <c r="AR11">
        <v>2715</v>
      </c>
      <c r="AS11">
        <v>2715</v>
      </c>
      <c r="AZ11">
        <v>10</v>
      </c>
      <c r="BA11" t="s">
        <v>106</v>
      </c>
      <c r="BB11" t="s">
        <v>11</v>
      </c>
      <c r="BC11">
        <v>0</v>
      </c>
      <c r="BD11">
        <v>0</v>
      </c>
    </row>
    <row r="12" spans="1:57" x14ac:dyDescent="0.25">
      <c r="D12">
        <v>11</v>
      </c>
      <c r="E12" t="s">
        <v>77</v>
      </c>
      <c r="F12" t="s">
        <v>8</v>
      </c>
      <c r="G12">
        <v>1</v>
      </c>
      <c r="H12">
        <v>2754</v>
      </c>
      <c r="I12">
        <v>2754</v>
      </c>
      <c r="P12">
        <v>11</v>
      </c>
      <c r="Q12" t="s">
        <v>88</v>
      </c>
      <c r="R12" t="s">
        <v>11</v>
      </c>
      <c r="S12">
        <v>1</v>
      </c>
      <c r="T12">
        <v>2429</v>
      </c>
      <c r="U12">
        <v>2429</v>
      </c>
      <c r="AB12">
        <v>11</v>
      </c>
      <c r="AC12" t="s">
        <v>106</v>
      </c>
      <c r="AD12" t="s">
        <v>11</v>
      </c>
      <c r="AE12">
        <v>1</v>
      </c>
      <c r="AF12">
        <v>3976</v>
      </c>
      <c r="AG12">
        <v>3976</v>
      </c>
      <c r="AN12">
        <v>11</v>
      </c>
      <c r="AO12" t="s">
        <v>121</v>
      </c>
      <c r="AP12" t="s">
        <v>8</v>
      </c>
      <c r="AQ12" s="4">
        <v>0</v>
      </c>
      <c r="AR12" s="4">
        <v>5028</v>
      </c>
      <c r="AS12" s="4"/>
      <c r="AZ12">
        <v>11</v>
      </c>
      <c r="BA12" t="s">
        <v>100</v>
      </c>
      <c r="BB12" t="s">
        <v>8</v>
      </c>
      <c r="BC12">
        <v>0</v>
      </c>
      <c r="BD12">
        <v>0</v>
      </c>
    </row>
    <row r="13" spans="1:57" x14ac:dyDescent="0.25">
      <c r="D13">
        <v>12</v>
      </c>
      <c r="E13" t="s">
        <v>78</v>
      </c>
      <c r="F13" t="s">
        <v>11</v>
      </c>
      <c r="G13">
        <v>1</v>
      </c>
      <c r="H13">
        <v>4593</v>
      </c>
      <c r="I13">
        <v>4593</v>
      </c>
      <c r="P13">
        <v>12</v>
      </c>
      <c r="Q13" t="s">
        <v>81</v>
      </c>
      <c r="R13" t="s">
        <v>11</v>
      </c>
      <c r="S13" s="4">
        <v>0</v>
      </c>
      <c r="T13" s="4">
        <v>3225</v>
      </c>
      <c r="U13" s="4"/>
      <c r="AB13">
        <v>12</v>
      </c>
      <c r="AC13" t="s">
        <v>107</v>
      </c>
      <c r="AD13" t="s">
        <v>11</v>
      </c>
      <c r="AE13" s="4">
        <v>0</v>
      </c>
      <c r="AF13" s="4">
        <v>3295</v>
      </c>
      <c r="AG13" s="4"/>
      <c r="AN13">
        <v>12</v>
      </c>
      <c r="AO13" t="s">
        <v>114</v>
      </c>
      <c r="AP13" t="s">
        <v>8</v>
      </c>
      <c r="AQ13">
        <v>1</v>
      </c>
      <c r="AR13">
        <v>3725</v>
      </c>
      <c r="AS13">
        <v>3725</v>
      </c>
      <c r="AZ13">
        <v>12</v>
      </c>
      <c r="BA13" t="s">
        <v>103</v>
      </c>
      <c r="BB13" t="s">
        <v>8</v>
      </c>
      <c r="BC13" s="5">
        <v>1</v>
      </c>
      <c r="BD13" s="5">
        <v>133407</v>
      </c>
    </row>
    <row r="14" spans="1:57" x14ac:dyDescent="0.25">
      <c r="D14">
        <v>13</v>
      </c>
      <c r="E14" t="s">
        <v>79</v>
      </c>
      <c r="F14" t="s">
        <v>11</v>
      </c>
      <c r="G14">
        <v>1</v>
      </c>
      <c r="H14">
        <v>3818</v>
      </c>
      <c r="I14">
        <v>3818</v>
      </c>
      <c r="P14">
        <v>13</v>
      </c>
      <c r="Q14" t="s">
        <v>72</v>
      </c>
      <c r="R14" t="s">
        <v>8</v>
      </c>
      <c r="S14">
        <v>1</v>
      </c>
      <c r="T14">
        <v>3631</v>
      </c>
      <c r="U14">
        <v>3631</v>
      </c>
      <c r="AB14">
        <v>13</v>
      </c>
      <c r="AC14" t="s">
        <v>108</v>
      </c>
      <c r="AD14" t="s">
        <v>11</v>
      </c>
      <c r="AE14" s="4">
        <v>0</v>
      </c>
      <c r="AF14" s="4">
        <v>5470</v>
      </c>
      <c r="AG14" s="4"/>
      <c r="AN14">
        <v>13</v>
      </c>
      <c r="AO14" t="s">
        <v>119</v>
      </c>
      <c r="AP14" t="s">
        <v>8</v>
      </c>
      <c r="AQ14">
        <v>1</v>
      </c>
      <c r="AR14">
        <v>4332</v>
      </c>
      <c r="AS14">
        <v>4332</v>
      </c>
      <c r="AZ14">
        <v>13</v>
      </c>
      <c r="BA14" t="s">
        <v>102</v>
      </c>
      <c r="BB14" t="s">
        <v>8</v>
      </c>
      <c r="BC14">
        <v>0</v>
      </c>
      <c r="BD14">
        <v>0</v>
      </c>
    </row>
    <row r="15" spans="1:57" x14ac:dyDescent="0.25">
      <c r="D15">
        <v>14</v>
      </c>
      <c r="E15" t="s">
        <v>80</v>
      </c>
      <c r="F15" t="s">
        <v>11</v>
      </c>
      <c r="G15" s="4">
        <v>0</v>
      </c>
      <c r="H15" s="4">
        <v>3125</v>
      </c>
      <c r="I15" s="4"/>
      <c r="P15">
        <v>14</v>
      </c>
      <c r="Q15" t="s">
        <v>71</v>
      </c>
      <c r="R15" t="s">
        <v>8</v>
      </c>
      <c r="S15">
        <v>1</v>
      </c>
      <c r="T15">
        <v>2494</v>
      </c>
      <c r="U15">
        <v>2494</v>
      </c>
      <c r="AB15">
        <v>14</v>
      </c>
      <c r="AC15" t="s">
        <v>109</v>
      </c>
      <c r="AD15" t="s">
        <v>8</v>
      </c>
      <c r="AE15">
        <v>1</v>
      </c>
      <c r="AF15">
        <v>3435</v>
      </c>
      <c r="AG15">
        <v>3435</v>
      </c>
      <c r="AN15">
        <v>14</v>
      </c>
      <c r="AO15" t="s">
        <v>103</v>
      </c>
      <c r="AP15" t="s">
        <v>8</v>
      </c>
      <c r="AQ15">
        <v>1</v>
      </c>
      <c r="AR15">
        <v>4210</v>
      </c>
      <c r="AS15">
        <v>4210</v>
      </c>
      <c r="AZ15">
        <v>14</v>
      </c>
      <c r="BA15" t="s">
        <v>111</v>
      </c>
      <c r="BB15" t="s">
        <v>11</v>
      </c>
      <c r="BC15">
        <v>0</v>
      </c>
      <c r="BD15">
        <v>0</v>
      </c>
    </row>
    <row r="16" spans="1:57" x14ac:dyDescent="0.25">
      <c r="D16">
        <v>15</v>
      </c>
      <c r="E16" t="s">
        <v>81</v>
      </c>
      <c r="F16" t="s">
        <v>11</v>
      </c>
      <c r="G16" s="4">
        <v>0</v>
      </c>
      <c r="H16" s="4">
        <v>3507</v>
      </c>
      <c r="I16" s="4"/>
      <c r="P16">
        <v>15</v>
      </c>
      <c r="Q16" t="s">
        <v>77</v>
      </c>
      <c r="R16" t="s">
        <v>8</v>
      </c>
      <c r="S16">
        <v>1</v>
      </c>
      <c r="T16">
        <v>2833</v>
      </c>
      <c r="U16">
        <v>2833</v>
      </c>
      <c r="AB16">
        <v>15</v>
      </c>
      <c r="AC16" t="s">
        <v>110</v>
      </c>
      <c r="AD16" t="s">
        <v>11</v>
      </c>
      <c r="AE16">
        <v>1</v>
      </c>
      <c r="AF16">
        <v>3818</v>
      </c>
      <c r="AG16">
        <v>3818</v>
      </c>
      <c r="AN16">
        <v>15</v>
      </c>
      <c r="AO16" t="s">
        <v>110</v>
      </c>
      <c r="AP16" t="s">
        <v>11</v>
      </c>
      <c r="AQ16">
        <v>1</v>
      </c>
      <c r="AR16">
        <v>3536</v>
      </c>
      <c r="AS16">
        <v>3536</v>
      </c>
      <c r="AZ16">
        <v>15</v>
      </c>
      <c r="BA16" t="s">
        <v>121</v>
      </c>
      <c r="BB16" t="s">
        <v>8</v>
      </c>
      <c r="BC16">
        <v>0</v>
      </c>
      <c r="BD16">
        <v>0</v>
      </c>
    </row>
    <row r="17" spans="4:56" x14ac:dyDescent="0.25">
      <c r="D17">
        <v>16</v>
      </c>
      <c r="E17" t="s">
        <v>82</v>
      </c>
      <c r="F17" t="s">
        <v>8</v>
      </c>
      <c r="G17" s="4">
        <v>0</v>
      </c>
      <c r="H17" s="4">
        <v>4224</v>
      </c>
      <c r="I17" s="4"/>
      <c r="P17">
        <v>16</v>
      </c>
      <c r="Q17" t="s">
        <v>89</v>
      </c>
      <c r="R17" t="s">
        <v>8</v>
      </c>
      <c r="S17" s="4">
        <v>0</v>
      </c>
      <c r="T17" s="4">
        <v>3491</v>
      </c>
      <c r="U17" s="4"/>
      <c r="AB17">
        <v>16</v>
      </c>
      <c r="AC17" t="s">
        <v>111</v>
      </c>
      <c r="AD17" t="s">
        <v>11</v>
      </c>
      <c r="AE17" s="4">
        <v>0</v>
      </c>
      <c r="AF17" s="4">
        <v>3848</v>
      </c>
      <c r="AG17" s="4"/>
      <c r="AN17">
        <v>16</v>
      </c>
      <c r="AO17" t="s">
        <v>106</v>
      </c>
      <c r="AP17" t="s">
        <v>11</v>
      </c>
      <c r="AQ17">
        <v>1</v>
      </c>
      <c r="AR17">
        <v>5045</v>
      </c>
      <c r="AS17">
        <v>5045</v>
      </c>
      <c r="AZ17">
        <v>16</v>
      </c>
      <c r="BA17" t="s">
        <v>112</v>
      </c>
      <c r="BB17" t="s">
        <v>11</v>
      </c>
      <c r="BC17">
        <v>0</v>
      </c>
      <c r="BD17">
        <v>0</v>
      </c>
    </row>
    <row r="18" spans="4:56" x14ac:dyDescent="0.25">
      <c r="D18">
        <v>17</v>
      </c>
      <c r="E18" t="s">
        <v>83</v>
      </c>
      <c r="F18" t="s">
        <v>8</v>
      </c>
      <c r="G18">
        <v>1</v>
      </c>
      <c r="H18">
        <v>3132</v>
      </c>
      <c r="I18">
        <v>3132</v>
      </c>
      <c r="P18">
        <v>17</v>
      </c>
      <c r="Q18" t="s">
        <v>68</v>
      </c>
      <c r="R18" t="s">
        <v>8</v>
      </c>
      <c r="S18" s="4">
        <v>0</v>
      </c>
      <c r="T18" s="4">
        <v>3402</v>
      </c>
      <c r="U18" s="4"/>
      <c r="AB18">
        <v>17</v>
      </c>
      <c r="AC18" t="s">
        <v>112</v>
      </c>
      <c r="AD18" t="s">
        <v>11</v>
      </c>
      <c r="AE18" s="4">
        <v>0</v>
      </c>
      <c r="AF18" s="4">
        <v>2629</v>
      </c>
      <c r="AG18" s="4"/>
      <c r="AN18">
        <v>17</v>
      </c>
      <c r="AO18" t="s">
        <v>98</v>
      </c>
      <c r="AP18" t="s">
        <v>11</v>
      </c>
      <c r="AQ18">
        <v>1</v>
      </c>
      <c r="AR18">
        <v>4931</v>
      </c>
      <c r="AS18">
        <v>4931</v>
      </c>
      <c r="AZ18">
        <v>17</v>
      </c>
      <c r="BA18" t="s">
        <v>110</v>
      </c>
      <c r="BB18" t="s">
        <v>11</v>
      </c>
      <c r="BC18">
        <v>0</v>
      </c>
      <c r="BD18">
        <v>0</v>
      </c>
    </row>
    <row r="19" spans="4:56" x14ac:dyDescent="0.25">
      <c r="D19">
        <v>18</v>
      </c>
      <c r="E19" t="s">
        <v>84</v>
      </c>
      <c r="F19" t="s">
        <v>11</v>
      </c>
      <c r="G19" s="4">
        <v>0</v>
      </c>
      <c r="H19" s="4">
        <v>3594</v>
      </c>
      <c r="I19" s="4"/>
      <c r="P19">
        <v>18</v>
      </c>
      <c r="Q19" t="s">
        <v>91</v>
      </c>
      <c r="R19" t="s">
        <v>8</v>
      </c>
      <c r="S19" s="4">
        <v>0</v>
      </c>
      <c r="T19" s="4">
        <v>4172</v>
      </c>
      <c r="U19" s="4"/>
      <c r="AB19">
        <v>18</v>
      </c>
      <c r="AC19" t="s">
        <v>113</v>
      </c>
      <c r="AD19" t="s">
        <v>11</v>
      </c>
      <c r="AE19" s="4">
        <v>0</v>
      </c>
      <c r="AF19" s="4">
        <v>2889</v>
      </c>
      <c r="AG19" s="4"/>
      <c r="AN19">
        <v>18</v>
      </c>
      <c r="AO19" t="s">
        <v>104</v>
      </c>
      <c r="AP19" t="s">
        <v>8</v>
      </c>
      <c r="AQ19" s="4">
        <v>0</v>
      </c>
      <c r="AR19" s="4">
        <v>6256</v>
      </c>
      <c r="AS19" s="4"/>
      <c r="AZ19">
        <v>18</v>
      </c>
      <c r="BA19" t="s">
        <v>101</v>
      </c>
      <c r="BB19" t="s">
        <v>8</v>
      </c>
      <c r="BC19">
        <v>0</v>
      </c>
      <c r="BD19">
        <v>0</v>
      </c>
    </row>
    <row r="20" spans="4:56" x14ac:dyDescent="0.25">
      <c r="D20">
        <v>19</v>
      </c>
      <c r="E20" t="s">
        <v>85</v>
      </c>
      <c r="F20" t="s">
        <v>8</v>
      </c>
      <c r="G20">
        <v>1</v>
      </c>
      <c r="H20">
        <v>5484</v>
      </c>
      <c r="I20">
        <v>5484</v>
      </c>
      <c r="P20">
        <v>19</v>
      </c>
      <c r="Q20" t="s">
        <v>79</v>
      </c>
      <c r="R20" t="s">
        <v>11</v>
      </c>
      <c r="S20">
        <v>1</v>
      </c>
      <c r="T20">
        <v>2780</v>
      </c>
      <c r="U20">
        <v>2780</v>
      </c>
      <c r="AB20">
        <v>19</v>
      </c>
      <c r="AC20" t="s">
        <v>114</v>
      </c>
      <c r="AD20" t="s">
        <v>8</v>
      </c>
      <c r="AE20">
        <v>1</v>
      </c>
      <c r="AF20">
        <v>3484</v>
      </c>
      <c r="AG20">
        <v>3484</v>
      </c>
      <c r="AN20">
        <v>19</v>
      </c>
      <c r="AO20" t="s">
        <v>105</v>
      </c>
      <c r="AP20" t="s">
        <v>11</v>
      </c>
      <c r="AQ20">
        <v>1</v>
      </c>
      <c r="AR20">
        <v>6429</v>
      </c>
      <c r="AS20">
        <v>6429</v>
      </c>
      <c r="AZ20">
        <v>19</v>
      </c>
      <c r="BA20" t="s">
        <v>115</v>
      </c>
      <c r="BB20" t="s">
        <v>11</v>
      </c>
      <c r="BC20">
        <v>0</v>
      </c>
      <c r="BD20">
        <v>0</v>
      </c>
    </row>
    <row r="21" spans="4:56" x14ac:dyDescent="0.25">
      <c r="D21">
        <v>20</v>
      </c>
      <c r="E21" t="s">
        <v>86</v>
      </c>
      <c r="F21" t="s">
        <v>11</v>
      </c>
      <c r="G21" s="4">
        <v>0</v>
      </c>
      <c r="H21" s="4">
        <v>3174</v>
      </c>
      <c r="I21" s="4"/>
      <c r="P21">
        <v>20</v>
      </c>
      <c r="Q21" t="s">
        <v>84</v>
      </c>
      <c r="R21" t="s">
        <v>11</v>
      </c>
      <c r="S21">
        <v>1</v>
      </c>
      <c r="T21">
        <v>2362</v>
      </c>
      <c r="U21">
        <v>2362</v>
      </c>
      <c r="AB21">
        <v>20</v>
      </c>
      <c r="AC21" t="s">
        <v>115</v>
      </c>
      <c r="AD21" t="s">
        <v>11</v>
      </c>
      <c r="AE21">
        <v>1</v>
      </c>
      <c r="AF21">
        <v>2892</v>
      </c>
      <c r="AG21">
        <v>2892</v>
      </c>
      <c r="AN21">
        <v>20</v>
      </c>
      <c r="AO21" t="s">
        <v>100</v>
      </c>
      <c r="AP21" t="s">
        <v>8</v>
      </c>
      <c r="AQ21">
        <v>1</v>
      </c>
      <c r="AR21">
        <v>3529</v>
      </c>
      <c r="AS21">
        <v>3529</v>
      </c>
      <c r="AZ21">
        <v>20</v>
      </c>
      <c r="BA21" t="s">
        <v>98</v>
      </c>
      <c r="BB21" t="s">
        <v>11</v>
      </c>
      <c r="BC21">
        <v>0</v>
      </c>
      <c r="BD21">
        <v>0</v>
      </c>
    </row>
    <row r="22" spans="4:56" x14ac:dyDescent="0.25">
      <c r="D22">
        <v>21</v>
      </c>
      <c r="E22" t="s">
        <v>87</v>
      </c>
      <c r="F22" t="s">
        <v>8</v>
      </c>
      <c r="G22">
        <v>1</v>
      </c>
      <c r="H22">
        <v>4841</v>
      </c>
      <c r="I22">
        <v>4841</v>
      </c>
      <c r="P22">
        <v>21</v>
      </c>
      <c r="Q22" t="s">
        <v>78</v>
      </c>
      <c r="R22" t="s">
        <v>11</v>
      </c>
      <c r="S22">
        <v>1</v>
      </c>
      <c r="T22">
        <v>3859</v>
      </c>
      <c r="U22">
        <v>3859</v>
      </c>
      <c r="AB22">
        <v>21</v>
      </c>
      <c r="AC22" t="s">
        <v>116</v>
      </c>
      <c r="AD22" t="s">
        <v>8</v>
      </c>
      <c r="AE22">
        <v>1</v>
      </c>
      <c r="AF22">
        <v>2444</v>
      </c>
      <c r="AG22">
        <v>2444</v>
      </c>
      <c r="AN22">
        <v>21</v>
      </c>
      <c r="AO22" t="s">
        <v>118</v>
      </c>
      <c r="AP22" t="s">
        <v>8</v>
      </c>
      <c r="AQ22" s="4">
        <v>0</v>
      </c>
      <c r="AR22" s="4">
        <v>6489</v>
      </c>
      <c r="AS22" s="4"/>
      <c r="AZ22">
        <v>21</v>
      </c>
      <c r="BA22" t="s">
        <v>109</v>
      </c>
      <c r="BB22" t="s">
        <v>8</v>
      </c>
      <c r="BC22">
        <v>0</v>
      </c>
      <c r="BD22">
        <v>0</v>
      </c>
    </row>
    <row r="23" spans="4:56" x14ac:dyDescent="0.25">
      <c r="D23">
        <v>22</v>
      </c>
      <c r="E23" t="s">
        <v>88</v>
      </c>
      <c r="F23" t="s">
        <v>11</v>
      </c>
      <c r="G23">
        <v>1</v>
      </c>
      <c r="H23">
        <v>4273</v>
      </c>
      <c r="I23">
        <v>4273</v>
      </c>
      <c r="P23">
        <v>22</v>
      </c>
      <c r="Q23" t="s">
        <v>75</v>
      </c>
      <c r="R23" t="s">
        <v>11</v>
      </c>
      <c r="S23" s="4">
        <v>0</v>
      </c>
      <c r="T23" s="4">
        <v>4511</v>
      </c>
      <c r="U23" s="4"/>
      <c r="AB23">
        <v>22</v>
      </c>
      <c r="AC23" t="s">
        <v>117</v>
      </c>
      <c r="AD23" t="s">
        <v>8</v>
      </c>
      <c r="AE23">
        <v>1</v>
      </c>
      <c r="AF23">
        <v>3586</v>
      </c>
      <c r="AG23">
        <v>3586</v>
      </c>
      <c r="AN23">
        <v>22</v>
      </c>
      <c r="AO23" t="s">
        <v>112</v>
      </c>
      <c r="AP23" t="s">
        <v>11</v>
      </c>
      <c r="AQ23" s="4">
        <v>0</v>
      </c>
      <c r="AR23" s="4">
        <v>3574</v>
      </c>
      <c r="AS23" s="4"/>
      <c r="AZ23">
        <v>22</v>
      </c>
      <c r="BA23" t="s">
        <v>107</v>
      </c>
      <c r="BB23" t="s">
        <v>11</v>
      </c>
      <c r="BC23">
        <v>0</v>
      </c>
      <c r="BD23">
        <v>0</v>
      </c>
    </row>
    <row r="24" spans="4:56" x14ac:dyDescent="0.25">
      <c r="D24">
        <v>23</v>
      </c>
      <c r="E24" t="s">
        <v>89</v>
      </c>
      <c r="F24" t="s">
        <v>8</v>
      </c>
      <c r="G24" s="4">
        <v>0</v>
      </c>
      <c r="H24" s="4">
        <v>3930</v>
      </c>
      <c r="I24" s="4"/>
      <c r="P24">
        <v>23</v>
      </c>
      <c r="Q24" t="s">
        <v>87</v>
      </c>
      <c r="R24" t="s">
        <v>8</v>
      </c>
      <c r="S24" s="4">
        <v>0</v>
      </c>
      <c r="T24" s="4">
        <v>2605</v>
      </c>
      <c r="U24" s="4"/>
      <c r="AB24">
        <v>23</v>
      </c>
      <c r="AC24" t="s">
        <v>118</v>
      </c>
      <c r="AD24" t="s">
        <v>8</v>
      </c>
      <c r="AE24">
        <v>1</v>
      </c>
      <c r="AF24">
        <v>4147</v>
      </c>
      <c r="AG24">
        <v>4147</v>
      </c>
      <c r="AN24">
        <v>23</v>
      </c>
      <c r="AO24" t="s">
        <v>115</v>
      </c>
      <c r="AP24" t="s">
        <v>11</v>
      </c>
      <c r="AQ24" s="4">
        <v>0</v>
      </c>
      <c r="AR24" s="4">
        <v>7330</v>
      </c>
      <c r="AS24" s="4"/>
      <c r="AZ24">
        <v>23</v>
      </c>
      <c r="BA24" t="s">
        <v>117</v>
      </c>
      <c r="BB24" t="s">
        <v>8</v>
      </c>
      <c r="BC24">
        <v>0</v>
      </c>
      <c r="BD24">
        <v>0</v>
      </c>
    </row>
    <row r="25" spans="4:56" x14ac:dyDescent="0.25">
      <c r="D25">
        <v>24</v>
      </c>
      <c r="E25" t="s">
        <v>90</v>
      </c>
      <c r="F25" t="s">
        <v>11</v>
      </c>
      <c r="G25">
        <v>1</v>
      </c>
      <c r="H25">
        <v>2464</v>
      </c>
      <c r="I25">
        <v>2464</v>
      </c>
      <c r="P25">
        <v>24</v>
      </c>
      <c r="Q25" t="s">
        <v>90</v>
      </c>
      <c r="R25" t="s">
        <v>11</v>
      </c>
      <c r="S25">
        <v>1</v>
      </c>
      <c r="T25">
        <v>2647</v>
      </c>
      <c r="U25">
        <v>2647</v>
      </c>
      <c r="AB25">
        <v>24</v>
      </c>
      <c r="AC25" t="s">
        <v>119</v>
      </c>
      <c r="AD25" t="s">
        <v>8</v>
      </c>
      <c r="AE25" s="4">
        <v>0</v>
      </c>
      <c r="AF25" s="4">
        <v>2625</v>
      </c>
      <c r="AG25" s="4"/>
      <c r="AN25">
        <v>24</v>
      </c>
      <c r="AO25" t="s">
        <v>99</v>
      </c>
      <c r="AP25" t="s">
        <v>11</v>
      </c>
      <c r="AQ25">
        <v>1</v>
      </c>
      <c r="AR25">
        <v>4633</v>
      </c>
      <c r="AS25">
        <v>4633</v>
      </c>
      <c r="AZ25">
        <v>24</v>
      </c>
      <c r="BA25" t="s">
        <v>114</v>
      </c>
      <c r="BB25" t="s">
        <v>8</v>
      </c>
      <c r="BC25">
        <v>0</v>
      </c>
      <c r="BD25">
        <v>0</v>
      </c>
    </row>
    <row r="26" spans="4:56" x14ac:dyDescent="0.25">
      <c r="D26">
        <v>25</v>
      </c>
      <c r="E26" t="s">
        <v>91</v>
      </c>
      <c r="F26" t="s">
        <v>8</v>
      </c>
      <c r="G26" s="4">
        <v>0</v>
      </c>
      <c r="H26" s="4">
        <v>4914</v>
      </c>
      <c r="I26" s="4"/>
      <c r="P26">
        <v>25</v>
      </c>
      <c r="Q26" t="s">
        <v>86</v>
      </c>
      <c r="R26" t="s">
        <v>11</v>
      </c>
      <c r="S26">
        <v>1</v>
      </c>
      <c r="T26">
        <v>2346</v>
      </c>
      <c r="U26">
        <v>2346</v>
      </c>
      <c r="AB26">
        <v>25</v>
      </c>
      <c r="AC26" t="s">
        <v>120</v>
      </c>
      <c r="AD26" t="s">
        <v>11</v>
      </c>
      <c r="AE26" s="4">
        <v>0</v>
      </c>
      <c r="AF26" s="4">
        <v>2899</v>
      </c>
      <c r="AG26" s="4"/>
      <c r="AN26">
        <v>25</v>
      </c>
      <c r="AO26" t="s">
        <v>117</v>
      </c>
      <c r="AP26" t="s">
        <v>8</v>
      </c>
      <c r="AQ26" s="4">
        <v>0</v>
      </c>
      <c r="AR26" s="4">
        <v>6420</v>
      </c>
      <c r="AS26" s="4"/>
      <c r="AZ26">
        <v>25</v>
      </c>
      <c r="BA26" t="s">
        <v>105</v>
      </c>
      <c r="BB26" t="s">
        <v>11</v>
      </c>
      <c r="BC26">
        <v>0</v>
      </c>
      <c r="BD26">
        <v>0</v>
      </c>
    </row>
    <row r="27" spans="4:56" x14ac:dyDescent="0.25">
      <c r="D27">
        <v>26</v>
      </c>
      <c r="E27" t="s">
        <v>92</v>
      </c>
      <c r="F27" t="s">
        <v>8</v>
      </c>
      <c r="G27">
        <v>1</v>
      </c>
      <c r="H27">
        <v>4052</v>
      </c>
      <c r="I27">
        <v>4052</v>
      </c>
      <c r="P27">
        <v>26</v>
      </c>
      <c r="Q27" t="s">
        <v>85</v>
      </c>
      <c r="R27" t="s">
        <v>8</v>
      </c>
      <c r="S27">
        <v>1</v>
      </c>
      <c r="T27">
        <v>3449</v>
      </c>
      <c r="U27">
        <v>3449</v>
      </c>
      <c r="AB27">
        <v>26</v>
      </c>
      <c r="AC27" t="s">
        <v>121</v>
      </c>
      <c r="AD27" t="s">
        <v>8</v>
      </c>
      <c r="AE27">
        <v>1</v>
      </c>
      <c r="AF27">
        <v>3667</v>
      </c>
      <c r="AG27">
        <v>3667</v>
      </c>
      <c r="AN27">
        <v>26</v>
      </c>
      <c r="AO27" t="s">
        <v>109</v>
      </c>
      <c r="AP27" t="s">
        <v>8</v>
      </c>
      <c r="AQ27">
        <v>1</v>
      </c>
      <c r="AR27">
        <v>4476</v>
      </c>
      <c r="AS27">
        <v>4476</v>
      </c>
      <c r="AZ27">
        <v>26</v>
      </c>
      <c r="BA27" t="s">
        <v>96</v>
      </c>
      <c r="BB27" t="s">
        <v>8</v>
      </c>
      <c r="BC27">
        <v>0</v>
      </c>
      <c r="BD27">
        <v>0</v>
      </c>
    </row>
    <row r="29" spans="4:56" x14ac:dyDescent="0.25">
      <c r="AE29" s="4">
        <f>SUM(AE2:AE28)</f>
        <v>16</v>
      </c>
      <c r="AF29" s="4">
        <f>AG29/AH29</f>
        <v>3882.125</v>
      </c>
      <c r="AG29">
        <f>SUM(AG2:AG28)</f>
        <v>62114</v>
      </c>
      <c r="AH29">
        <v>16</v>
      </c>
      <c r="AQ29" s="5">
        <f>SUM(AQ2:AQ28)</f>
        <v>19</v>
      </c>
      <c r="AS29">
        <f>SUM(AS2:AS28)</f>
        <v>83867</v>
      </c>
      <c r="BC29" s="5">
        <f>SUM(BC2:BC28)</f>
        <v>1</v>
      </c>
    </row>
    <row r="30" spans="4:56" x14ac:dyDescent="0.25">
      <c r="G30" s="4">
        <f>SUM(G2:G29)</f>
        <v>16</v>
      </c>
      <c r="I30">
        <f>SUM(I2:I29)</f>
        <v>60505</v>
      </c>
      <c r="J30">
        <v>16</v>
      </c>
      <c r="S30" s="4">
        <f>SUM(S2:S29)</f>
        <v>13</v>
      </c>
      <c r="T30" s="4">
        <f>U30/V30</f>
        <v>2964</v>
      </c>
      <c r="U30">
        <f>SUM(U2:U29)</f>
        <v>38532</v>
      </c>
      <c r="V30">
        <v>13</v>
      </c>
    </row>
    <row r="31" spans="4:56" x14ac:dyDescent="0.25">
      <c r="H31" s="4">
        <f>I30/J30</f>
        <v>3781.5625</v>
      </c>
      <c r="AR31" s="4">
        <f>AS29/AQ29</f>
        <v>4414.0526315789475</v>
      </c>
    </row>
    <row r="33" spans="13:21" x14ac:dyDescent="0.25">
      <c r="M33" t="s">
        <v>384</v>
      </c>
      <c r="N33" t="s">
        <v>94</v>
      </c>
      <c r="O33" t="s">
        <v>296</v>
      </c>
    </row>
    <row r="34" spans="13:21" x14ac:dyDescent="0.25">
      <c r="M34">
        <v>16</v>
      </c>
      <c r="N34">
        <v>13</v>
      </c>
      <c r="O34">
        <v>16</v>
      </c>
      <c r="S34" t="s">
        <v>384</v>
      </c>
      <c r="T34" t="s">
        <v>94</v>
      </c>
      <c r="U34" t="s">
        <v>296</v>
      </c>
    </row>
    <row r="35" spans="13:21" x14ac:dyDescent="0.25">
      <c r="S35">
        <v>3781.56</v>
      </c>
      <c r="T35">
        <v>2964</v>
      </c>
      <c r="U35">
        <v>3882.12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1"/>
  <sheetViews>
    <sheetView topLeftCell="Q1" workbookViewId="0">
      <selection activeCell="AE2" sqref="AE2:AE5"/>
    </sheetView>
  </sheetViews>
  <sheetFormatPr baseColWidth="10" defaultRowHeight="15" x14ac:dyDescent="0.25"/>
  <cols>
    <col min="1" max="1" width="20.7109375" customWidth="1"/>
    <col min="6" max="6" width="13.7109375" customWidth="1"/>
    <col min="7" max="7" width="14.42578125" customWidth="1"/>
    <col min="11" max="11" width="29.140625" customWidth="1"/>
    <col min="16" max="16" width="19.140625" customWidth="1"/>
    <col min="17" max="17" width="18.140625" customWidth="1"/>
    <col min="27" max="27" width="16.7109375" customWidth="1"/>
    <col min="28" max="28" width="17.28515625" customWidth="1"/>
    <col min="37" max="37" width="20.5703125" customWidth="1"/>
  </cols>
  <sheetData>
    <row r="1" spans="1:38" ht="15.75" x14ac:dyDescent="0.25">
      <c r="A1" s="1" t="s">
        <v>36</v>
      </c>
      <c r="B1" s="2" t="s">
        <v>0</v>
      </c>
      <c r="C1" s="2" t="s">
        <v>1</v>
      </c>
      <c r="D1" s="2" t="s">
        <v>2</v>
      </c>
      <c r="E1" s="2" t="s">
        <v>534</v>
      </c>
      <c r="F1" s="2" t="s">
        <v>3</v>
      </c>
      <c r="G1" s="2" t="s">
        <v>4</v>
      </c>
      <c r="H1" s="2" t="s">
        <v>535</v>
      </c>
      <c r="K1" s="1" t="s">
        <v>36</v>
      </c>
      <c r="L1" s="2" t="s">
        <v>0</v>
      </c>
      <c r="M1" s="2" t="s">
        <v>1</v>
      </c>
      <c r="N1" s="2" t="s">
        <v>2</v>
      </c>
      <c r="O1" s="2" t="s">
        <v>534</v>
      </c>
      <c r="P1" s="2" t="s">
        <v>3</v>
      </c>
      <c r="Q1" s="2" t="s">
        <v>4</v>
      </c>
      <c r="R1" s="2" t="s">
        <v>535</v>
      </c>
      <c r="V1" s="1" t="s">
        <v>36</v>
      </c>
      <c r="W1" s="2" t="s">
        <v>0</v>
      </c>
      <c r="X1" s="2" t="s">
        <v>1</v>
      </c>
      <c r="Y1" s="2" t="s">
        <v>2</v>
      </c>
      <c r="Z1" s="2" t="s">
        <v>534</v>
      </c>
      <c r="AA1" s="2" t="s">
        <v>3</v>
      </c>
      <c r="AB1" s="2" t="s">
        <v>4</v>
      </c>
      <c r="AC1" s="2" t="s">
        <v>535</v>
      </c>
      <c r="AE1" s="1" t="s">
        <v>36</v>
      </c>
      <c r="AF1" s="2" t="s">
        <v>0</v>
      </c>
      <c r="AG1" s="2" t="s">
        <v>1</v>
      </c>
      <c r="AH1" s="2" t="s">
        <v>2</v>
      </c>
      <c r="AI1" s="2" t="s">
        <v>38</v>
      </c>
      <c r="AJ1" s="2" t="s">
        <v>3</v>
      </c>
      <c r="AK1" s="2" t="s">
        <v>4</v>
      </c>
      <c r="AL1" s="2" t="s">
        <v>535</v>
      </c>
    </row>
    <row r="2" spans="1:38" ht="15.75" x14ac:dyDescent="0.25">
      <c r="A2" s="3" t="s">
        <v>6</v>
      </c>
      <c r="B2">
        <v>2</v>
      </c>
      <c r="C2">
        <v>1</v>
      </c>
      <c r="D2">
        <v>1</v>
      </c>
      <c r="E2" t="s">
        <v>550</v>
      </c>
      <c r="F2">
        <v>1</v>
      </c>
      <c r="G2">
        <v>2445</v>
      </c>
      <c r="H2">
        <v>2445</v>
      </c>
      <c r="K2" s="3" t="s">
        <v>94</v>
      </c>
      <c r="L2">
        <v>2</v>
      </c>
      <c r="M2">
        <v>2</v>
      </c>
      <c r="N2">
        <v>1</v>
      </c>
      <c r="O2" t="s">
        <v>553</v>
      </c>
      <c r="P2">
        <v>1</v>
      </c>
      <c r="Q2">
        <v>2292</v>
      </c>
      <c r="R2">
        <v>2292</v>
      </c>
      <c r="V2" s="3" t="s">
        <v>296</v>
      </c>
      <c r="W2">
        <v>1</v>
      </c>
      <c r="X2">
        <v>3</v>
      </c>
      <c r="Y2">
        <v>1</v>
      </c>
      <c r="Z2" t="s">
        <v>565</v>
      </c>
      <c r="AA2">
        <v>1</v>
      </c>
      <c r="AB2">
        <v>2374</v>
      </c>
      <c r="AE2" s="3" t="s">
        <v>525</v>
      </c>
      <c r="AF2">
        <v>1</v>
      </c>
      <c r="AG2">
        <v>4</v>
      </c>
      <c r="AH2">
        <v>1</v>
      </c>
      <c r="AI2" t="s">
        <v>588</v>
      </c>
      <c r="AJ2">
        <v>1</v>
      </c>
      <c r="AK2">
        <v>2568</v>
      </c>
      <c r="AL2">
        <v>2568</v>
      </c>
    </row>
    <row r="3" spans="1:38" ht="15.75" x14ac:dyDescent="0.25">
      <c r="A3" s="1" t="s">
        <v>537</v>
      </c>
      <c r="D3">
        <v>2</v>
      </c>
      <c r="E3" t="s">
        <v>562</v>
      </c>
      <c r="F3">
        <v>1</v>
      </c>
      <c r="G3">
        <v>2195</v>
      </c>
      <c r="H3">
        <v>2195</v>
      </c>
      <c r="K3" s="1" t="s">
        <v>537</v>
      </c>
      <c r="N3">
        <v>2</v>
      </c>
      <c r="O3" t="s">
        <v>545</v>
      </c>
      <c r="P3">
        <v>1</v>
      </c>
      <c r="Q3">
        <v>1843</v>
      </c>
      <c r="R3">
        <v>1843</v>
      </c>
      <c r="V3" s="1" t="s">
        <v>537</v>
      </c>
      <c r="Y3">
        <v>2</v>
      </c>
      <c r="Z3" t="s">
        <v>566</v>
      </c>
      <c r="AA3">
        <v>1</v>
      </c>
      <c r="AB3">
        <v>2331</v>
      </c>
      <c r="AE3" s="1" t="s">
        <v>537</v>
      </c>
      <c r="AH3">
        <v>2</v>
      </c>
      <c r="AI3" t="s">
        <v>567</v>
      </c>
      <c r="AJ3">
        <v>1</v>
      </c>
      <c r="AK3">
        <v>1972</v>
      </c>
      <c r="AL3">
        <v>1972</v>
      </c>
    </row>
    <row r="4" spans="1:38" x14ac:dyDescent="0.25">
      <c r="A4" s="2" t="s">
        <v>65</v>
      </c>
      <c r="D4">
        <v>3</v>
      </c>
      <c r="E4" t="s">
        <v>559</v>
      </c>
      <c r="F4">
        <v>1</v>
      </c>
      <c r="G4">
        <v>2394</v>
      </c>
      <c r="H4">
        <v>2394</v>
      </c>
      <c r="K4" s="2" t="s">
        <v>95</v>
      </c>
      <c r="N4">
        <v>3</v>
      </c>
      <c r="O4" t="s">
        <v>541</v>
      </c>
      <c r="P4">
        <v>1</v>
      </c>
      <c r="Q4">
        <v>2476</v>
      </c>
      <c r="R4">
        <v>2476</v>
      </c>
      <c r="V4" s="2" t="s">
        <v>123</v>
      </c>
      <c r="Y4">
        <v>3</v>
      </c>
      <c r="Z4" t="s">
        <v>567</v>
      </c>
      <c r="AA4">
        <v>1</v>
      </c>
      <c r="AB4">
        <v>1864</v>
      </c>
      <c r="AE4" s="2" t="s">
        <v>591</v>
      </c>
      <c r="AH4">
        <v>3</v>
      </c>
      <c r="AI4" t="s">
        <v>585</v>
      </c>
      <c r="AJ4">
        <v>1</v>
      </c>
      <c r="AK4">
        <v>2042</v>
      </c>
      <c r="AL4">
        <v>2042</v>
      </c>
    </row>
    <row r="5" spans="1:38" x14ac:dyDescent="0.25">
      <c r="A5" t="s">
        <v>563</v>
      </c>
      <c r="D5">
        <v>4</v>
      </c>
      <c r="E5" t="s">
        <v>540</v>
      </c>
      <c r="F5">
        <v>1</v>
      </c>
      <c r="G5">
        <v>3128</v>
      </c>
      <c r="H5">
        <v>3128</v>
      </c>
      <c r="K5" t="s">
        <v>563</v>
      </c>
      <c r="N5">
        <v>4</v>
      </c>
      <c r="O5" t="s">
        <v>544</v>
      </c>
      <c r="P5">
        <v>1</v>
      </c>
      <c r="Q5">
        <v>3166</v>
      </c>
      <c r="R5">
        <v>3166</v>
      </c>
      <c r="V5" t="s">
        <v>564</v>
      </c>
      <c r="Y5">
        <v>4</v>
      </c>
      <c r="Z5" t="s">
        <v>568</v>
      </c>
      <c r="AA5">
        <v>1</v>
      </c>
      <c r="AB5">
        <v>2385</v>
      </c>
      <c r="AE5" t="s">
        <v>563</v>
      </c>
      <c r="AH5">
        <v>4</v>
      </c>
      <c r="AI5" t="s">
        <v>568</v>
      </c>
      <c r="AJ5">
        <v>1</v>
      </c>
      <c r="AK5">
        <v>2160</v>
      </c>
      <c r="AL5">
        <v>2160</v>
      </c>
    </row>
    <row r="6" spans="1:38" x14ac:dyDescent="0.25">
      <c r="D6">
        <v>5</v>
      </c>
      <c r="E6" t="s">
        <v>547</v>
      </c>
      <c r="F6" s="4">
        <v>0</v>
      </c>
      <c r="G6" s="4">
        <v>2410</v>
      </c>
      <c r="H6" s="4"/>
      <c r="N6">
        <v>5</v>
      </c>
      <c r="O6" t="s">
        <v>559</v>
      </c>
      <c r="P6">
        <v>1</v>
      </c>
      <c r="Q6">
        <v>2653</v>
      </c>
      <c r="R6">
        <v>2653</v>
      </c>
      <c r="Y6">
        <v>5</v>
      </c>
      <c r="Z6" t="s">
        <v>569</v>
      </c>
      <c r="AA6">
        <v>1</v>
      </c>
      <c r="AB6">
        <v>1854</v>
      </c>
      <c r="AH6">
        <v>5</v>
      </c>
      <c r="AI6" t="s">
        <v>586</v>
      </c>
      <c r="AJ6">
        <v>1</v>
      </c>
      <c r="AK6">
        <v>3017</v>
      </c>
      <c r="AL6">
        <v>3017</v>
      </c>
    </row>
    <row r="7" spans="1:38" x14ac:dyDescent="0.25">
      <c r="D7">
        <v>6</v>
      </c>
      <c r="E7" t="s">
        <v>552</v>
      </c>
      <c r="F7">
        <v>1</v>
      </c>
      <c r="G7">
        <v>2687</v>
      </c>
      <c r="H7">
        <v>2687</v>
      </c>
      <c r="N7">
        <v>6</v>
      </c>
      <c r="O7" t="s">
        <v>562</v>
      </c>
      <c r="P7">
        <v>1</v>
      </c>
      <c r="Q7">
        <v>2703</v>
      </c>
      <c r="R7">
        <v>2703</v>
      </c>
      <c r="Y7">
        <v>6</v>
      </c>
      <c r="Z7" t="s">
        <v>570</v>
      </c>
      <c r="AA7">
        <v>1</v>
      </c>
      <c r="AB7">
        <v>2067</v>
      </c>
      <c r="AH7">
        <v>6</v>
      </c>
      <c r="AI7" t="s">
        <v>577</v>
      </c>
      <c r="AJ7">
        <v>1</v>
      </c>
      <c r="AK7">
        <v>2471</v>
      </c>
      <c r="AL7">
        <v>2471</v>
      </c>
    </row>
    <row r="8" spans="1:38" x14ac:dyDescent="0.25">
      <c r="D8">
        <v>7</v>
      </c>
      <c r="E8" t="s">
        <v>544</v>
      </c>
      <c r="F8">
        <v>1</v>
      </c>
      <c r="G8">
        <v>3316</v>
      </c>
      <c r="H8">
        <v>3316</v>
      </c>
      <c r="N8">
        <v>7</v>
      </c>
      <c r="O8" t="s">
        <v>558</v>
      </c>
      <c r="P8">
        <v>1</v>
      </c>
      <c r="Q8">
        <v>2998</v>
      </c>
      <c r="R8">
        <v>2998</v>
      </c>
      <c r="Y8">
        <v>7</v>
      </c>
      <c r="Z8" t="s">
        <v>571</v>
      </c>
      <c r="AA8">
        <v>1</v>
      </c>
      <c r="AB8">
        <v>2060</v>
      </c>
      <c r="AH8">
        <v>7</v>
      </c>
      <c r="AI8" t="s">
        <v>573</v>
      </c>
      <c r="AJ8">
        <v>1</v>
      </c>
      <c r="AK8">
        <v>2705</v>
      </c>
      <c r="AL8">
        <v>2705</v>
      </c>
    </row>
    <row r="9" spans="1:38" x14ac:dyDescent="0.25">
      <c r="D9">
        <v>8</v>
      </c>
      <c r="E9" t="s">
        <v>553</v>
      </c>
      <c r="F9">
        <v>1</v>
      </c>
      <c r="G9">
        <v>2840</v>
      </c>
      <c r="H9">
        <v>2840</v>
      </c>
      <c r="N9">
        <v>8</v>
      </c>
      <c r="O9" t="s">
        <v>539</v>
      </c>
      <c r="P9">
        <v>1</v>
      </c>
      <c r="Q9">
        <v>3206</v>
      </c>
      <c r="R9">
        <v>3206</v>
      </c>
      <c r="Y9">
        <v>8</v>
      </c>
      <c r="Z9" t="s">
        <v>572</v>
      </c>
      <c r="AA9">
        <v>1</v>
      </c>
      <c r="AB9">
        <v>1684</v>
      </c>
      <c r="AH9">
        <v>8</v>
      </c>
      <c r="AI9" t="s">
        <v>565</v>
      </c>
      <c r="AJ9">
        <v>1</v>
      </c>
      <c r="AK9">
        <v>2607</v>
      </c>
      <c r="AL9">
        <v>2607</v>
      </c>
    </row>
    <row r="10" spans="1:38" x14ac:dyDescent="0.25">
      <c r="D10">
        <v>9</v>
      </c>
      <c r="E10" t="s">
        <v>536</v>
      </c>
      <c r="F10">
        <v>1</v>
      </c>
      <c r="G10">
        <v>2144</v>
      </c>
      <c r="H10">
        <v>2144</v>
      </c>
      <c r="N10">
        <v>9</v>
      </c>
      <c r="O10" t="s">
        <v>538</v>
      </c>
      <c r="P10">
        <v>1</v>
      </c>
      <c r="Q10">
        <v>2643</v>
      </c>
      <c r="R10">
        <v>2643</v>
      </c>
      <c r="Y10">
        <v>9</v>
      </c>
      <c r="Z10" t="s">
        <v>573</v>
      </c>
      <c r="AA10">
        <v>1</v>
      </c>
      <c r="AB10">
        <v>2243</v>
      </c>
      <c r="AH10">
        <v>9</v>
      </c>
      <c r="AI10" t="s">
        <v>584</v>
      </c>
      <c r="AJ10">
        <v>1</v>
      </c>
      <c r="AK10">
        <v>2445</v>
      </c>
      <c r="AL10">
        <v>2445</v>
      </c>
    </row>
    <row r="11" spans="1:38" x14ac:dyDescent="0.25">
      <c r="D11">
        <v>10</v>
      </c>
      <c r="E11" t="s">
        <v>549</v>
      </c>
      <c r="F11">
        <v>1</v>
      </c>
      <c r="G11">
        <v>2523</v>
      </c>
      <c r="H11">
        <v>2523</v>
      </c>
      <c r="N11">
        <v>10</v>
      </c>
      <c r="O11" t="s">
        <v>560</v>
      </c>
      <c r="P11">
        <v>1</v>
      </c>
      <c r="Q11">
        <v>3331</v>
      </c>
      <c r="R11">
        <v>3331</v>
      </c>
      <c r="Y11">
        <v>10</v>
      </c>
      <c r="Z11" t="s">
        <v>574</v>
      </c>
      <c r="AA11">
        <v>1</v>
      </c>
      <c r="AB11">
        <v>3379</v>
      </c>
      <c r="AH11">
        <v>10</v>
      </c>
      <c r="AI11" t="s">
        <v>572</v>
      </c>
      <c r="AJ11">
        <v>1</v>
      </c>
      <c r="AK11">
        <v>2182</v>
      </c>
      <c r="AL11">
        <v>2182</v>
      </c>
    </row>
    <row r="12" spans="1:38" x14ac:dyDescent="0.25">
      <c r="D12">
        <v>11</v>
      </c>
      <c r="E12" t="s">
        <v>556</v>
      </c>
      <c r="F12">
        <v>1</v>
      </c>
      <c r="G12">
        <v>2569</v>
      </c>
      <c r="H12">
        <v>2569</v>
      </c>
      <c r="N12">
        <v>11</v>
      </c>
      <c r="O12" t="s">
        <v>556</v>
      </c>
      <c r="P12">
        <v>1</v>
      </c>
      <c r="Q12">
        <v>2421</v>
      </c>
      <c r="R12">
        <v>2421</v>
      </c>
      <c r="Y12">
        <v>11</v>
      </c>
      <c r="Z12" t="s">
        <v>575</v>
      </c>
      <c r="AA12">
        <v>1</v>
      </c>
      <c r="AB12">
        <v>2043</v>
      </c>
      <c r="AH12">
        <v>11</v>
      </c>
      <c r="AI12" t="s">
        <v>569</v>
      </c>
      <c r="AJ12">
        <v>1</v>
      </c>
      <c r="AK12">
        <v>2843</v>
      </c>
      <c r="AL12">
        <v>2843</v>
      </c>
    </row>
    <row r="13" spans="1:38" x14ac:dyDescent="0.25">
      <c r="D13">
        <v>12</v>
      </c>
      <c r="E13" t="s">
        <v>551</v>
      </c>
      <c r="F13">
        <v>1</v>
      </c>
      <c r="G13">
        <v>3120</v>
      </c>
      <c r="H13">
        <v>3120</v>
      </c>
      <c r="N13">
        <v>12</v>
      </c>
      <c r="O13" t="s">
        <v>543</v>
      </c>
      <c r="P13">
        <v>1</v>
      </c>
      <c r="Q13">
        <v>2621</v>
      </c>
      <c r="R13">
        <v>2621</v>
      </c>
      <c r="Y13">
        <v>12</v>
      </c>
      <c r="Z13" t="s">
        <v>576</v>
      </c>
      <c r="AA13">
        <v>1</v>
      </c>
      <c r="AB13">
        <v>1940</v>
      </c>
      <c r="AH13">
        <v>12</v>
      </c>
      <c r="AI13" t="s">
        <v>589</v>
      </c>
      <c r="AJ13">
        <v>1</v>
      </c>
      <c r="AK13">
        <v>3132</v>
      </c>
      <c r="AL13">
        <v>3132</v>
      </c>
    </row>
    <row r="14" spans="1:38" x14ac:dyDescent="0.25">
      <c r="D14">
        <v>13</v>
      </c>
      <c r="E14" t="s">
        <v>538</v>
      </c>
      <c r="F14">
        <v>1</v>
      </c>
      <c r="G14">
        <v>3023</v>
      </c>
      <c r="H14">
        <v>3023</v>
      </c>
      <c r="N14">
        <v>13</v>
      </c>
      <c r="O14" t="s">
        <v>555</v>
      </c>
      <c r="P14">
        <v>1</v>
      </c>
      <c r="Q14">
        <v>2069</v>
      </c>
      <c r="R14">
        <v>2069</v>
      </c>
      <c r="Y14">
        <v>13</v>
      </c>
      <c r="Z14" t="s">
        <v>577</v>
      </c>
      <c r="AA14">
        <v>1</v>
      </c>
      <c r="AB14">
        <v>2722</v>
      </c>
      <c r="AH14">
        <v>13</v>
      </c>
      <c r="AI14" t="s">
        <v>576</v>
      </c>
      <c r="AJ14">
        <v>1</v>
      </c>
      <c r="AK14">
        <v>3480</v>
      </c>
      <c r="AL14">
        <v>3480</v>
      </c>
    </row>
    <row r="15" spans="1:38" x14ac:dyDescent="0.25">
      <c r="D15">
        <v>14</v>
      </c>
      <c r="E15" t="s">
        <v>554</v>
      </c>
      <c r="F15">
        <v>1</v>
      </c>
      <c r="G15">
        <v>2650</v>
      </c>
      <c r="H15">
        <v>2650</v>
      </c>
      <c r="N15">
        <v>14</v>
      </c>
      <c r="O15" t="s">
        <v>552</v>
      </c>
      <c r="P15">
        <v>1</v>
      </c>
      <c r="Q15">
        <v>2307</v>
      </c>
      <c r="R15">
        <v>2307</v>
      </c>
      <c r="Y15">
        <v>14</v>
      </c>
      <c r="Z15" t="s">
        <v>578</v>
      </c>
      <c r="AA15">
        <v>1</v>
      </c>
      <c r="AB15">
        <v>3474</v>
      </c>
      <c r="AH15">
        <v>14</v>
      </c>
      <c r="AI15" t="s">
        <v>590</v>
      </c>
      <c r="AJ15">
        <v>1</v>
      </c>
      <c r="AK15">
        <v>2370</v>
      </c>
      <c r="AL15">
        <v>2370</v>
      </c>
    </row>
    <row r="16" spans="1:38" x14ac:dyDescent="0.25">
      <c r="D16">
        <v>15</v>
      </c>
      <c r="E16" t="s">
        <v>543</v>
      </c>
      <c r="F16">
        <v>1</v>
      </c>
      <c r="G16">
        <v>3672</v>
      </c>
      <c r="H16">
        <v>3672</v>
      </c>
      <c r="N16">
        <v>15</v>
      </c>
      <c r="O16" t="s">
        <v>540</v>
      </c>
      <c r="P16">
        <v>1</v>
      </c>
      <c r="Q16">
        <v>3002</v>
      </c>
      <c r="R16">
        <v>3002</v>
      </c>
      <c r="Y16">
        <v>15</v>
      </c>
      <c r="Z16" t="s">
        <v>579</v>
      </c>
      <c r="AA16">
        <v>1</v>
      </c>
      <c r="AB16">
        <v>2117</v>
      </c>
      <c r="AH16">
        <v>15</v>
      </c>
      <c r="AI16" t="s">
        <v>566</v>
      </c>
      <c r="AJ16">
        <v>1</v>
      </c>
      <c r="AK16">
        <v>2313</v>
      </c>
      <c r="AL16">
        <v>2313</v>
      </c>
    </row>
    <row r="17" spans="4:38" x14ac:dyDescent="0.25">
      <c r="D17">
        <v>16</v>
      </c>
      <c r="E17" t="s">
        <v>561</v>
      </c>
      <c r="F17" s="4">
        <v>0</v>
      </c>
      <c r="G17" s="4">
        <v>3840</v>
      </c>
      <c r="H17" s="4"/>
      <c r="N17">
        <v>16</v>
      </c>
      <c r="O17" t="s">
        <v>551</v>
      </c>
      <c r="P17">
        <v>1</v>
      </c>
      <c r="Q17">
        <v>3128</v>
      </c>
      <c r="R17">
        <v>3128</v>
      </c>
      <c r="Y17">
        <v>16</v>
      </c>
      <c r="Z17" t="s">
        <v>580</v>
      </c>
      <c r="AA17">
        <v>1</v>
      </c>
      <c r="AB17">
        <v>2224</v>
      </c>
      <c r="AH17">
        <v>16</v>
      </c>
      <c r="AI17" t="s">
        <v>582</v>
      </c>
      <c r="AJ17">
        <v>1</v>
      </c>
      <c r="AK17">
        <v>2680</v>
      </c>
      <c r="AL17">
        <v>2680</v>
      </c>
    </row>
    <row r="18" spans="4:38" x14ac:dyDescent="0.25">
      <c r="D18">
        <v>17</v>
      </c>
      <c r="E18" t="s">
        <v>560</v>
      </c>
      <c r="F18" s="7">
        <v>1</v>
      </c>
      <c r="G18" s="7">
        <v>3286</v>
      </c>
      <c r="H18" s="7">
        <v>3286</v>
      </c>
      <c r="N18">
        <v>17</v>
      </c>
      <c r="O18" t="s">
        <v>542</v>
      </c>
      <c r="P18">
        <v>1</v>
      </c>
      <c r="Q18">
        <v>2810</v>
      </c>
      <c r="R18">
        <v>2810</v>
      </c>
      <c r="Y18">
        <v>17</v>
      </c>
      <c r="Z18" t="s">
        <v>581</v>
      </c>
      <c r="AA18">
        <v>1</v>
      </c>
      <c r="AB18">
        <v>2219</v>
      </c>
      <c r="AH18">
        <v>17</v>
      </c>
      <c r="AI18" t="s">
        <v>578</v>
      </c>
      <c r="AJ18" s="4">
        <v>0</v>
      </c>
      <c r="AK18" s="4">
        <v>2615</v>
      </c>
      <c r="AL18" s="4"/>
    </row>
    <row r="19" spans="4:38" x14ac:dyDescent="0.25">
      <c r="D19">
        <v>18</v>
      </c>
      <c r="E19" t="s">
        <v>548</v>
      </c>
      <c r="F19">
        <v>1</v>
      </c>
      <c r="G19">
        <v>3136</v>
      </c>
      <c r="H19">
        <v>3136</v>
      </c>
      <c r="N19">
        <v>18</v>
      </c>
      <c r="O19" t="s">
        <v>561</v>
      </c>
      <c r="P19" s="4">
        <v>0</v>
      </c>
      <c r="Q19" s="4">
        <v>3510</v>
      </c>
      <c r="R19" s="4"/>
      <c r="Y19">
        <v>18</v>
      </c>
      <c r="Z19" t="s">
        <v>582</v>
      </c>
      <c r="AA19">
        <v>1</v>
      </c>
      <c r="AB19">
        <v>2637</v>
      </c>
      <c r="AH19">
        <v>18</v>
      </c>
      <c r="AI19" t="s">
        <v>580</v>
      </c>
      <c r="AJ19">
        <v>1</v>
      </c>
      <c r="AK19">
        <v>4352</v>
      </c>
      <c r="AL19">
        <v>4352</v>
      </c>
    </row>
    <row r="20" spans="4:38" x14ac:dyDescent="0.25">
      <c r="D20">
        <v>19</v>
      </c>
      <c r="E20" t="s">
        <v>541</v>
      </c>
      <c r="F20">
        <v>1</v>
      </c>
      <c r="G20">
        <v>2566</v>
      </c>
      <c r="H20">
        <v>2566</v>
      </c>
      <c r="N20">
        <v>19</v>
      </c>
      <c r="O20" t="s">
        <v>548</v>
      </c>
      <c r="P20">
        <v>1</v>
      </c>
      <c r="Q20">
        <v>3685</v>
      </c>
      <c r="R20">
        <v>3685</v>
      </c>
      <c r="Y20">
        <v>19</v>
      </c>
      <c r="Z20" t="s">
        <v>583</v>
      </c>
      <c r="AA20">
        <v>1</v>
      </c>
      <c r="AB20">
        <v>2263</v>
      </c>
      <c r="AH20">
        <v>19</v>
      </c>
      <c r="AI20" t="s">
        <v>583</v>
      </c>
      <c r="AJ20">
        <v>1</v>
      </c>
      <c r="AK20">
        <v>2669</v>
      </c>
      <c r="AL20">
        <v>2669</v>
      </c>
    </row>
    <row r="21" spans="4:38" x14ac:dyDescent="0.25">
      <c r="D21">
        <v>20</v>
      </c>
      <c r="E21" t="s">
        <v>555</v>
      </c>
      <c r="F21">
        <v>1</v>
      </c>
      <c r="G21">
        <v>2887</v>
      </c>
      <c r="H21">
        <v>2887</v>
      </c>
      <c r="N21">
        <v>20</v>
      </c>
      <c r="O21" t="s">
        <v>557</v>
      </c>
      <c r="P21">
        <v>1</v>
      </c>
      <c r="Q21">
        <v>2554</v>
      </c>
      <c r="R21">
        <v>2554</v>
      </c>
      <c r="Y21">
        <v>20</v>
      </c>
      <c r="Z21" t="s">
        <v>584</v>
      </c>
      <c r="AA21">
        <v>1</v>
      </c>
      <c r="AB21">
        <v>2224</v>
      </c>
      <c r="AH21">
        <v>20</v>
      </c>
      <c r="AI21" t="s">
        <v>587</v>
      </c>
      <c r="AJ21">
        <v>1</v>
      </c>
      <c r="AK21">
        <v>2718</v>
      </c>
      <c r="AL21">
        <v>2718</v>
      </c>
    </row>
    <row r="22" spans="4:38" x14ac:dyDescent="0.25">
      <c r="D22">
        <v>21</v>
      </c>
      <c r="E22" t="s">
        <v>558</v>
      </c>
      <c r="F22">
        <v>1</v>
      </c>
      <c r="G22">
        <v>3281</v>
      </c>
      <c r="H22">
        <v>3281</v>
      </c>
      <c r="N22">
        <v>21</v>
      </c>
      <c r="O22" t="s">
        <v>536</v>
      </c>
      <c r="P22">
        <v>1</v>
      </c>
      <c r="Q22">
        <v>2459</v>
      </c>
      <c r="R22">
        <v>2459</v>
      </c>
      <c r="Y22">
        <v>21</v>
      </c>
      <c r="Z22" t="s">
        <v>585</v>
      </c>
      <c r="AA22">
        <v>1</v>
      </c>
      <c r="AB22">
        <v>2395</v>
      </c>
      <c r="AH22">
        <v>21</v>
      </c>
      <c r="AI22" t="s">
        <v>574</v>
      </c>
      <c r="AJ22">
        <v>1</v>
      </c>
      <c r="AK22">
        <v>2457</v>
      </c>
      <c r="AL22">
        <v>2457</v>
      </c>
    </row>
    <row r="23" spans="4:38" x14ac:dyDescent="0.25">
      <c r="D23">
        <v>22</v>
      </c>
      <c r="E23" t="s">
        <v>542</v>
      </c>
      <c r="F23">
        <v>1</v>
      </c>
      <c r="G23">
        <v>2659</v>
      </c>
      <c r="H23">
        <v>2659</v>
      </c>
      <c r="N23">
        <v>22</v>
      </c>
      <c r="O23" t="s">
        <v>554</v>
      </c>
      <c r="P23">
        <v>1</v>
      </c>
      <c r="Q23">
        <v>2922</v>
      </c>
      <c r="R23">
        <v>2922</v>
      </c>
      <c r="Y23">
        <v>22</v>
      </c>
      <c r="Z23" t="s">
        <v>586</v>
      </c>
      <c r="AA23">
        <v>1</v>
      </c>
      <c r="AB23">
        <v>1927</v>
      </c>
      <c r="AH23">
        <v>22</v>
      </c>
      <c r="AI23" t="s">
        <v>581</v>
      </c>
      <c r="AJ23" s="4">
        <v>0</v>
      </c>
      <c r="AK23" s="4">
        <v>2186</v>
      </c>
      <c r="AL23" s="4"/>
    </row>
    <row r="24" spans="4:38" x14ac:dyDescent="0.25">
      <c r="D24">
        <v>23</v>
      </c>
      <c r="E24" t="s">
        <v>545</v>
      </c>
      <c r="F24">
        <v>1</v>
      </c>
      <c r="G24">
        <v>2717</v>
      </c>
      <c r="H24">
        <v>2717</v>
      </c>
      <c r="N24">
        <v>23</v>
      </c>
      <c r="O24" t="s">
        <v>549</v>
      </c>
      <c r="P24">
        <v>1</v>
      </c>
      <c r="Q24">
        <v>4095</v>
      </c>
      <c r="R24">
        <v>4095</v>
      </c>
      <c r="Y24">
        <v>23</v>
      </c>
      <c r="Z24" t="s">
        <v>587</v>
      </c>
      <c r="AA24">
        <v>1</v>
      </c>
      <c r="AB24">
        <v>1939</v>
      </c>
      <c r="AH24">
        <v>23</v>
      </c>
      <c r="AI24" t="s">
        <v>575</v>
      </c>
      <c r="AJ24">
        <v>1</v>
      </c>
      <c r="AK24">
        <v>3837</v>
      </c>
      <c r="AL24">
        <v>3837</v>
      </c>
    </row>
    <row r="25" spans="4:38" x14ac:dyDescent="0.25">
      <c r="D25">
        <v>24</v>
      </c>
      <c r="E25" t="s">
        <v>539</v>
      </c>
      <c r="F25">
        <v>1</v>
      </c>
      <c r="G25">
        <v>3232</v>
      </c>
      <c r="H25">
        <v>3232</v>
      </c>
      <c r="N25">
        <v>24</v>
      </c>
      <c r="O25" t="s">
        <v>550</v>
      </c>
      <c r="P25" s="4">
        <v>0</v>
      </c>
      <c r="Q25" s="4">
        <v>3363</v>
      </c>
      <c r="R25" s="4"/>
      <c r="Y25">
        <v>24</v>
      </c>
      <c r="Z25" t="s">
        <v>588</v>
      </c>
      <c r="AA25">
        <v>1</v>
      </c>
      <c r="AB25">
        <v>2182</v>
      </c>
      <c r="AH25">
        <v>24</v>
      </c>
      <c r="AI25" t="s">
        <v>571</v>
      </c>
      <c r="AJ25">
        <v>1</v>
      </c>
      <c r="AK25">
        <v>2819</v>
      </c>
      <c r="AL25">
        <v>2819</v>
      </c>
    </row>
    <row r="26" spans="4:38" x14ac:dyDescent="0.25">
      <c r="D26">
        <v>25</v>
      </c>
      <c r="E26" t="s">
        <v>557</v>
      </c>
      <c r="F26">
        <v>1</v>
      </c>
      <c r="G26">
        <v>2887</v>
      </c>
      <c r="H26">
        <v>2887</v>
      </c>
      <c r="N26">
        <v>25</v>
      </c>
      <c r="O26" t="s">
        <v>547</v>
      </c>
      <c r="P26">
        <v>1</v>
      </c>
      <c r="Q26">
        <v>4557</v>
      </c>
      <c r="R26">
        <v>4557</v>
      </c>
      <c r="Y26">
        <v>25</v>
      </c>
      <c r="Z26" t="s">
        <v>589</v>
      </c>
      <c r="AA26">
        <v>1</v>
      </c>
      <c r="AB26">
        <v>2193</v>
      </c>
      <c r="AH26">
        <v>25</v>
      </c>
      <c r="AI26" t="s">
        <v>579</v>
      </c>
      <c r="AJ26">
        <v>1</v>
      </c>
      <c r="AK26">
        <v>2704</v>
      </c>
      <c r="AL26">
        <v>2704</v>
      </c>
    </row>
    <row r="27" spans="4:38" x14ac:dyDescent="0.25">
      <c r="D27">
        <v>26</v>
      </c>
      <c r="E27" t="s">
        <v>546</v>
      </c>
      <c r="F27">
        <v>1</v>
      </c>
      <c r="G27">
        <v>3628</v>
      </c>
      <c r="H27">
        <v>3628</v>
      </c>
      <c r="N27">
        <v>26</v>
      </c>
      <c r="O27" t="s">
        <v>546</v>
      </c>
      <c r="P27">
        <v>1</v>
      </c>
      <c r="Q27">
        <v>3654</v>
      </c>
      <c r="R27">
        <v>3654</v>
      </c>
      <c r="Y27">
        <v>26</v>
      </c>
      <c r="Z27" t="s">
        <v>590</v>
      </c>
      <c r="AA27">
        <v>1</v>
      </c>
      <c r="AB27">
        <v>2120</v>
      </c>
      <c r="AH27">
        <v>26</v>
      </c>
      <c r="AI27" t="s">
        <v>570</v>
      </c>
      <c r="AJ27">
        <v>1</v>
      </c>
      <c r="AK27">
        <v>3762</v>
      </c>
      <c r="AL27">
        <v>3762</v>
      </c>
    </row>
    <row r="29" spans="4:38" x14ac:dyDescent="0.25">
      <c r="F29">
        <f>SUM(F2:F28)</f>
        <v>24</v>
      </c>
      <c r="H29">
        <f>SUM(H2:H28)</f>
        <v>68985</v>
      </c>
      <c r="P29">
        <f>SUM(P2:P28)</f>
        <v>24</v>
      </c>
      <c r="R29">
        <f>SUM(R2:R28)</f>
        <v>69595</v>
      </c>
      <c r="AA29">
        <f>SUM(AA2:AA28)</f>
        <v>26</v>
      </c>
      <c r="AB29">
        <f>SUM(AB2:AB28)</f>
        <v>58860</v>
      </c>
      <c r="AJ29">
        <f>SUM(AJ2:AJ28)</f>
        <v>24</v>
      </c>
      <c r="AL29">
        <f>SUM(AL2:AL28)</f>
        <v>66305</v>
      </c>
    </row>
    <row r="31" spans="4:38" x14ac:dyDescent="0.25">
      <c r="G31" s="18">
        <f>H29/F29</f>
        <v>2874.375</v>
      </c>
      <c r="Q31" s="5">
        <f>R29/P29</f>
        <v>2899.7916666666665</v>
      </c>
      <c r="AB31" s="5">
        <f>AB29/AA29</f>
        <v>2263.8461538461538</v>
      </c>
      <c r="AK31" s="5">
        <f>AL29/AJ29</f>
        <v>2762.7083333333335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1"/>
  <sheetViews>
    <sheetView topLeftCell="R1" workbookViewId="0">
      <selection activeCell="AE4" sqref="AE4"/>
    </sheetView>
  </sheetViews>
  <sheetFormatPr baseColWidth="10" defaultRowHeight="15" x14ac:dyDescent="0.25"/>
  <cols>
    <col min="22" max="22" width="27.5703125" customWidth="1"/>
    <col min="27" max="27" width="14.42578125" customWidth="1"/>
  </cols>
  <sheetData>
    <row r="1" spans="1:38" ht="15.75" x14ac:dyDescent="0.25">
      <c r="A1" s="1" t="s">
        <v>36</v>
      </c>
      <c r="B1" s="2" t="s">
        <v>0</v>
      </c>
      <c r="C1" s="2" t="s">
        <v>1</v>
      </c>
      <c r="D1" s="2" t="s">
        <v>2</v>
      </c>
      <c r="E1" s="2" t="s">
        <v>534</v>
      </c>
      <c r="F1" s="2" t="s">
        <v>3</v>
      </c>
      <c r="G1" s="2" t="s">
        <v>4</v>
      </c>
      <c r="H1" s="2" t="s">
        <v>535</v>
      </c>
      <c r="K1" s="1" t="s">
        <v>36</v>
      </c>
      <c r="L1" s="2" t="s">
        <v>0</v>
      </c>
      <c r="M1" s="2" t="s">
        <v>1</v>
      </c>
      <c r="N1" s="2" t="s">
        <v>2</v>
      </c>
      <c r="O1" s="2" t="s">
        <v>534</v>
      </c>
      <c r="P1" s="2" t="s">
        <v>3</v>
      </c>
      <c r="Q1" s="2" t="s">
        <v>4</v>
      </c>
      <c r="R1" s="2" t="s">
        <v>535</v>
      </c>
      <c r="V1" s="1" t="s">
        <v>36</v>
      </c>
      <c r="W1" s="2" t="s">
        <v>0</v>
      </c>
      <c r="X1" s="2" t="s">
        <v>1</v>
      </c>
      <c r="Y1" s="2" t="s">
        <v>2</v>
      </c>
      <c r="Z1" s="2" t="s">
        <v>38</v>
      </c>
      <c r="AA1" s="2" t="s">
        <v>3</v>
      </c>
      <c r="AB1" s="2" t="s">
        <v>4</v>
      </c>
      <c r="AC1" s="2" t="s">
        <v>535</v>
      </c>
      <c r="AE1" s="1" t="s">
        <v>36</v>
      </c>
      <c r="AF1" s="2" t="s">
        <v>0</v>
      </c>
      <c r="AG1" s="2" t="s">
        <v>1</v>
      </c>
      <c r="AH1" s="2" t="s">
        <v>2</v>
      </c>
      <c r="AI1" s="2" t="s">
        <v>38</v>
      </c>
      <c r="AJ1" s="2" t="s">
        <v>3</v>
      </c>
      <c r="AK1" s="2" t="s">
        <v>4</v>
      </c>
      <c r="AL1" s="2" t="s">
        <v>535</v>
      </c>
    </row>
    <row r="2" spans="1:38" ht="15.75" x14ac:dyDescent="0.25">
      <c r="A2" s="3" t="s">
        <v>6</v>
      </c>
      <c r="B2">
        <v>2</v>
      </c>
      <c r="C2">
        <v>1</v>
      </c>
      <c r="D2">
        <v>1</v>
      </c>
      <c r="E2" t="s">
        <v>593</v>
      </c>
      <c r="F2" s="4">
        <v>0</v>
      </c>
      <c r="G2" s="4">
        <v>2077</v>
      </c>
      <c r="H2" s="4"/>
      <c r="K2" s="3" t="s">
        <v>94</v>
      </c>
      <c r="L2">
        <v>2</v>
      </c>
      <c r="M2">
        <v>2</v>
      </c>
      <c r="N2">
        <v>1</v>
      </c>
      <c r="O2" t="s">
        <v>605</v>
      </c>
      <c r="P2">
        <v>1</v>
      </c>
      <c r="Q2">
        <v>4215</v>
      </c>
      <c r="R2">
        <v>4215</v>
      </c>
      <c r="V2" s="3" t="s">
        <v>296</v>
      </c>
      <c r="W2">
        <v>1</v>
      </c>
      <c r="X2">
        <v>3</v>
      </c>
      <c r="Y2">
        <v>1</v>
      </c>
      <c r="Z2" t="s">
        <v>628</v>
      </c>
      <c r="AA2" s="4">
        <v>0</v>
      </c>
      <c r="AB2" s="4">
        <v>3618</v>
      </c>
      <c r="AC2" s="4"/>
      <c r="AE2" s="3" t="s">
        <v>525</v>
      </c>
      <c r="AF2">
        <v>1</v>
      </c>
      <c r="AG2">
        <v>4</v>
      </c>
      <c r="AH2">
        <v>1</v>
      </c>
      <c r="AI2" t="s">
        <v>621</v>
      </c>
      <c r="AJ2">
        <v>1</v>
      </c>
      <c r="AK2">
        <v>2872</v>
      </c>
      <c r="AL2">
        <v>2872</v>
      </c>
    </row>
    <row r="3" spans="1:38" ht="15.75" x14ac:dyDescent="0.25">
      <c r="A3" s="1" t="s">
        <v>592</v>
      </c>
      <c r="D3">
        <v>2</v>
      </c>
      <c r="E3" t="s">
        <v>594</v>
      </c>
      <c r="F3">
        <v>1</v>
      </c>
      <c r="G3">
        <v>2316</v>
      </c>
      <c r="H3">
        <v>2316</v>
      </c>
      <c r="K3" s="1" t="s">
        <v>592</v>
      </c>
      <c r="N3">
        <v>2</v>
      </c>
      <c r="O3" t="s">
        <v>616</v>
      </c>
      <c r="P3">
        <v>1</v>
      </c>
      <c r="Q3">
        <v>3788</v>
      </c>
      <c r="R3">
        <v>3788</v>
      </c>
      <c r="V3" s="1" t="s">
        <v>592</v>
      </c>
      <c r="Y3">
        <v>2</v>
      </c>
      <c r="Z3" t="s">
        <v>637</v>
      </c>
      <c r="AA3">
        <v>1</v>
      </c>
      <c r="AB3">
        <v>2425</v>
      </c>
      <c r="AC3">
        <v>2425</v>
      </c>
      <c r="AE3" s="1" t="s">
        <v>592</v>
      </c>
      <c r="AH3">
        <v>2</v>
      </c>
      <c r="AI3" t="s">
        <v>622</v>
      </c>
      <c r="AJ3">
        <v>1</v>
      </c>
      <c r="AK3">
        <v>2091</v>
      </c>
      <c r="AL3">
        <v>2091</v>
      </c>
    </row>
    <row r="4" spans="1:38" x14ac:dyDescent="0.25">
      <c r="A4" s="2" t="s">
        <v>65</v>
      </c>
      <c r="D4">
        <v>3</v>
      </c>
      <c r="E4" t="s">
        <v>595</v>
      </c>
      <c r="F4">
        <v>1</v>
      </c>
      <c r="G4">
        <v>1459</v>
      </c>
      <c r="H4">
        <v>1459</v>
      </c>
      <c r="K4" s="2" t="s">
        <v>95</v>
      </c>
      <c r="N4">
        <v>3</v>
      </c>
      <c r="O4" t="s">
        <v>601</v>
      </c>
      <c r="P4">
        <v>1</v>
      </c>
      <c r="Q4">
        <v>2733</v>
      </c>
      <c r="R4">
        <v>2733</v>
      </c>
      <c r="V4" s="2" t="s">
        <v>123</v>
      </c>
      <c r="Y4">
        <v>3</v>
      </c>
      <c r="Z4" t="s">
        <v>644</v>
      </c>
      <c r="AA4">
        <v>1</v>
      </c>
      <c r="AB4">
        <v>3476</v>
      </c>
      <c r="AC4">
        <v>3476</v>
      </c>
      <c r="AE4" s="2" t="s">
        <v>591</v>
      </c>
      <c r="AH4">
        <v>3</v>
      </c>
      <c r="AI4" t="s">
        <v>623</v>
      </c>
      <c r="AJ4">
        <v>1</v>
      </c>
      <c r="AK4">
        <v>2281</v>
      </c>
      <c r="AL4">
        <v>2281</v>
      </c>
    </row>
    <row r="5" spans="1:38" x14ac:dyDescent="0.25">
      <c r="A5" t="s">
        <v>619</v>
      </c>
      <c r="D5">
        <v>4</v>
      </c>
      <c r="E5" t="s">
        <v>596</v>
      </c>
      <c r="F5">
        <v>1</v>
      </c>
      <c r="G5">
        <v>2036</v>
      </c>
      <c r="H5">
        <v>2036</v>
      </c>
      <c r="K5" t="s">
        <v>620</v>
      </c>
      <c r="N5">
        <v>4</v>
      </c>
      <c r="O5" t="s">
        <v>598</v>
      </c>
      <c r="P5">
        <v>1</v>
      </c>
      <c r="Q5">
        <v>3151</v>
      </c>
      <c r="R5">
        <v>3151</v>
      </c>
      <c r="V5" t="s">
        <v>647</v>
      </c>
      <c r="Y5">
        <v>4</v>
      </c>
      <c r="Z5" t="s">
        <v>622</v>
      </c>
      <c r="AA5">
        <v>1</v>
      </c>
      <c r="AB5">
        <v>2562</v>
      </c>
      <c r="AC5">
        <v>2562</v>
      </c>
      <c r="AE5" t="s">
        <v>619</v>
      </c>
      <c r="AH5">
        <v>4</v>
      </c>
      <c r="AI5" t="s">
        <v>624</v>
      </c>
      <c r="AJ5">
        <v>1</v>
      </c>
      <c r="AK5">
        <v>3198</v>
      </c>
      <c r="AL5">
        <v>3198</v>
      </c>
    </row>
    <row r="6" spans="1:38" x14ac:dyDescent="0.25">
      <c r="D6">
        <v>5</v>
      </c>
      <c r="E6" t="s">
        <v>597</v>
      </c>
      <c r="F6">
        <v>1</v>
      </c>
      <c r="G6">
        <v>1967</v>
      </c>
      <c r="H6">
        <v>1967</v>
      </c>
      <c r="N6">
        <v>5</v>
      </c>
      <c r="O6" t="s">
        <v>618</v>
      </c>
      <c r="P6">
        <v>1</v>
      </c>
      <c r="Q6">
        <v>2499</v>
      </c>
      <c r="R6">
        <v>2499</v>
      </c>
      <c r="Y6">
        <v>5</v>
      </c>
      <c r="Z6" t="s">
        <v>626</v>
      </c>
      <c r="AA6">
        <v>1</v>
      </c>
      <c r="AB6">
        <v>2677</v>
      </c>
      <c r="AC6">
        <v>2677</v>
      </c>
      <c r="AH6">
        <v>5</v>
      </c>
      <c r="AI6" t="s">
        <v>625</v>
      </c>
      <c r="AJ6">
        <v>1</v>
      </c>
      <c r="AK6">
        <v>2084</v>
      </c>
      <c r="AL6">
        <v>2084</v>
      </c>
    </row>
    <row r="7" spans="1:38" x14ac:dyDescent="0.25">
      <c r="D7">
        <v>6</v>
      </c>
      <c r="E7" t="s">
        <v>598</v>
      </c>
      <c r="F7">
        <v>1</v>
      </c>
      <c r="G7">
        <v>1914</v>
      </c>
      <c r="H7">
        <v>1914</v>
      </c>
      <c r="N7">
        <v>6</v>
      </c>
      <c r="O7" t="s">
        <v>596</v>
      </c>
      <c r="P7">
        <v>1</v>
      </c>
      <c r="Q7">
        <v>2938</v>
      </c>
      <c r="R7">
        <v>2938</v>
      </c>
      <c r="Y7">
        <v>6</v>
      </c>
      <c r="Z7" t="s">
        <v>645</v>
      </c>
      <c r="AA7">
        <v>1</v>
      </c>
      <c r="AB7">
        <v>3524</v>
      </c>
      <c r="AC7">
        <v>3524</v>
      </c>
      <c r="AH7">
        <v>6</v>
      </c>
      <c r="AI7" t="s">
        <v>626</v>
      </c>
      <c r="AJ7">
        <v>1</v>
      </c>
      <c r="AK7">
        <v>3926</v>
      </c>
      <c r="AL7">
        <v>3926</v>
      </c>
    </row>
    <row r="8" spans="1:38" x14ac:dyDescent="0.25">
      <c r="D8">
        <v>7</v>
      </c>
      <c r="E8" t="s">
        <v>599</v>
      </c>
      <c r="F8">
        <v>1</v>
      </c>
      <c r="G8">
        <v>1293</v>
      </c>
      <c r="H8">
        <v>1293</v>
      </c>
      <c r="N8">
        <v>7</v>
      </c>
      <c r="O8" t="s">
        <v>606</v>
      </c>
      <c r="P8">
        <v>1</v>
      </c>
      <c r="Q8">
        <v>2521</v>
      </c>
      <c r="R8">
        <v>2521</v>
      </c>
      <c r="Y8">
        <v>7</v>
      </c>
      <c r="Z8" t="s">
        <v>625</v>
      </c>
      <c r="AA8">
        <v>1</v>
      </c>
      <c r="AB8">
        <v>2718</v>
      </c>
      <c r="AC8">
        <v>2718</v>
      </c>
      <c r="AH8">
        <v>7</v>
      </c>
      <c r="AI8" t="s">
        <v>627</v>
      </c>
      <c r="AJ8">
        <v>1</v>
      </c>
      <c r="AK8">
        <v>2421</v>
      </c>
      <c r="AL8">
        <v>2421</v>
      </c>
    </row>
    <row r="9" spans="1:38" x14ac:dyDescent="0.25">
      <c r="D9">
        <v>8</v>
      </c>
      <c r="E9" t="s">
        <v>600</v>
      </c>
      <c r="F9" s="4">
        <v>0</v>
      </c>
      <c r="G9" s="4">
        <v>4371</v>
      </c>
      <c r="H9" s="4"/>
      <c r="N9">
        <v>8</v>
      </c>
      <c r="O9" t="s">
        <v>617</v>
      </c>
      <c r="P9">
        <v>1</v>
      </c>
      <c r="Q9">
        <v>2569</v>
      </c>
      <c r="R9">
        <v>2569</v>
      </c>
      <c r="Y9">
        <v>8</v>
      </c>
      <c r="Z9" t="s">
        <v>621</v>
      </c>
      <c r="AA9">
        <v>1</v>
      </c>
      <c r="AB9">
        <v>2000</v>
      </c>
      <c r="AC9">
        <v>2000</v>
      </c>
      <c r="AH9">
        <v>8</v>
      </c>
      <c r="AI9" t="s">
        <v>628</v>
      </c>
      <c r="AJ9" s="4">
        <v>0</v>
      </c>
      <c r="AK9" s="4">
        <v>3415</v>
      </c>
      <c r="AL9" s="4"/>
    </row>
    <row r="10" spans="1:38" x14ac:dyDescent="0.25">
      <c r="D10">
        <v>9</v>
      </c>
      <c r="E10" t="s">
        <v>601</v>
      </c>
      <c r="F10">
        <v>1</v>
      </c>
      <c r="G10">
        <v>1953</v>
      </c>
      <c r="H10">
        <v>1953</v>
      </c>
      <c r="N10">
        <v>9</v>
      </c>
      <c r="O10" t="s">
        <v>604</v>
      </c>
      <c r="P10">
        <v>1</v>
      </c>
      <c r="Q10">
        <v>2173</v>
      </c>
      <c r="R10">
        <v>2173</v>
      </c>
      <c r="Y10">
        <v>9</v>
      </c>
      <c r="Z10" t="s">
        <v>632</v>
      </c>
      <c r="AA10">
        <v>1</v>
      </c>
      <c r="AB10">
        <v>1866</v>
      </c>
      <c r="AC10">
        <v>1866</v>
      </c>
      <c r="AH10">
        <v>9</v>
      </c>
      <c r="AI10" t="s">
        <v>629</v>
      </c>
      <c r="AJ10" s="4">
        <v>0</v>
      </c>
      <c r="AK10" s="4">
        <v>4059</v>
      </c>
      <c r="AL10" s="4"/>
    </row>
    <row r="11" spans="1:38" x14ac:dyDescent="0.25">
      <c r="D11">
        <v>10</v>
      </c>
      <c r="E11" t="s">
        <v>602</v>
      </c>
      <c r="F11">
        <v>1</v>
      </c>
      <c r="G11">
        <v>1166</v>
      </c>
      <c r="H11">
        <v>1166</v>
      </c>
      <c r="N11">
        <v>10</v>
      </c>
      <c r="O11" t="s">
        <v>597</v>
      </c>
      <c r="P11">
        <v>1</v>
      </c>
      <c r="Q11">
        <v>2652</v>
      </c>
      <c r="R11">
        <v>2652</v>
      </c>
      <c r="Y11">
        <v>10</v>
      </c>
      <c r="Z11" t="s">
        <v>629</v>
      </c>
      <c r="AA11" s="4">
        <v>0</v>
      </c>
      <c r="AB11" s="4">
        <v>3531</v>
      </c>
      <c r="AC11" s="4"/>
      <c r="AH11">
        <v>10</v>
      </c>
      <c r="AI11" t="s">
        <v>630</v>
      </c>
      <c r="AJ11">
        <v>1</v>
      </c>
      <c r="AK11">
        <v>3050</v>
      </c>
      <c r="AL11">
        <v>3050</v>
      </c>
    </row>
    <row r="12" spans="1:38" x14ac:dyDescent="0.25">
      <c r="D12">
        <v>11</v>
      </c>
      <c r="E12" t="s">
        <v>603</v>
      </c>
      <c r="F12">
        <v>1</v>
      </c>
      <c r="G12">
        <v>1636</v>
      </c>
      <c r="H12">
        <v>1636</v>
      </c>
      <c r="N12">
        <v>11</v>
      </c>
      <c r="O12" t="s">
        <v>599</v>
      </c>
      <c r="P12">
        <v>1</v>
      </c>
      <c r="Q12">
        <v>2925</v>
      </c>
      <c r="R12">
        <v>2925</v>
      </c>
      <c r="Y12">
        <v>11</v>
      </c>
      <c r="Z12" t="s">
        <v>627</v>
      </c>
      <c r="AA12">
        <v>1</v>
      </c>
      <c r="AB12">
        <v>2274</v>
      </c>
      <c r="AC12">
        <v>2274</v>
      </c>
      <c r="AH12">
        <v>11</v>
      </c>
      <c r="AI12" t="s">
        <v>631</v>
      </c>
      <c r="AJ12">
        <v>1</v>
      </c>
      <c r="AK12">
        <v>4093</v>
      </c>
      <c r="AL12">
        <v>4093</v>
      </c>
    </row>
    <row r="13" spans="1:38" x14ac:dyDescent="0.25">
      <c r="D13">
        <v>12</v>
      </c>
      <c r="E13" t="s">
        <v>604</v>
      </c>
      <c r="F13">
        <v>1</v>
      </c>
      <c r="G13">
        <v>2142</v>
      </c>
      <c r="H13">
        <v>2142</v>
      </c>
      <c r="N13">
        <v>12</v>
      </c>
      <c r="O13" t="s">
        <v>609</v>
      </c>
      <c r="P13">
        <v>1</v>
      </c>
      <c r="Q13">
        <v>3373</v>
      </c>
      <c r="R13">
        <v>3373</v>
      </c>
      <c r="Y13">
        <v>12</v>
      </c>
      <c r="Z13" t="s">
        <v>638</v>
      </c>
      <c r="AA13">
        <v>1</v>
      </c>
      <c r="AB13">
        <v>1810</v>
      </c>
      <c r="AC13">
        <v>1810</v>
      </c>
      <c r="AH13">
        <v>12</v>
      </c>
      <c r="AI13" t="s">
        <v>632</v>
      </c>
      <c r="AJ13">
        <v>1</v>
      </c>
      <c r="AK13">
        <v>4349</v>
      </c>
      <c r="AL13">
        <v>4349</v>
      </c>
    </row>
    <row r="14" spans="1:38" x14ac:dyDescent="0.25">
      <c r="D14">
        <v>13</v>
      </c>
      <c r="E14" t="s">
        <v>605</v>
      </c>
      <c r="F14">
        <v>1</v>
      </c>
      <c r="G14">
        <v>2250</v>
      </c>
      <c r="H14">
        <v>2250</v>
      </c>
      <c r="N14">
        <v>13</v>
      </c>
      <c r="O14" t="s">
        <v>613</v>
      </c>
      <c r="P14">
        <v>1</v>
      </c>
      <c r="Q14">
        <v>2278</v>
      </c>
      <c r="R14">
        <v>2278</v>
      </c>
      <c r="Y14">
        <v>13</v>
      </c>
      <c r="Z14" t="s">
        <v>646</v>
      </c>
      <c r="AA14">
        <v>1</v>
      </c>
      <c r="AB14">
        <v>1648</v>
      </c>
      <c r="AC14">
        <v>1648</v>
      </c>
      <c r="AH14">
        <v>13</v>
      </c>
      <c r="AI14" t="s">
        <v>633</v>
      </c>
      <c r="AJ14">
        <v>1</v>
      </c>
      <c r="AK14">
        <v>2308</v>
      </c>
      <c r="AL14">
        <v>2308</v>
      </c>
    </row>
    <row r="15" spans="1:38" x14ac:dyDescent="0.25">
      <c r="D15">
        <v>14</v>
      </c>
      <c r="E15" t="s">
        <v>606</v>
      </c>
      <c r="F15">
        <v>1</v>
      </c>
      <c r="G15">
        <v>1768</v>
      </c>
      <c r="H15">
        <v>1768</v>
      </c>
      <c r="N15">
        <v>14</v>
      </c>
      <c r="O15" t="s">
        <v>611</v>
      </c>
      <c r="P15">
        <v>1</v>
      </c>
      <c r="Q15">
        <v>2542</v>
      </c>
      <c r="R15">
        <v>2542</v>
      </c>
      <c r="Y15">
        <v>14</v>
      </c>
      <c r="Z15" t="s">
        <v>635</v>
      </c>
      <c r="AA15">
        <v>1</v>
      </c>
      <c r="AB15">
        <v>1816</v>
      </c>
      <c r="AC15">
        <v>1816</v>
      </c>
      <c r="AH15">
        <v>14</v>
      </c>
      <c r="AI15" t="s">
        <v>634</v>
      </c>
      <c r="AJ15" s="4">
        <v>0</v>
      </c>
      <c r="AK15" s="4">
        <v>4004</v>
      </c>
      <c r="AL15" s="4"/>
    </row>
    <row r="16" spans="1:38" x14ac:dyDescent="0.25">
      <c r="D16">
        <v>15</v>
      </c>
      <c r="E16" t="s">
        <v>607</v>
      </c>
      <c r="F16" s="4">
        <v>0</v>
      </c>
      <c r="G16" s="4">
        <v>2241</v>
      </c>
      <c r="H16" s="4"/>
      <c r="N16">
        <v>15</v>
      </c>
      <c r="O16" t="s">
        <v>615</v>
      </c>
      <c r="P16">
        <v>1</v>
      </c>
      <c r="Q16">
        <v>2981</v>
      </c>
      <c r="R16">
        <v>2981</v>
      </c>
      <c r="Y16">
        <v>15</v>
      </c>
      <c r="Z16" t="s">
        <v>641</v>
      </c>
      <c r="AA16">
        <v>1</v>
      </c>
      <c r="AB16">
        <v>1932</v>
      </c>
      <c r="AC16">
        <v>1932</v>
      </c>
      <c r="AH16">
        <v>15</v>
      </c>
      <c r="AI16" t="s">
        <v>635</v>
      </c>
      <c r="AJ16">
        <v>1</v>
      </c>
      <c r="AK16">
        <v>1701</v>
      </c>
      <c r="AL16">
        <v>1701</v>
      </c>
    </row>
    <row r="17" spans="4:38" x14ac:dyDescent="0.25">
      <c r="D17">
        <v>16</v>
      </c>
      <c r="E17" t="s">
        <v>608</v>
      </c>
      <c r="F17">
        <v>1</v>
      </c>
      <c r="G17">
        <v>2132</v>
      </c>
      <c r="H17">
        <v>2132</v>
      </c>
      <c r="N17">
        <v>16</v>
      </c>
      <c r="O17" t="s">
        <v>610</v>
      </c>
      <c r="P17">
        <v>1</v>
      </c>
      <c r="Q17">
        <v>3198</v>
      </c>
      <c r="R17">
        <v>3198</v>
      </c>
      <c r="Y17">
        <v>16</v>
      </c>
      <c r="Z17" t="s">
        <v>634</v>
      </c>
      <c r="AA17" s="4">
        <v>0</v>
      </c>
      <c r="AB17" s="4">
        <v>2582</v>
      </c>
      <c r="AC17" s="4"/>
      <c r="AH17">
        <v>16</v>
      </c>
      <c r="AI17" t="s">
        <v>636</v>
      </c>
      <c r="AJ17">
        <v>1</v>
      </c>
      <c r="AK17">
        <v>1079</v>
      </c>
      <c r="AL17">
        <v>1079</v>
      </c>
    </row>
    <row r="18" spans="4:38" x14ac:dyDescent="0.25">
      <c r="D18">
        <v>17</v>
      </c>
      <c r="E18" t="s">
        <v>609</v>
      </c>
      <c r="F18">
        <v>1</v>
      </c>
      <c r="G18">
        <v>1620</v>
      </c>
      <c r="H18">
        <v>1620</v>
      </c>
      <c r="N18">
        <v>17</v>
      </c>
      <c r="O18" t="s">
        <v>614</v>
      </c>
      <c r="P18">
        <v>1</v>
      </c>
      <c r="Q18">
        <v>2153</v>
      </c>
      <c r="R18">
        <v>2153</v>
      </c>
      <c r="Y18">
        <v>17</v>
      </c>
      <c r="Z18" t="s">
        <v>631</v>
      </c>
      <c r="AA18">
        <v>1</v>
      </c>
      <c r="AB18">
        <v>2601</v>
      </c>
      <c r="AC18">
        <v>2601</v>
      </c>
      <c r="AH18">
        <v>17</v>
      </c>
      <c r="AI18" t="s">
        <v>637</v>
      </c>
      <c r="AJ18">
        <v>1</v>
      </c>
      <c r="AK18">
        <v>1658</v>
      </c>
      <c r="AL18">
        <v>1658</v>
      </c>
    </row>
    <row r="19" spans="4:38" x14ac:dyDescent="0.25">
      <c r="D19">
        <v>18</v>
      </c>
      <c r="E19" t="s">
        <v>610</v>
      </c>
      <c r="F19">
        <v>1</v>
      </c>
      <c r="G19">
        <v>2309</v>
      </c>
      <c r="H19">
        <v>2309</v>
      </c>
      <c r="N19">
        <v>18</v>
      </c>
      <c r="O19" t="s">
        <v>608</v>
      </c>
      <c r="P19">
        <v>1</v>
      </c>
      <c r="Q19">
        <v>3661</v>
      </c>
      <c r="R19">
        <v>3661</v>
      </c>
      <c r="Y19">
        <v>18</v>
      </c>
      <c r="Z19" t="s">
        <v>633</v>
      </c>
      <c r="AA19" s="4">
        <v>0</v>
      </c>
      <c r="AB19" s="4">
        <v>3386</v>
      </c>
      <c r="AC19" s="4"/>
      <c r="AH19">
        <v>18</v>
      </c>
      <c r="AI19" t="s">
        <v>638</v>
      </c>
      <c r="AJ19">
        <v>1</v>
      </c>
      <c r="AK19">
        <v>2447</v>
      </c>
      <c r="AL19">
        <v>2447</v>
      </c>
    </row>
    <row r="20" spans="4:38" x14ac:dyDescent="0.25">
      <c r="D20">
        <v>19</v>
      </c>
      <c r="E20" t="s">
        <v>611</v>
      </c>
      <c r="F20">
        <v>1</v>
      </c>
      <c r="G20">
        <v>1304</v>
      </c>
      <c r="H20">
        <v>1304</v>
      </c>
      <c r="N20">
        <v>19</v>
      </c>
      <c r="O20" t="s">
        <v>594</v>
      </c>
      <c r="P20">
        <v>1</v>
      </c>
      <c r="Q20">
        <v>2543</v>
      </c>
      <c r="R20">
        <v>2543</v>
      </c>
      <c r="Y20">
        <v>19</v>
      </c>
      <c r="Z20" t="s">
        <v>642</v>
      </c>
      <c r="AA20">
        <v>1</v>
      </c>
      <c r="AB20">
        <v>6325</v>
      </c>
      <c r="AC20">
        <v>6325</v>
      </c>
      <c r="AH20">
        <v>19</v>
      </c>
      <c r="AI20" t="s">
        <v>639</v>
      </c>
      <c r="AJ20">
        <v>1</v>
      </c>
      <c r="AK20">
        <v>2307</v>
      </c>
      <c r="AL20">
        <v>2307</v>
      </c>
    </row>
    <row r="21" spans="4:38" x14ac:dyDescent="0.25">
      <c r="D21">
        <v>20</v>
      </c>
      <c r="E21" t="s">
        <v>612</v>
      </c>
      <c r="F21">
        <v>1</v>
      </c>
      <c r="G21">
        <v>955</v>
      </c>
      <c r="H21">
        <v>955</v>
      </c>
      <c r="N21">
        <v>20</v>
      </c>
      <c r="O21" t="s">
        <v>602</v>
      </c>
      <c r="P21">
        <v>1</v>
      </c>
      <c r="Q21">
        <v>1722</v>
      </c>
      <c r="R21">
        <v>1722</v>
      </c>
      <c r="Y21">
        <v>20</v>
      </c>
      <c r="Z21" t="s">
        <v>623</v>
      </c>
      <c r="AA21">
        <v>1</v>
      </c>
      <c r="AB21">
        <v>1945</v>
      </c>
      <c r="AC21">
        <v>1945</v>
      </c>
      <c r="AH21">
        <v>20</v>
      </c>
      <c r="AI21" t="s">
        <v>640</v>
      </c>
      <c r="AJ21">
        <v>1</v>
      </c>
      <c r="AK21">
        <v>2184</v>
      </c>
      <c r="AL21">
        <v>2184</v>
      </c>
    </row>
    <row r="22" spans="4:38" x14ac:dyDescent="0.25">
      <c r="D22">
        <v>21</v>
      </c>
      <c r="E22" t="s">
        <v>613</v>
      </c>
      <c r="F22">
        <v>1</v>
      </c>
      <c r="G22">
        <v>2212</v>
      </c>
      <c r="H22">
        <v>2212</v>
      </c>
      <c r="N22">
        <v>21</v>
      </c>
      <c r="O22" t="s">
        <v>593</v>
      </c>
      <c r="P22" s="4">
        <v>0</v>
      </c>
      <c r="Q22" s="4">
        <v>3337</v>
      </c>
      <c r="R22" s="4"/>
      <c r="Y22">
        <v>21</v>
      </c>
      <c r="Z22" t="s">
        <v>643</v>
      </c>
      <c r="AA22" s="4">
        <v>0</v>
      </c>
      <c r="AB22" s="4">
        <v>3244</v>
      </c>
      <c r="AC22" s="4"/>
      <c r="AH22">
        <v>21</v>
      </c>
      <c r="AI22" t="s">
        <v>641</v>
      </c>
      <c r="AJ22">
        <v>1</v>
      </c>
      <c r="AK22">
        <v>1175</v>
      </c>
      <c r="AL22">
        <v>1175</v>
      </c>
    </row>
    <row r="23" spans="4:38" x14ac:dyDescent="0.25">
      <c r="D23">
        <v>22</v>
      </c>
      <c r="E23" t="s">
        <v>614</v>
      </c>
      <c r="F23">
        <v>1</v>
      </c>
      <c r="G23">
        <v>1256</v>
      </c>
      <c r="H23">
        <v>1256</v>
      </c>
      <c r="N23">
        <v>22</v>
      </c>
      <c r="O23" t="s">
        <v>612</v>
      </c>
      <c r="P23">
        <v>1</v>
      </c>
      <c r="Q23">
        <v>3222</v>
      </c>
      <c r="R23">
        <v>3222</v>
      </c>
      <c r="Y23">
        <v>22</v>
      </c>
      <c r="Z23" t="s">
        <v>640</v>
      </c>
      <c r="AA23">
        <v>1</v>
      </c>
      <c r="AB23">
        <v>4197</v>
      </c>
      <c r="AC23">
        <v>4197</v>
      </c>
      <c r="AH23">
        <v>22</v>
      </c>
      <c r="AI23" t="s">
        <v>642</v>
      </c>
      <c r="AJ23">
        <v>1</v>
      </c>
      <c r="AK23">
        <v>2415</v>
      </c>
      <c r="AL23">
        <v>2415</v>
      </c>
    </row>
    <row r="24" spans="4:38" x14ac:dyDescent="0.25">
      <c r="D24">
        <v>23</v>
      </c>
      <c r="E24" t="s">
        <v>615</v>
      </c>
      <c r="F24">
        <v>1</v>
      </c>
      <c r="G24">
        <v>2248</v>
      </c>
      <c r="H24">
        <v>2248</v>
      </c>
      <c r="N24">
        <v>23</v>
      </c>
      <c r="O24" t="s">
        <v>607</v>
      </c>
      <c r="P24" s="4">
        <v>0</v>
      </c>
      <c r="Q24" s="4">
        <v>3141</v>
      </c>
      <c r="R24" s="4"/>
      <c r="Y24">
        <v>23</v>
      </c>
      <c r="Z24" t="s">
        <v>624</v>
      </c>
      <c r="AA24">
        <v>1</v>
      </c>
      <c r="AB24">
        <v>2648</v>
      </c>
      <c r="AC24">
        <v>2648</v>
      </c>
      <c r="AH24">
        <v>23</v>
      </c>
      <c r="AI24" t="s">
        <v>643</v>
      </c>
      <c r="AJ24">
        <v>1</v>
      </c>
      <c r="AK24">
        <v>2151</v>
      </c>
      <c r="AL24">
        <v>2151</v>
      </c>
    </row>
    <row r="25" spans="4:38" x14ac:dyDescent="0.25">
      <c r="D25">
        <v>24</v>
      </c>
      <c r="E25" t="s">
        <v>616</v>
      </c>
      <c r="F25">
        <v>1</v>
      </c>
      <c r="G25">
        <v>1667</v>
      </c>
      <c r="H25">
        <v>1667</v>
      </c>
      <c r="N25">
        <v>24</v>
      </c>
      <c r="O25" t="s">
        <v>600</v>
      </c>
      <c r="P25" s="4">
        <v>0</v>
      </c>
      <c r="Q25" s="4">
        <v>2749</v>
      </c>
      <c r="R25" s="4"/>
      <c r="Y25">
        <v>24</v>
      </c>
      <c r="Z25" t="s">
        <v>630</v>
      </c>
      <c r="AA25">
        <v>1</v>
      </c>
      <c r="AB25">
        <v>2190</v>
      </c>
      <c r="AC25">
        <v>2190</v>
      </c>
      <c r="AH25">
        <v>24</v>
      </c>
      <c r="AI25" t="s">
        <v>644</v>
      </c>
      <c r="AJ25">
        <v>1</v>
      </c>
      <c r="AK25">
        <v>1144</v>
      </c>
      <c r="AL25">
        <v>1144</v>
      </c>
    </row>
    <row r="26" spans="4:38" x14ac:dyDescent="0.25">
      <c r="D26">
        <v>25</v>
      </c>
      <c r="E26" t="s">
        <v>617</v>
      </c>
      <c r="F26">
        <v>1</v>
      </c>
      <c r="G26">
        <v>2047</v>
      </c>
      <c r="H26">
        <v>2047</v>
      </c>
      <c r="N26">
        <v>25</v>
      </c>
      <c r="O26" t="s">
        <v>603</v>
      </c>
      <c r="P26" s="4">
        <v>0</v>
      </c>
      <c r="Q26" s="4">
        <v>1876</v>
      </c>
      <c r="R26" s="4"/>
      <c r="Y26">
        <v>25</v>
      </c>
      <c r="Z26" t="s">
        <v>636</v>
      </c>
      <c r="AA26">
        <v>1</v>
      </c>
      <c r="AB26">
        <v>2150</v>
      </c>
      <c r="AC26">
        <v>2150</v>
      </c>
      <c r="AH26">
        <v>25</v>
      </c>
      <c r="AI26" t="s">
        <v>645</v>
      </c>
      <c r="AJ26">
        <v>1</v>
      </c>
      <c r="AK26">
        <v>2032</v>
      </c>
      <c r="AL26">
        <v>2032</v>
      </c>
    </row>
    <row r="27" spans="4:38" x14ac:dyDescent="0.25">
      <c r="D27">
        <v>26</v>
      </c>
      <c r="E27" t="s">
        <v>618</v>
      </c>
      <c r="F27">
        <v>1</v>
      </c>
      <c r="G27">
        <v>1896</v>
      </c>
      <c r="H27">
        <v>1896</v>
      </c>
      <c r="N27">
        <v>26</v>
      </c>
      <c r="O27" t="s">
        <v>595</v>
      </c>
      <c r="P27">
        <v>1</v>
      </c>
      <c r="Q27">
        <v>1476</v>
      </c>
      <c r="R27">
        <v>1476</v>
      </c>
      <c r="Y27">
        <v>26</v>
      </c>
      <c r="Z27" t="s">
        <v>639</v>
      </c>
      <c r="AA27">
        <v>1</v>
      </c>
      <c r="AB27">
        <v>2911</v>
      </c>
      <c r="AC27">
        <v>2911</v>
      </c>
      <c r="AH27">
        <v>26</v>
      </c>
      <c r="AI27" t="s">
        <v>646</v>
      </c>
      <c r="AJ27">
        <v>1</v>
      </c>
      <c r="AK27">
        <v>1272</v>
      </c>
      <c r="AL27">
        <v>1272</v>
      </c>
    </row>
    <row r="29" spans="4:38" x14ac:dyDescent="0.25">
      <c r="F29" s="4">
        <f>SUM(F2:F28)</f>
        <v>23</v>
      </c>
      <c r="H29">
        <f>SUM(H2:H28)</f>
        <v>41546</v>
      </c>
      <c r="P29" s="4">
        <f>SUM(P2:P28)</f>
        <v>22</v>
      </c>
      <c r="R29">
        <f>SUM(R2:R28)</f>
        <v>61313</v>
      </c>
      <c r="AA29" s="4">
        <f>SUM(AA2:AA28)</f>
        <v>21</v>
      </c>
      <c r="AC29">
        <f>SUM(AC2:AC28)</f>
        <v>55695</v>
      </c>
      <c r="AJ29" s="4">
        <f>SUM(AJ2:AJ28)</f>
        <v>23</v>
      </c>
      <c r="AL29">
        <f>SUM(AL2:AL28)</f>
        <v>54238</v>
      </c>
    </row>
    <row r="30" spans="4:38" x14ac:dyDescent="0.25">
      <c r="AK30" s="4">
        <f>AL29/AJ29</f>
        <v>2358.1739130434785</v>
      </c>
    </row>
    <row r="31" spans="4:38" x14ac:dyDescent="0.25">
      <c r="G31" s="4">
        <f>H29/F29</f>
        <v>1806.3478260869565</v>
      </c>
      <c r="Q31" s="4">
        <f>R29/P29</f>
        <v>2786.9545454545455</v>
      </c>
      <c r="AB31" s="4">
        <f>AC29/AA29</f>
        <v>2652.1428571428573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"/>
  <sheetViews>
    <sheetView topLeftCell="J1" workbookViewId="0">
      <selection activeCell="Y2" sqref="Y2"/>
    </sheetView>
  </sheetViews>
  <sheetFormatPr baseColWidth="10" defaultRowHeight="15" x14ac:dyDescent="0.25"/>
  <cols>
    <col min="1" max="1" width="24.85546875" customWidth="1"/>
    <col min="4" max="4" width="20.140625" customWidth="1"/>
    <col min="7" max="7" width="28.28515625" customWidth="1"/>
    <col min="8" max="8" width="25.42578125" customWidth="1"/>
    <col min="10" max="10" width="19.28515625" customWidth="1"/>
    <col min="13" max="13" width="25.42578125" customWidth="1"/>
    <col min="16" max="16" width="31" customWidth="1"/>
    <col min="20" max="20" width="25.140625" customWidth="1"/>
  </cols>
  <sheetData>
    <row r="1" spans="1:24" ht="15.75" x14ac:dyDescent="0.25">
      <c r="A1" s="1" t="s">
        <v>36</v>
      </c>
      <c r="B1" s="2" t="s">
        <v>0</v>
      </c>
      <c r="C1" s="2" t="s">
        <v>1</v>
      </c>
      <c r="D1" s="2" t="s">
        <v>255</v>
      </c>
      <c r="E1" s="1" t="s">
        <v>256</v>
      </c>
      <c r="G1" s="1" t="s">
        <v>36</v>
      </c>
      <c r="H1" s="2" t="s">
        <v>0</v>
      </c>
      <c r="I1" s="2" t="s">
        <v>1</v>
      </c>
      <c r="J1" s="2" t="s">
        <v>255</v>
      </c>
      <c r="K1" s="1" t="s">
        <v>256</v>
      </c>
      <c r="M1" s="1" t="s">
        <v>36</v>
      </c>
      <c r="N1" s="2" t="s">
        <v>0</v>
      </c>
      <c r="O1" s="2" t="s">
        <v>1</v>
      </c>
      <c r="P1" s="2" t="s">
        <v>255</v>
      </c>
      <c r="Q1" s="1" t="s">
        <v>256</v>
      </c>
      <c r="T1" s="1" t="s">
        <v>36</v>
      </c>
      <c r="U1" s="2" t="s">
        <v>0</v>
      </c>
      <c r="V1" s="2" t="s">
        <v>1</v>
      </c>
      <c r="W1" s="2" t="s">
        <v>255</v>
      </c>
      <c r="X1" s="1" t="s">
        <v>256</v>
      </c>
    </row>
    <row r="2" spans="1:24" ht="15.75" x14ac:dyDescent="0.25">
      <c r="A2" s="3" t="s">
        <v>6</v>
      </c>
      <c r="B2">
        <v>2</v>
      </c>
      <c r="C2" s="8">
        <v>1</v>
      </c>
      <c r="D2" s="9" t="s">
        <v>262</v>
      </c>
      <c r="E2" s="6">
        <v>1</v>
      </c>
      <c r="G2" s="3" t="s">
        <v>257</v>
      </c>
      <c r="H2">
        <v>2</v>
      </c>
      <c r="I2" s="8">
        <v>2</v>
      </c>
      <c r="J2" s="9" t="s">
        <v>262</v>
      </c>
      <c r="K2" s="6">
        <v>0</v>
      </c>
      <c r="M2" s="3" t="s">
        <v>258</v>
      </c>
      <c r="N2">
        <v>1</v>
      </c>
      <c r="O2" s="8">
        <v>3</v>
      </c>
      <c r="P2" s="9" t="s">
        <v>269</v>
      </c>
      <c r="Q2" s="6">
        <v>1</v>
      </c>
      <c r="T2" s="3" t="s">
        <v>657</v>
      </c>
      <c r="U2">
        <v>1</v>
      </c>
      <c r="V2" s="8">
        <v>4</v>
      </c>
      <c r="W2" s="9" t="s">
        <v>270</v>
      </c>
      <c r="X2" s="6">
        <v>1</v>
      </c>
    </row>
    <row r="3" spans="1:24" ht="15.75" x14ac:dyDescent="0.25">
      <c r="A3" s="1" t="s">
        <v>259</v>
      </c>
      <c r="D3" s="2" t="s">
        <v>261</v>
      </c>
      <c r="G3" s="1" t="s">
        <v>259</v>
      </c>
      <c r="J3" s="9" t="s">
        <v>266</v>
      </c>
      <c r="M3" s="1" t="s">
        <v>259</v>
      </c>
      <c r="P3" t="s">
        <v>270</v>
      </c>
      <c r="T3" s="1" t="s">
        <v>259</v>
      </c>
    </row>
    <row r="4" spans="1:24" ht="15.75" x14ac:dyDescent="0.25">
      <c r="A4" s="1"/>
      <c r="D4" s="9" t="s">
        <v>263</v>
      </c>
      <c r="G4" s="1"/>
      <c r="J4" s="9" t="s">
        <v>264</v>
      </c>
      <c r="M4" s="1"/>
      <c r="P4" t="s">
        <v>271</v>
      </c>
      <c r="T4" s="1" t="s">
        <v>663</v>
      </c>
    </row>
    <row r="5" spans="1:24" ht="15.75" x14ac:dyDescent="0.25">
      <c r="A5" s="1" t="s">
        <v>260</v>
      </c>
      <c r="D5" s="9" t="s">
        <v>264</v>
      </c>
      <c r="G5" s="1" t="s">
        <v>260</v>
      </c>
      <c r="J5" s="9" t="s">
        <v>263</v>
      </c>
      <c r="M5" s="1" t="s">
        <v>260</v>
      </c>
      <c r="T5" s="1" t="s">
        <v>260</v>
      </c>
    </row>
    <row r="6" spans="1:24" x14ac:dyDescent="0.25">
      <c r="D6" s="9" t="s">
        <v>265</v>
      </c>
      <c r="J6" t="s">
        <v>268</v>
      </c>
    </row>
    <row r="7" spans="1:24" x14ac:dyDescent="0.25">
      <c r="J7" s="9" t="s">
        <v>267</v>
      </c>
    </row>
    <row r="16" spans="1:24" x14ac:dyDescent="0.25">
      <c r="D16" t="s">
        <v>384</v>
      </c>
      <c r="E16" t="s">
        <v>94</v>
      </c>
      <c r="F16" t="s">
        <v>296</v>
      </c>
    </row>
    <row r="17" spans="4:6" x14ac:dyDescent="0.25">
      <c r="D17">
        <v>1</v>
      </c>
      <c r="E17">
        <v>0</v>
      </c>
      <c r="F17">
        <v>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topLeftCell="L1" workbookViewId="0">
      <selection activeCell="T5" sqref="T5"/>
    </sheetView>
  </sheetViews>
  <sheetFormatPr baseColWidth="10" defaultRowHeight="15" x14ac:dyDescent="0.25"/>
  <cols>
    <col min="1" max="1" width="21.140625" customWidth="1"/>
    <col min="4" max="4" width="20.42578125" customWidth="1"/>
    <col min="7" max="8" width="19.42578125" customWidth="1"/>
    <col min="13" max="13" width="23.42578125" customWidth="1"/>
    <col min="14" max="14" width="16.140625" customWidth="1"/>
    <col min="20" max="20" width="28.42578125" customWidth="1"/>
  </cols>
  <sheetData>
    <row r="1" spans="1:24" ht="15.75" x14ac:dyDescent="0.25">
      <c r="A1" s="1" t="s">
        <v>36</v>
      </c>
      <c r="B1" s="2" t="s">
        <v>0</v>
      </c>
      <c r="C1" s="2" t="s">
        <v>1</v>
      </c>
      <c r="D1" s="2" t="s">
        <v>255</v>
      </c>
      <c r="E1" s="1" t="s">
        <v>256</v>
      </c>
      <c r="G1" s="1" t="s">
        <v>36</v>
      </c>
      <c r="H1" s="2" t="s">
        <v>0</v>
      </c>
      <c r="I1" s="2" t="s">
        <v>1</v>
      </c>
      <c r="J1" s="2" t="s">
        <v>255</v>
      </c>
      <c r="K1" s="1" t="s">
        <v>256</v>
      </c>
      <c r="M1" s="1" t="s">
        <v>36</v>
      </c>
      <c r="N1" s="2" t="s">
        <v>0</v>
      </c>
      <c r="O1" s="2" t="s">
        <v>1</v>
      </c>
      <c r="P1" s="2" t="s">
        <v>255</v>
      </c>
      <c r="Q1" s="1" t="s">
        <v>256</v>
      </c>
      <c r="T1" s="1" t="s">
        <v>36</v>
      </c>
      <c r="U1" s="2" t="s">
        <v>0</v>
      </c>
      <c r="V1" s="2" t="s">
        <v>1</v>
      </c>
      <c r="W1" s="2" t="s">
        <v>255</v>
      </c>
      <c r="X1" s="1" t="s">
        <v>256</v>
      </c>
    </row>
    <row r="2" spans="1:24" ht="15.75" x14ac:dyDescent="0.25">
      <c r="A2" s="3" t="s">
        <v>6</v>
      </c>
      <c r="B2">
        <v>2</v>
      </c>
      <c r="C2" s="8">
        <v>1</v>
      </c>
      <c r="D2" s="7" t="s">
        <v>275</v>
      </c>
      <c r="E2" s="6">
        <v>2</v>
      </c>
      <c r="G2" s="3" t="s">
        <v>257</v>
      </c>
      <c r="H2">
        <v>2</v>
      </c>
      <c r="I2" s="8">
        <v>2</v>
      </c>
      <c r="J2" t="s">
        <v>278</v>
      </c>
      <c r="K2" s="6">
        <v>6</v>
      </c>
      <c r="M2" s="3" t="s">
        <v>258</v>
      </c>
      <c r="N2">
        <v>1</v>
      </c>
      <c r="O2" s="8">
        <v>3</v>
      </c>
      <c r="P2" t="s">
        <v>284</v>
      </c>
      <c r="Q2">
        <v>7</v>
      </c>
      <c r="T2" s="3" t="s">
        <v>657</v>
      </c>
      <c r="U2">
        <v>1</v>
      </c>
      <c r="V2" s="8">
        <v>4</v>
      </c>
      <c r="W2" t="s">
        <v>658</v>
      </c>
      <c r="X2">
        <v>8</v>
      </c>
    </row>
    <row r="3" spans="1:24" ht="15.75" x14ac:dyDescent="0.25">
      <c r="A3" s="1" t="s">
        <v>273</v>
      </c>
      <c r="D3" t="s">
        <v>276</v>
      </c>
      <c r="G3" s="1" t="s">
        <v>273</v>
      </c>
      <c r="J3" t="s">
        <v>272</v>
      </c>
      <c r="M3" s="1" t="s">
        <v>273</v>
      </c>
      <c r="P3" t="s">
        <v>285</v>
      </c>
      <c r="T3" s="1" t="s">
        <v>273</v>
      </c>
      <c r="W3" t="s">
        <v>284</v>
      </c>
    </row>
    <row r="4" spans="1:24" ht="15.75" x14ac:dyDescent="0.25">
      <c r="A4" s="1" t="s">
        <v>65</v>
      </c>
      <c r="G4" s="1" t="s">
        <v>277</v>
      </c>
      <c r="J4" t="s">
        <v>210</v>
      </c>
      <c r="M4" s="1" t="s">
        <v>283</v>
      </c>
      <c r="P4" t="s">
        <v>286</v>
      </c>
      <c r="T4" s="1" t="s">
        <v>591</v>
      </c>
      <c r="W4" t="s">
        <v>220</v>
      </c>
    </row>
    <row r="5" spans="1:24" ht="15.75" x14ac:dyDescent="0.25">
      <c r="A5" s="1" t="s">
        <v>274</v>
      </c>
      <c r="G5" s="1" t="s">
        <v>274</v>
      </c>
      <c r="J5" s="7" t="s">
        <v>279</v>
      </c>
      <c r="M5" s="1" t="s">
        <v>274</v>
      </c>
      <c r="P5" t="s">
        <v>287</v>
      </c>
      <c r="T5" s="1" t="s">
        <v>662</v>
      </c>
      <c r="W5" t="s">
        <v>287</v>
      </c>
    </row>
    <row r="6" spans="1:24" x14ac:dyDescent="0.25">
      <c r="D6" s="10"/>
      <c r="J6" s="7" t="s">
        <v>280</v>
      </c>
      <c r="P6" s="7" t="s">
        <v>288</v>
      </c>
      <c r="W6" s="7" t="s">
        <v>659</v>
      </c>
    </row>
    <row r="7" spans="1:24" x14ac:dyDescent="0.25">
      <c r="J7" s="10" t="s">
        <v>281</v>
      </c>
      <c r="P7" s="7" t="s">
        <v>289</v>
      </c>
      <c r="W7" s="7" t="s">
        <v>289</v>
      </c>
    </row>
    <row r="8" spans="1:24" x14ac:dyDescent="0.25">
      <c r="J8" s="7" t="s">
        <v>282</v>
      </c>
      <c r="P8" s="7" t="s">
        <v>290</v>
      </c>
      <c r="W8" s="7" t="s">
        <v>660</v>
      </c>
    </row>
    <row r="9" spans="1:24" x14ac:dyDescent="0.25">
      <c r="J9" s="10"/>
      <c r="P9" s="10"/>
      <c r="W9" s="7" t="s">
        <v>661</v>
      </c>
    </row>
    <row r="15" spans="1:24" x14ac:dyDescent="0.25">
      <c r="D15" t="s">
        <v>384</v>
      </c>
      <c r="E15" t="s">
        <v>94</v>
      </c>
      <c r="F15" t="s">
        <v>296</v>
      </c>
    </row>
    <row r="16" spans="1:24" x14ac:dyDescent="0.25">
      <c r="D16">
        <v>2</v>
      </c>
      <c r="E16">
        <v>6</v>
      </c>
      <c r="F16">
        <v>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3"/>
  <sheetViews>
    <sheetView topLeftCell="AI1" workbookViewId="0">
      <selection activeCell="AT47" sqref="AT47"/>
    </sheetView>
  </sheetViews>
  <sheetFormatPr baseColWidth="10" defaultRowHeight="15" x14ac:dyDescent="0.25"/>
  <cols>
    <col min="1" max="1" width="23.28515625" customWidth="1"/>
    <col min="6" max="6" width="16.42578125" customWidth="1"/>
    <col min="7" max="7" width="21.5703125" customWidth="1"/>
    <col min="8" max="8" width="22.7109375" customWidth="1"/>
    <col min="14" max="14" width="22.140625" customWidth="1"/>
    <col min="21" max="21" width="21.42578125" customWidth="1"/>
    <col min="27" max="27" width="25" customWidth="1"/>
    <col min="33" max="33" width="22.42578125" customWidth="1"/>
    <col min="34" max="34" width="20.5703125" customWidth="1"/>
    <col min="39" max="39" width="27" customWidth="1"/>
    <col min="46" max="46" width="16.85546875" customWidth="1"/>
  </cols>
  <sheetData>
    <row r="1" spans="1:47" ht="15.75" x14ac:dyDescent="0.25">
      <c r="A1" s="1" t="s">
        <v>36</v>
      </c>
      <c r="B1" s="2" t="s">
        <v>0</v>
      </c>
      <c r="C1" s="2" t="s">
        <v>1</v>
      </c>
      <c r="D1" s="2" t="s">
        <v>2</v>
      </c>
      <c r="E1" s="2" t="s">
        <v>166</v>
      </c>
      <c r="F1" s="2" t="s">
        <v>167</v>
      </c>
      <c r="G1" s="2" t="s">
        <v>168</v>
      </c>
      <c r="H1" s="2" t="s">
        <v>169</v>
      </c>
      <c r="I1" s="2"/>
      <c r="J1" s="2" t="s">
        <v>170</v>
      </c>
      <c r="N1" s="1" t="s">
        <v>36</v>
      </c>
      <c r="O1" s="2" t="s">
        <v>0</v>
      </c>
      <c r="P1" s="2" t="s">
        <v>1</v>
      </c>
      <c r="Q1" s="2" t="s">
        <v>2</v>
      </c>
      <c r="R1" s="2" t="s">
        <v>166</v>
      </c>
      <c r="S1" s="2" t="s">
        <v>167</v>
      </c>
      <c r="T1" s="2" t="s">
        <v>168</v>
      </c>
      <c r="U1" s="2" t="s">
        <v>169</v>
      </c>
      <c r="V1" s="2"/>
      <c r="W1" s="2" t="s">
        <v>170</v>
      </c>
      <c r="AA1" s="1" t="s">
        <v>36</v>
      </c>
      <c r="AB1" s="2" t="s">
        <v>0</v>
      </c>
      <c r="AC1" s="2" t="s">
        <v>1</v>
      </c>
      <c r="AD1" s="2" t="s">
        <v>2</v>
      </c>
      <c r="AE1" s="2" t="s">
        <v>166</v>
      </c>
      <c r="AF1" s="2" t="s">
        <v>167</v>
      </c>
      <c r="AG1" s="2" t="s">
        <v>168</v>
      </c>
      <c r="AH1" s="2" t="s">
        <v>169</v>
      </c>
      <c r="AI1" s="2"/>
      <c r="AJ1" s="2" t="s">
        <v>170</v>
      </c>
      <c r="AM1" s="1" t="s">
        <v>36</v>
      </c>
      <c r="AN1" s="2" t="s">
        <v>0</v>
      </c>
      <c r="AO1" s="2" t="s">
        <v>1</v>
      </c>
      <c r="AP1" s="2" t="s">
        <v>2</v>
      </c>
      <c r="AQ1" s="2" t="s">
        <v>166</v>
      </c>
      <c r="AR1" s="2" t="s">
        <v>167</v>
      </c>
      <c r="AS1" s="2" t="s">
        <v>168</v>
      </c>
      <c r="AT1" s="2" t="s">
        <v>169</v>
      </c>
      <c r="AU1" s="2" t="s">
        <v>170</v>
      </c>
    </row>
    <row r="2" spans="1:47" ht="15.75" x14ac:dyDescent="0.25">
      <c r="A2" s="19" t="s">
        <v>213</v>
      </c>
      <c r="B2">
        <v>2</v>
      </c>
      <c r="C2">
        <v>1</v>
      </c>
      <c r="D2">
        <v>1</v>
      </c>
      <c r="E2" t="s">
        <v>171</v>
      </c>
      <c r="F2" t="s">
        <v>173</v>
      </c>
      <c r="G2">
        <v>1</v>
      </c>
      <c r="H2">
        <v>4052</v>
      </c>
      <c r="J2">
        <v>4052</v>
      </c>
      <c r="N2" s="19" t="s">
        <v>214</v>
      </c>
      <c r="O2">
        <v>2</v>
      </c>
      <c r="P2">
        <v>2</v>
      </c>
      <c r="Q2">
        <v>1</v>
      </c>
      <c r="R2" t="s">
        <v>172</v>
      </c>
      <c r="S2" t="s">
        <v>175</v>
      </c>
      <c r="T2">
        <v>1</v>
      </c>
      <c r="U2">
        <v>3311</v>
      </c>
      <c r="W2">
        <v>3311</v>
      </c>
      <c r="AA2" s="19" t="s">
        <v>122</v>
      </c>
      <c r="AB2">
        <v>1</v>
      </c>
      <c r="AC2">
        <v>3</v>
      </c>
      <c r="AD2">
        <v>1</v>
      </c>
      <c r="AE2" t="s">
        <v>172</v>
      </c>
      <c r="AF2" t="s">
        <v>215</v>
      </c>
      <c r="AG2">
        <v>1</v>
      </c>
      <c r="AH2">
        <v>2946</v>
      </c>
      <c r="AJ2">
        <v>2946</v>
      </c>
      <c r="AM2" s="3" t="s">
        <v>525</v>
      </c>
      <c r="AN2">
        <v>1</v>
      </c>
      <c r="AO2">
        <v>3</v>
      </c>
      <c r="AP2">
        <v>1</v>
      </c>
      <c r="AQ2" t="s">
        <v>172</v>
      </c>
      <c r="AR2" t="s">
        <v>241</v>
      </c>
      <c r="AS2">
        <v>1</v>
      </c>
      <c r="AT2">
        <v>5508</v>
      </c>
      <c r="AU2">
        <v>5508</v>
      </c>
    </row>
    <row r="3" spans="1:47" ht="15.75" x14ac:dyDescent="0.25">
      <c r="A3" s="20" t="s">
        <v>655</v>
      </c>
      <c r="D3">
        <v>2</v>
      </c>
      <c r="E3" t="s">
        <v>172</v>
      </c>
      <c r="F3" t="s">
        <v>174</v>
      </c>
      <c r="G3">
        <v>1</v>
      </c>
      <c r="H3">
        <v>2174</v>
      </c>
      <c r="J3">
        <v>2174</v>
      </c>
      <c r="N3" s="20" t="s">
        <v>655</v>
      </c>
      <c r="Q3">
        <v>2</v>
      </c>
      <c r="R3" t="s">
        <v>172</v>
      </c>
      <c r="S3" t="s">
        <v>176</v>
      </c>
      <c r="T3">
        <v>1</v>
      </c>
      <c r="U3">
        <v>5250</v>
      </c>
      <c r="W3">
        <v>5250</v>
      </c>
      <c r="AA3" s="2" t="s">
        <v>655</v>
      </c>
      <c r="AD3">
        <v>2</v>
      </c>
      <c r="AE3" t="s">
        <v>172</v>
      </c>
      <c r="AF3" t="s">
        <v>216</v>
      </c>
      <c r="AG3">
        <v>1</v>
      </c>
      <c r="AH3">
        <v>2233</v>
      </c>
      <c r="AJ3">
        <v>2233</v>
      </c>
      <c r="AM3" s="1" t="s">
        <v>655</v>
      </c>
      <c r="AP3">
        <v>2</v>
      </c>
      <c r="AQ3" t="s">
        <v>171</v>
      </c>
      <c r="AR3" t="s">
        <v>227</v>
      </c>
      <c r="AS3" s="4">
        <v>0</v>
      </c>
      <c r="AT3" s="4">
        <v>4198</v>
      </c>
      <c r="AU3" s="4"/>
    </row>
    <row r="4" spans="1:47" x14ac:dyDescent="0.25">
      <c r="A4" s="2" t="s">
        <v>65</v>
      </c>
      <c r="D4">
        <v>3</v>
      </c>
      <c r="E4" t="s">
        <v>172</v>
      </c>
      <c r="F4" t="s">
        <v>175</v>
      </c>
      <c r="G4">
        <v>1</v>
      </c>
      <c r="H4">
        <v>2341</v>
      </c>
      <c r="J4">
        <v>2341</v>
      </c>
      <c r="N4" t="s">
        <v>95</v>
      </c>
      <c r="Q4">
        <v>3</v>
      </c>
      <c r="R4" t="s">
        <v>172</v>
      </c>
      <c r="S4" t="s">
        <v>194</v>
      </c>
      <c r="T4">
        <v>1</v>
      </c>
      <c r="U4">
        <v>5256</v>
      </c>
      <c r="W4">
        <v>5256</v>
      </c>
      <c r="AA4" s="2" t="s">
        <v>123</v>
      </c>
      <c r="AD4">
        <v>3</v>
      </c>
      <c r="AE4" t="s">
        <v>171</v>
      </c>
      <c r="AF4" t="s">
        <v>217</v>
      </c>
      <c r="AG4">
        <v>1</v>
      </c>
      <c r="AH4">
        <v>3052</v>
      </c>
      <c r="AJ4">
        <v>3052</v>
      </c>
      <c r="AM4" s="2" t="s">
        <v>591</v>
      </c>
      <c r="AP4">
        <v>3</v>
      </c>
      <c r="AQ4" t="s">
        <v>172</v>
      </c>
      <c r="AR4" t="s">
        <v>216</v>
      </c>
      <c r="AS4">
        <v>1</v>
      </c>
      <c r="AT4">
        <v>2180</v>
      </c>
      <c r="AU4">
        <v>2180</v>
      </c>
    </row>
    <row r="5" spans="1:47" x14ac:dyDescent="0.25">
      <c r="D5">
        <v>4</v>
      </c>
      <c r="E5" t="s">
        <v>172</v>
      </c>
      <c r="F5" t="s">
        <v>176</v>
      </c>
      <c r="G5">
        <v>1</v>
      </c>
      <c r="H5">
        <v>2846</v>
      </c>
      <c r="J5">
        <v>2846</v>
      </c>
      <c r="Q5">
        <v>4</v>
      </c>
      <c r="R5" t="s">
        <v>171</v>
      </c>
      <c r="S5" t="s">
        <v>212</v>
      </c>
      <c r="T5">
        <v>1</v>
      </c>
      <c r="U5">
        <v>1731</v>
      </c>
      <c r="W5">
        <v>1731</v>
      </c>
      <c r="AD5">
        <v>4</v>
      </c>
      <c r="AE5" t="s">
        <v>171</v>
      </c>
      <c r="AF5" t="s">
        <v>218</v>
      </c>
      <c r="AG5">
        <v>1</v>
      </c>
      <c r="AH5">
        <v>2665</v>
      </c>
      <c r="AJ5">
        <v>2665</v>
      </c>
      <c r="AM5" t="s">
        <v>563</v>
      </c>
      <c r="AP5">
        <v>4</v>
      </c>
      <c r="AQ5" t="s">
        <v>171</v>
      </c>
      <c r="AR5" t="s">
        <v>239</v>
      </c>
      <c r="AS5">
        <v>1</v>
      </c>
      <c r="AT5">
        <v>1851</v>
      </c>
      <c r="AU5">
        <v>1851</v>
      </c>
    </row>
    <row r="6" spans="1:47" x14ac:dyDescent="0.25">
      <c r="D6">
        <v>5</v>
      </c>
      <c r="E6" t="s">
        <v>171</v>
      </c>
      <c r="F6" t="s">
        <v>177</v>
      </c>
      <c r="G6" s="4">
        <v>0</v>
      </c>
      <c r="H6" s="4">
        <v>4060</v>
      </c>
      <c r="J6" s="4"/>
      <c r="Q6">
        <v>5</v>
      </c>
      <c r="R6" t="s">
        <v>171</v>
      </c>
      <c r="S6" t="s">
        <v>195</v>
      </c>
      <c r="T6">
        <v>1</v>
      </c>
      <c r="U6">
        <v>1884</v>
      </c>
      <c r="W6">
        <v>1884</v>
      </c>
      <c r="AD6">
        <v>5</v>
      </c>
      <c r="AE6" t="s">
        <v>172</v>
      </c>
      <c r="AF6" t="s">
        <v>219</v>
      </c>
      <c r="AG6">
        <v>1</v>
      </c>
      <c r="AH6">
        <v>3639</v>
      </c>
      <c r="AJ6">
        <v>3639</v>
      </c>
      <c r="AP6">
        <v>5</v>
      </c>
      <c r="AQ6" t="s">
        <v>172</v>
      </c>
      <c r="AR6" t="s">
        <v>223</v>
      </c>
      <c r="AS6">
        <v>1</v>
      </c>
      <c r="AT6">
        <v>2335</v>
      </c>
      <c r="AU6">
        <v>2335</v>
      </c>
    </row>
    <row r="7" spans="1:47" x14ac:dyDescent="0.25">
      <c r="D7">
        <v>6</v>
      </c>
      <c r="E7" t="s">
        <v>172</v>
      </c>
      <c r="F7" t="s">
        <v>178</v>
      </c>
      <c r="G7">
        <v>1</v>
      </c>
      <c r="H7">
        <v>5423</v>
      </c>
      <c r="J7">
        <v>5423</v>
      </c>
      <c r="Q7">
        <v>6</v>
      </c>
      <c r="R7" t="s">
        <v>171</v>
      </c>
      <c r="S7" t="s">
        <v>187</v>
      </c>
      <c r="T7">
        <v>1</v>
      </c>
      <c r="U7">
        <v>1724</v>
      </c>
      <c r="W7">
        <v>1724</v>
      </c>
      <c r="AD7">
        <v>6</v>
      </c>
      <c r="AE7" t="s">
        <v>171</v>
      </c>
      <c r="AF7" t="s">
        <v>220</v>
      </c>
      <c r="AG7">
        <v>1</v>
      </c>
      <c r="AH7">
        <v>1459</v>
      </c>
      <c r="AJ7">
        <v>1459</v>
      </c>
      <c r="AP7">
        <v>6</v>
      </c>
      <c r="AQ7" t="s">
        <v>171</v>
      </c>
      <c r="AR7" t="s">
        <v>231</v>
      </c>
      <c r="AS7">
        <v>1</v>
      </c>
      <c r="AT7">
        <v>1368</v>
      </c>
      <c r="AU7">
        <v>1368</v>
      </c>
    </row>
    <row r="8" spans="1:47" x14ac:dyDescent="0.25">
      <c r="D8">
        <v>7</v>
      </c>
      <c r="E8" t="s">
        <v>172</v>
      </c>
      <c r="F8" t="s">
        <v>179</v>
      </c>
      <c r="G8">
        <v>1</v>
      </c>
      <c r="H8">
        <v>1999</v>
      </c>
      <c r="J8">
        <v>1999</v>
      </c>
      <c r="Q8">
        <v>7</v>
      </c>
      <c r="R8" t="s">
        <v>171</v>
      </c>
      <c r="S8" t="s">
        <v>205</v>
      </c>
      <c r="T8" s="4">
        <v>0</v>
      </c>
      <c r="U8" s="4">
        <v>5813</v>
      </c>
      <c r="W8" s="4"/>
      <c r="AD8">
        <v>7</v>
      </c>
      <c r="AE8" t="s">
        <v>172</v>
      </c>
      <c r="AF8" t="s">
        <v>221</v>
      </c>
      <c r="AG8">
        <v>1</v>
      </c>
      <c r="AH8">
        <v>1707</v>
      </c>
      <c r="AJ8">
        <v>1707</v>
      </c>
      <c r="AP8">
        <v>7</v>
      </c>
      <c r="AQ8" t="s">
        <v>172</v>
      </c>
      <c r="AR8" t="s">
        <v>229</v>
      </c>
      <c r="AS8">
        <v>1</v>
      </c>
      <c r="AT8">
        <v>3281</v>
      </c>
      <c r="AU8">
        <v>3281</v>
      </c>
    </row>
    <row r="9" spans="1:47" x14ac:dyDescent="0.25">
      <c r="D9">
        <v>8</v>
      </c>
      <c r="E9" t="s">
        <v>171</v>
      </c>
      <c r="F9" t="s">
        <v>180</v>
      </c>
      <c r="G9" s="4">
        <v>0</v>
      </c>
      <c r="H9" s="4">
        <v>3278</v>
      </c>
      <c r="J9" s="4"/>
      <c r="Q9">
        <v>8</v>
      </c>
      <c r="R9" t="s">
        <v>171</v>
      </c>
      <c r="S9" t="s">
        <v>201</v>
      </c>
      <c r="T9" s="4">
        <v>0</v>
      </c>
      <c r="U9" s="4">
        <v>5057</v>
      </c>
      <c r="W9" s="4"/>
      <c r="AD9">
        <v>8</v>
      </c>
      <c r="AE9" t="s">
        <v>171</v>
      </c>
      <c r="AF9" t="s">
        <v>222</v>
      </c>
      <c r="AG9" s="4">
        <v>0</v>
      </c>
      <c r="AH9" s="4">
        <v>3253</v>
      </c>
      <c r="AJ9" s="4"/>
      <c r="AP9">
        <v>8</v>
      </c>
      <c r="AQ9" t="s">
        <v>172</v>
      </c>
      <c r="AR9" t="s">
        <v>254</v>
      </c>
      <c r="AS9">
        <v>1</v>
      </c>
      <c r="AT9">
        <v>2727</v>
      </c>
      <c r="AU9">
        <v>2727</v>
      </c>
    </row>
    <row r="10" spans="1:47" x14ac:dyDescent="0.25">
      <c r="D10">
        <v>9</v>
      </c>
      <c r="E10" t="s">
        <v>172</v>
      </c>
      <c r="F10" t="s">
        <v>181</v>
      </c>
      <c r="G10" s="4">
        <v>0</v>
      </c>
      <c r="H10" s="4">
        <v>1221</v>
      </c>
      <c r="J10" s="4"/>
      <c r="Q10">
        <v>9</v>
      </c>
      <c r="R10" t="s">
        <v>172</v>
      </c>
      <c r="S10" t="s">
        <v>183</v>
      </c>
      <c r="T10">
        <v>1</v>
      </c>
      <c r="U10">
        <v>3415</v>
      </c>
      <c r="W10">
        <v>3415</v>
      </c>
      <c r="AD10">
        <v>9</v>
      </c>
      <c r="AE10" t="s">
        <v>172</v>
      </c>
      <c r="AF10" t="s">
        <v>223</v>
      </c>
      <c r="AG10">
        <v>1</v>
      </c>
      <c r="AH10">
        <v>1882</v>
      </c>
      <c r="AJ10">
        <v>1882</v>
      </c>
      <c r="AP10">
        <v>9</v>
      </c>
      <c r="AQ10" t="s">
        <v>171</v>
      </c>
      <c r="AR10" t="s">
        <v>228</v>
      </c>
      <c r="AS10">
        <v>1</v>
      </c>
      <c r="AT10">
        <v>1751</v>
      </c>
      <c r="AU10">
        <v>1751</v>
      </c>
    </row>
    <row r="11" spans="1:47" x14ac:dyDescent="0.25">
      <c r="D11">
        <v>10</v>
      </c>
      <c r="E11" t="s">
        <v>171</v>
      </c>
      <c r="F11" t="s">
        <v>182</v>
      </c>
      <c r="G11" s="4">
        <v>0</v>
      </c>
      <c r="H11" s="4">
        <v>4844</v>
      </c>
      <c r="J11" s="4"/>
      <c r="Q11">
        <v>10</v>
      </c>
      <c r="R11" t="s">
        <v>172</v>
      </c>
      <c r="S11" t="s">
        <v>184</v>
      </c>
      <c r="T11">
        <v>1</v>
      </c>
      <c r="U11">
        <v>3946</v>
      </c>
      <c r="W11">
        <v>3946</v>
      </c>
      <c r="AD11">
        <v>10</v>
      </c>
      <c r="AE11" t="s">
        <v>171</v>
      </c>
      <c r="AF11" t="s">
        <v>224</v>
      </c>
      <c r="AG11">
        <v>1</v>
      </c>
      <c r="AH11">
        <v>2823</v>
      </c>
      <c r="AJ11">
        <v>2823</v>
      </c>
      <c r="AP11">
        <v>10</v>
      </c>
      <c r="AQ11" t="s">
        <v>172</v>
      </c>
      <c r="AR11" t="s">
        <v>243</v>
      </c>
      <c r="AS11">
        <v>1</v>
      </c>
      <c r="AT11">
        <v>3639</v>
      </c>
      <c r="AU11">
        <v>3639</v>
      </c>
    </row>
    <row r="12" spans="1:47" x14ac:dyDescent="0.25">
      <c r="D12">
        <v>11</v>
      </c>
      <c r="E12" t="s">
        <v>172</v>
      </c>
      <c r="F12" t="s">
        <v>183</v>
      </c>
      <c r="G12" s="4">
        <v>0</v>
      </c>
      <c r="H12" s="4">
        <v>2036</v>
      </c>
      <c r="J12" s="4"/>
      <c r="Q12">
        <v>11</v>
      </c>
      <c r="R12" t="s">
        <v>172</v>
      </c>
      <c r="S12" t="s">
        <v>191</v>
      </c>
      <c r="T12">
        <v>1</v>
      </c>
      <c r="U12">
        <v>2995</v>
      </c>
      <c r="W12">
        <v>2995</v>
      </c>
      <c r="AD12">
        <v>11</v>
      </c>
      <c r="AE12" t="s">
        <v>171</v>
      </c>
      <c r="AF12" t="s">
        <v>225</v>
      </c>
      <c r="AG12" s="4">
        <v>0</v>
      </c>
      <c r="AH12" s="4">
        <v>2096</v>
      </c>
      <c r="AJ12" s="4"/>
      <c r="AP12">
        <v>11</v>
      </c>
      <c r="AQ12" t="s">
        <v>171</v>
      </c>
      <c r="AR12" t="s">
        <v>250</v>
      </c>
      <c r="AS12" s="4">
        <v>0</v>
      </c>
      <c r="AT12" s="4">
        <v>5351</v>
      </c>
      <c r="AU12" s="4"/>
    </row>
    <row r="13" spans="1:47" x14ac:dyDescent="0.25">
      <c r="D13">
        <v>12</v>
      </c>
      <c r="E13" t="s">
        <v>172</v>
      </c>
      <c r="F13" t="s">
        <v>184</v>
      </c>
      <c r="G13">
        <v>1</v>
      </c>
      <c r="H13">
        <v>4653</v>
      </c>
      <c r="J13">
        <v>4653</v>
      </c>
      <c r="Q13">
        <v>12</v>
      </c>
      <c r="R13" t="s">
        <v>171</v>
      </c>
      <c r="S13" t="s">
        <v>203</v>
      </c>
      <c r="T13">
        <v>1</v>
      </c>
      <c r="U13">
        <v>2832</v>
      </c>
      <c r="W13">
        <v>2832</v>
      </c>
      <c r="AD13">
        <v>12</v>
      </c>
      <c r="AE13" t="s">
        <v>171</v>
      </c>
      <c r="AF13" t="s">
        <v>226</v>
      </c>
      <c r="AG13">
        <v>1</v>
      </c>
      <c r="AH13">
        <v>4809</v>
      </c>
      <c r="AJ13">
        <v>4809</v>
      </c>
      <c r="AP13">
        <v>12</v>
      </c>
      <c r="AQ13" t="s">
        <v>171</v>
      </c>
      <c r="AR13" t="s">
        <v>253</v>
      </c>
      <c r="AS13" s="4">
        <v>0</v>
      </c>
      <c r="AT13" s="4">
        <v>2697</v>
      </c>
      <c r="AU13" s="4"/>
    </row>
    <row r="14" spans="1:47" x14ac:dyDescent="0.25">
      <c r="D14">
        <v>13</v>
      </c>
      <c r="E14" t="s">
        <v>171</v>
      </c>
      <c r="F14" t="s">
        <v>185</v>
      </c>
      <c r="G14">
        <v>1</v>
      </c>
      <c r="H14">
        <v>3154</v>
      </c>
      <c r="J14">
        <v>3154</v>
      </c>
      <c r="Q14">
        <v>13</v>
      </c>
      <c r="R14" t="s">
        <v>172</v>
      </c>
      <c r="S14" t="s">
        <v>202</v>
      </c>
      <c r="T14">
        <v>1</v>
      </c>
      <c r="U14">
        <v>2802</v>
      </c>
      <c r="W14">
        <v>2802</v>
      </c>
      <c r="AD14">
        <v>13</v>
      </c>
      <c r="AE14" t="s">
        <v>171</v>
      </c>
      <c r="AF14" t="s">
        <v>227</v>
      </c>
      <c r="AG14" s="4">
        <v>0</v>
      </c>
      <c r="AH14" s="4">
        <v>5528</v>
      </c>
      <c r="AJ14" s="4"/>
      <c r="AP14">
        <v>13</v>
      </c>
      <c r="AQ14" t="s">
        <v>172</v>
      </c>
      <c r="AR14" t="s">
        <v>238</v>
      </c>
      <c r="AS14">
        <v>1</v>
      </c>
      <c r="AT14">
        <v>1786</v>
      </c>
      <c r="AU14">
        <v>1786</v>
      </c>
    </row>
    <row r="15" spans="1:47" x14ac:dyDescent="0.25">
      <c r="D15">
        <v>14</v>
      </c>
      <c r="E15" t="s">
        <v>172</v>
      </c>
      <c r="F15" t="s">
        <v>186</v>
      </c>
      <c r="G15">
        <v>1</v>
      </c>
      <c r="H15">
        <v>2436</v>
      </c>
      <c r="J15">
        <v>2436</v>
      </c>
      <c r="Q15">
        <v>14</v>
      </c>
      <c r="R15" t="s">
        <v>171</v>
      </c>
      <c r="S15" t="s">
        <v>188</v>
      </c>
      <c r="T15">
        <v>1</v>
      </c>
      <c r="U15">
        <v>1791</v>
      </c>
      <c r="W15">
        <v>1791</v>
      </c>
      <c r="AD15">
        <v>14</v>
      </c>
      <c r="AE15" t="s">
        <v>171</v>
      </c>
      <c r="AF15" t="s">
        <v>228</v>
      </c>
      <c r="AG15">
        <v>1</v>
      </c>
      <c r="AH15">
        <v>2298</v>
      </c>
      <c r="AJ15">
        <v>2298</v>
      </c>
      <c r="AP15">
        <v>14</v>
      </c>
      <c r="AQ15" t="s">
        <v>171</v>
      </c>
      <c r="AR15" t="s">
        <v>217</v>
      </c>
      <c r="AS15">
        <v>1</v>
      </c>
      <c r="AT15">
        <v>1858</v>
      </c>
      <c r="AU15">
        <v>1858</v>
      </c>
    </row>
    <row r="16" spans="1:47" x14ac:dyDescent="0.25">
      <c r="D16">
        <v>15</v>
      </c>
      <c r="E16" t="s">
        <v>171</v>
      </c>
      <c r="F16" t="s">
        <v>187</v>
      </c>
      <c r="G16">
        <v>1</v>
      </c>
      <c r="H16">
        <v>1195</v>
      </c>
      <c r="J16">
        <v>1195</v>
      </c>
      <c r="Q16">
        <v>15</v>
      </c>
      <c r="R16" t="s">
        <v>171</v>
      </c>
      <c r="S16" t="s">
        <v>180</v>
      </c>
      <c r="T16" s="4">
        <v>0</v>
      </c>
      <c r="U16" s="4">
        <v>4526</v>
      </c>
      <c r="W16" s="4"/>
      <c r="AD16">
        <v>15</v>
      </c>
      <c r="AE16" t="s">
        <v>172</v>
      </c>
      <c r="AF16" t="s">
        <v>229</v>
      </c>
      <c r="AG16">
        <v>1</v>
      </c>
      <c r="AH16">
        <v>2398</v>
      </c>
      <c r="AJ16">
        <v>2398</v>
      </c>
      <c r="AP16">
        <v>15</v>
      </c>
      <c r="AQ16" t="s">
        <v>172</v>
      </c>
      <c r="AR16" t="s">
        <v>236</v>
      </c>
      <c r="AS16">
        <v>1</v>
      </c>
      <c r="AT16">
        <v>2514</v>
      </c>
      <c r="AU16">
        <v>2514</v>
      </c>
    </row>
    <row r="17" spans="4:47" x14ac:dyDescent="0.25">
      <c r="D17">
        <v>16</v>
      </c>
      <c r="E17" t="s">
        <v>171</v>
      </c>
      <c r="F17" t="s">
        <v>188</v>
      </c>
      <c r="G17">
        <v>1</v>
      </c>
      <c r="H17">
        <v>1480</v>
      </c>
      <c r="J17">
        <v>1480</v>
      </c>
      <c r="Q17">
        <v>16</v>
      </c>
      <c r="R17" t="s">
        <v>171</v>
      </c>
      <c r="S17" t="s">
        <v>182</v>
      </c>
      <c r="T17" s="4">
        <v>0</v>
      </c>
      <c r="U17" s="4">
        <v>2962</v>
      </c>
      <c r="W17" s="4"/>
      <c r="AD17">
        <v>16</v>
      </c>
      <c r="AE17" t="s">
        <v>172</v>
      </c>
      <c r="AF17" t="s">
        <v>230</v>
      </c>
      <c r="AG17">
        <v>1</v>
      </c>
      <c r="AH17">
        <v>1941</v>
      </c>
      <c r="AJ17">
        <v>1941</v>
      </c>
      <c r="AP17">
        <v>16</v>
      </c>
      <c r="AQ17" t="s">
        <v>171</v>
      </c>
      <c r="AR17" t="s">
        <v>251</v>
      </c>
      <c r="AS17" s="4">
        <v>0</v>
      </c>
      <c r="AT17" s="4">
        <v>2823</v>
      </c>
      <c r="AU17" s="4"/>
    </row>
    <row r="18" spans="4:47" x14ac:dyDescent="0.25">
      <c r="D18">
        <v>17</v>
      </c>
      <c r="E18" t="s">
        <v>171</v>
      </c>
      <c r="F18" t="s">
        <v>189</v>
      </c>
      <c r="G18">
        <v>1</v>
      </c>
      <c r="H18">
        <v>1547</v>
      </c>
      <c r="J18">
        <v>1547</v>
      </c>
      <c r="Q18">
        <v>17</v>
      </c>
      <c r="R18" t="s">
        <v>171</v>
      </c>
      <c r="S18" t="s">
        <v>197</v>
      </c>
      <c r="T18" s="4">
        <v>0</v>
      </c>
      <c r="U18" s="4">
        <v>2208</v>
      </c>
      <c r="W18" s="4"/>
      <c r="AD18">
        <v>17</v>
      </c>
      <c r="AE18" t="s">
        <v>171</v>
      </c>
      <c r="AF18" t="s">
        <v>231</v>
      </c>
      <c r="AG18">
        <v>1</v>
      </c>
      <c r="AH18">
        <v>2130</v>
      </c>
      <c r="AJ18">
        <v>2130</v>
      </c>
      <c r="AP18">
        <v>17</v>
      </c>
      <c r="AQ18" t="s">
        <v>172</v>
      </c>
      <c r="AR18" t="s">
        <v>235</v>
      </c>
      <c r="AS18">
        <v>1</v>
      </c>
      <c r="AT18">
        <v>2628</v>
      </c>
      <c r="AU18">
        <v>2628</v>
      </c>
    </row>
    <row r="19" spans="4:47" x14ac:dyDescent="0.25">
      <c r="D19">
        <v>18</v>
      </c>
      <c r="E19" t="s">
        <v>171</v>
      </c>
      <c r="F19" t="s">
        <v>190</v>
      </c>
      <c r="G19">
        <v>1</v>
      </c>
      <c r="H19">
        <v>1548</v>
      </c>
      <c r="J19">
        <v>1548</v>
      </c>
      <c r="Q19">
        <v>18</v>
      </c>
      <c r="R19" t="s">
        <v>171</v>
      </c>
      <c r="S19" t="s">
        <v>189</v>
      </c>
      <c r="T19">
        <v>1</v>
      </c>
      <c r="U19">
        <v>1487</v>
      </c>
      <c r="W19">
        <v>1487</v>
      </c>
      <c r="AD19">
        <v>18</v>
      </c>
      <c r="AE19" t="s">
        <v>172</v>
      </c>
      <c r="AF19" t="s">
        <v>232</v>
      </c>
      <c r="AG19">
        <v>1</v>
      </c>
      <c r="AH19">
        <v>1842</v>
      </c>
      <c r="AJ19">
        <v>1842</v>
      </c>
      <c r="AP19">
        <v>18</v>
      </c>
      <c r="AQ19" t="s">
        <v>171</v>
      </c>
      <c r="AR19" t="s">
        <v>242</v>
      </c>
      <c r="AS19" s="4">
        <v>0</v>
      </c>
      <c r="AT19" s="4">
        <v>2598</v>
      </c>
      <c r="AU19" s="4"/>
    </row>
    <row r="20" spans="4:47" x14ac:dyDescent="0.25">
      <c r="D20">
        <v>19</v>
      </c>
      <c r="E20" t="s">
        <v>172</v>
      </c>
      <c r="F20" t="s">
        <v>191</v>
      </c>
      <c r="G20" s="4">
        <v>0</v>
      </c>
      <c r="H20" s="4">
        <v>0</v>
      </c>
      <c r="J20" s="4"/>
      <c r="Q20">
        <v>19</v>
      </c>
      <c r="R20" t="s">
        <v>172</v>
      </c>
      <c r="S20" t="s">
        <v>196</v>
      </c>
      <c r="T20" s="4">
        <v>0</v>
      </c>
      <c r="U20" s="4">
        <v>1334</v>
      </c>
      <c r="W20" s="4"/>
      <c r="AD20">
        <v>19</v>
      </c>
      <c r="AE20" t="s">
        <v>171</v>
      </c>
      <c r="AF20" t="s">
        <v>233</v>
      </c>
      <c r="AG20" s="4">
        <v>0</v>
      </c>
      <c r="AH20" s="4">
        <v>3924</v>
      </c>
      <c r="AJ20" s="4"/>
      <c r="AP20">
        <v>19</v>
      </c>
      <c r="AQ20" t="s">
        <v>171</v>
      </c>
      <c r="AR20" t="s">
        <v>220</v>
      </c>
      <c r="AS20">
        <v>1</v>
      </c>
      <c r="AT20">
        <v>1045</v>
      </c>
      <c r="AU20">
        <v>1045</v>
      </c>
    </row>
    <row r="21" spans="4:47" x14ac:dyDescent="0.25">
      <c r="D21">
        <v>20</v>
      </c>
      <c r="E21" t="s">
        <v>172</v>
      </c>
      <c r="F21" t="s">
        <v>192</v>
      </c>
      <c r="G21">
        <v>1</v>
      </c>
      <c r="H21">
        <v>3045</v>
      </c>
      <c r="J21">
        <v>3045</v>
      </c>
      <c r="Q21">
        <v>20</v>
      </c>
      <c r="R21" t="s">
        <v>172</v>
      </c>
      <c r="S21" t="s">
        <v>179</v>
      </c>
      <c r="T21">
        <v>1</v>
      </c>
      <c r="U21">
        <v>1985</v>
      </c>
      <c r="W21">
        <v>1985</v>
      </c>
      <c r="AD21">
        <v>20</v>
      </c>
      <c r="AE21" t="s">
        <v>172</v>
      </c>
      <c r="AF21" t="s">
        <v>234</v>
      </c>
      <c r="AG21">
        <v>1</v>
      </c>
      <c r="AH21">
        <v>1674</v>
      </c>
      <c r="AJ21">
        <v>1674</v>
      </c>
      <c r="AP21">
        <v>20</v>
      </c>
      <c r="AQ21" t="s">
        <v>172</v>
      </c>
      <c r="AR21" t="s">
        <v>215</v>
      </c>
      <c r="AS21">
        <v>1</v>
      </c>
      <c r="AT21">
        <v>2696</v>
      </c>
      <c r="AU21">
        <v>2696</v>
      </c>
    </row>
    <row r="22" spans="4:47" x14ac:dyDescent="0.25">
      <c r="D22">
        <v>21</v>
      </c>
      <c r="E22" t="s">
        <v>172</v>
      </c>
      <c r="F22" t="s">
        <v>193</v>
      </c>
      <c r="G22">
        <v>1</v>
      </c>
      <c r="H22">
        <v>1514</v>
      </c>
      <c r="J22">
        <v>1514</v>
      </c>
      <c r="Q22">
        <v>21</v>
      </c>
      <c r="R22" t="s">
        <v>171</v>
      </c>
      <c r="S22" t="s">
        <v>204</v>
      </c>
      <c r="T22">
        <v>1</v>
      </c>
      <c r="U22">
        <v>1888</v>
      </c>
      <c r="W22">
        <v>1888</v>
      </c>
      <c r="AD22">
        <v>21</v>
      </c>
      <c r="AE22" t="s">
        <v>172</v>
      </c>
      <c r="AF22" t="s">
        <v>235</v>
      </c>
      <c r="AG22">
        <v>1</v>
      </c>
      <c r="AH22">
        <v>4349</v>
      </c>
      <c r="AJ22">
        <v>4349</v>
      </c>
      <c r="AP22">
        <v>21</v>
      </c>
      <c r="AQ22" t="s">
        <v>171</v>
      </c>
      <c r="AR22" t="s">
        <v>237</v>
      </c>
      <c r="AS22">
        <v>1</v>
      </c>
      <c r="AT22">
        <v>3213</v>
      </c>
      <c r="AU22">
        <v>3213</v>
      </c>
    </row>
    <row r="23" spans="4:47" x14ac:dyDescent="0.25">
      <c r="D23">
        <v>22</v>
      </c>
      <c r="E23" t="s">
        <v>172</v>
      </c>
      <c r="F23" t="s">
        <v>194</v>
      </c>
      <c r="G23">
        <v>1</v>
      </c>
      <c r="H23">
        <v>2951</v>
      </c>
      <c r="J23">
        <v>2951</v>
      </c>
      <c r="Q23">
        <v>22</v>
      </c>
      <c r="R23" t="s">
        <v>171</v>
      </c>
      <c r="S23" t="s">
        <v>210</v>
      </c>
      <c r="T23">
        <v>1</v>
      </c>
      <c r="U23">
        <v>1499</v>
      </c>
      <c r="W23">
        <v>1499</v>
      </c>
      <c r="AD23">
        <v>22</v>
      </c>
      <c r="AE23" t="s">
        <v>172</v>
      </c>
      <c r="AF23" t="s">
        <v>236</v>
      </c>
      <c r="AG23">
        <v>1</v>
      </c>
      <c r="AH23">
        <v>2271</v>
      </c>
      <c r="AJ23">
        <v>2271</v>
      </c>
      <c r="AP23">
        <v>22</v>
      </c>
      <c r="AQ23" t="s">
        <v>171</v>
      </c>
      <c r="AR23" t="s">
        <v>224</v>
      </c>
      <c r="AS23">
        <v>1</v>
      </c>
      <c r="AT23">
        <v>2790</v>
      </c>
      <c r="AU23">
        <v>2790</v>
      </c>
    </row>
    <row r="24" spans="4:47" x14ac:dyDescent="0.25">
      <c r="D24">
        <v>23</v>
      </c>
      <c r="E24" t="s">
        <v>171</v>
      </c>
      <c r="F24" t="s">
        <v>195</v>
      </c>
      <c r="G24">
        <v>1</v>
      </c>
      <c r="H24">
        <v>4326</v>
      </c>
      <c r="J24">
        <v>4326</v>
      </c>
      <c r="Q24">
        <v>23</v>
      </c>
      <c r="R24" t="s">
        <v>172</v>
      </c>
      <c r="S24" t="s">
        <v>181</v>
      </c>
      <c r="T24">
        <v>1</v>
      </c>
      <c r="U24">
        <v>3031</v>
      </c>
      <c r="W24">
        <v>3031</v>
      </c>
      <c r="AD24">
        <v>23</v>
      </c>
      <c r="AE24" t="s">
        <v>171</v>
      </c>
      <c r="AF24" t="s">
        <v>237</v>
      </c>
      <c r="AG24" s="4">
        <v>0</v>
      </c>
      <c r="AH24" s="4">
        <v>1817</v>
      </c>
      <c r="AJ24" s="4"/>
      <c r="AP24">
        <v>23</v>
      </c>
      <c r="AQ24" t="s">
        <v>171</v>
      </c>
      <c r="AR24" t="s">
        <v>226</v>
      </c>
      <c r="AS24">
        <v>1</v>
      </c>
      <c r="AT24">
        <v>2075</v>
      </c>
      <c r="AU24">
        <v>2075</v>
      </c>
    </row>
    <row r="25" spans="4:47" x14ac:dyDescent="0.25">
      <c r="D25">
        <v>24</v>
      </c>
      <c r="E25" t="s">
        <v>172</v>
      </c>
      <c r="F25" t="s">
        <v>196</v>
      </c>
      <c r="G25" s="4">
        <v>0</v>
      </c>
      <c r="H25" s="4">
        <v>1056</v>
      </c>
      <c r="J25" s="4"/>
      <c r="Q25">
        <v>24</v>
      </c>
      <c r="R25" t="s">
        <v>172</v>
      </c>
      <c r="S25" t="s">
        <v>192</v>
      </c>
      <c r="T25">
        <v>1</v>
      </c>
      <c r="U25">
        <v>2375</v>
      </c>
      <c r="W25">
        <v>2375</v>
      </c>
      <c r="AD25">
        <v>24</v>
      </c>
      <c r="AE25" t="s">
        <v>172</v>
      </c>
      <c r="AF25" t="s">
        <v>238</v>
      </c>
      <c r="AG25">
        <v>1</v>
      </c>
      <c r="AH25">
        <v>2008</v>
      </c>
      <c r="AJ25">
        <v>2008</v>
      </c>
      <c r="AP25">
        <v>24</v>
      </c>
      <c r="AQ25" t="s">
        <v>172</v>
      </c>
      <c r="AR25" t="s">
        <v>230</v>
      </c>
      <c r="AS25">
        <v>1</v>
      </c>
      <c r="AT25">
        <v>1480</v>
      </c>
      <c r="AU25">
        <v>1480</v>
      </c>
    </row>
    <row r="26" spans="4:47" x14ac:dyDescent="0.25">
      <c r="D26">
        <v>25</v>
      </c>
      <c r="E26" t="s">
        <v>171</v>
      </c>
      <c r="F26" t="s">
        <v>197</v>
      </c>
      <c r="G26">
        <v>1</v>
      </c>
      <c r="H26">
        <v>1099</v>
      </c>
      <c r="J26">
        <v>1099</v>
      </c>
      <c r="Q26">
        <v>25</v>
      </c>
      <c r="R26" t="s">
        <v>171</v>
      </c>
      <c r="S26" t="s">
        <v>200</v>
      </c>
      <c r="T26" s="4">
        <v>0</v>
      </c>
      <c r="U26" s="4">
        <v>1682</v>
      </c>
      <c r="W26" s="4"/>
      <c r="AD26">
        <v>25</v>
      </c>
      <c r="AE26" t="s">
        <v>171</v>
      </c>
      <c r="AF26" t="s">
        <v>239</v>
      </c>
      <c r="AG26">
        <v>1</v>
      </c>
      <c r="AH26">
        <v>1609</v>
      </c>
      <c r="AJ26">
        <v>1609</v>
      </c>
      <c r="AP26">
        <v>25</v>
      </c>
      <c r="AQ26" t="s">
        <v>172</v>
      </c>
      <c r="AR26" t="s">
        <v>246</v>
      </c>
      <c r="AS26">
        <v>1</v>
      </c>
      <c r="AT26">
        <v>4248</v>
      </c>
      <c r="AU26">
        <v>4248</v>
      </c>
    </row>
    <row r="27" spans="4:47" x14ac:dyDescent="0.25">
      <c r="D27">
        <v>26</v>
      </c>
      <c r="E27" t="s">
        <v>171</v>
      </c>
      <c r="F27" t="s">
        <v>198</v>
      </c>
      <c r="G27">
        <v>1</v>
      </c>
      <c r="H27">
        <v>1974</v>
      </c>
      <c r="J27">
        <v>1974</v>
      </c>
      <c r="Q27">
        <v>26</v>
      </c>
      <c r="R27" t="s">
        <v>172</v>
      </c>
      <c r="S27" t="s">
        <v>208</v>
      </c>
      <c r="T27">
        <v>1</v>
      </c>
      <c r="U27">
        <v>2899</v>
      </c>
      <c r="W27">
        <v>2899</v>
      </c>
      <c r="AD27">
        <v>26</v>
      </c>
      <c r="AE27" t="s">
        <v>171</v>
      </c>
      <c r="AF27" t="s">
        <v>240</v>
      </c>
      <c r="AG27">
        <v>1</v>
      </c>
      <c r="AH27">
        <v>3469</v>
      </c>
      <c r="AJ27">
        <v>3469</v>
      </c>
      <c r="AP27">
        <v>26</v>
      </c>
      <c r="AQ27" t="s">
        <v>171</v>
      </c>
      <c r="AR27" t="s">
        <v>218</v>
      </c>
      <c r="AS27">
        <v>1</v>
      </c>
      <c r="AT27">
        <v>2148</v>
      </c>
      <c r="AU27">
        <v>2148</v>
      </c>
    </row>
    <row r="28" spans="4:47" x14ac:dyDescent="0.25">
      <c r="D28">
        <v>27</v>
      </c>
      <c r="E28" t="s">
        <v>171</v>
      </c>
      <c r="F28" t="s">
        <v>199</v>
      </c>
      <c r="G28">
        <v>1</v>
      </c>
      <c r="H28">
        <v>1326</v>
      </c>
      <c r="J28">
        <v>1326</v>
      </c>
      <c r="Q28">
        <v>27</v>
      </c>
      <c r="R28" t="s">
        <v>172</v>
      </c>
      <c r="S28" t="s">
        <v>207</v>
      </c>
      <c r="T28">
        <v>0</v>
      </c>
      <c r="U28">
        <v>2049</v>
      </c>
      <c r="W28">
        <v>2049</v>
      </c>
      <c r="AD28">
        <v>27</v>
      </c>
      <c r="AE28" t="s">
        <v>172</v>
      </c>
      <c r="AF28" t="s">
        <v>241</v>
      </c>
      <c r="AG28">
        <v>1</v>
      </c>
      <c r="AH28">
        <v>1619</v>
      </c>
      <c r="AJ28">
        <v>1619</v>
      </c>
      <c r="AP28">
        <v>27</v>
      </c>
      <c r="AQ28" t="s">
        <v>172</v>
      </c>
      <c r="AR28" t="s">
        <v>247</v>
      </c>
      <c r="AS28" s="4">
        <v>0</v>
      </c>
      <c r="AT28" s="4">
        <v>3435</v>
      </c>
      <c r="AU28" s="4"/>
    </row>
    <row r="29" spans="4:47" x14ac:dyDescent="0.25">
      <c r="D29">
        <v>28</v>
      </c>
      <c r="E29" t="s">
        <v>171</v>
      </c>
      <c r="F29" t="s">
        <v>200</v>
      </c>
      <c r="G29">
        <v>1</v>
      </c>
      <c r="H29">
        <v>2361</v>
      </c>
      <c r="J29">
        <v>2361</v>
      </c>
      <c r="Q29">
        <v>28</v>
      </c>
      <c r="R29" t="s">
        <v>172</v>
      </c>
      <c r="S29" t="s">
        <v>211</v>
      </c>
      <c r="T29">
        <v>1</v>
      </c>
      <c r="U29">
        <v>3163</v>
      </c>
      <c r="W29">
        <v>3163</v>
      </c>
      <c r="AD29">
        <v>28</v>
      </c>
      <c r="AE29" t="s">
        <v>171</v>
      </c>
      <c r="AF29" t="s">
        <v>242</v>
      </c>
      <c r="AG29" s="4">
        <v>0</v>
      </c>
      <c r="AH29" s="4">
        <v>3415</v>
      </c>
      <c r="AJ29" s="4"/>
      <c r="AP29">
        <v>28</v>
      </c>
      <c r="AQ29" t="s">
        <v>172</v>
      </c>
      <c r="AR29" t="s">
        <v>248</v>
      </c>
      <c r="AS29">
        <v>1</v>
      </c>
      <c r="AT29">
        <v>1662</v>
      </c>
      <c r="AU29">
        <v>1662</v>
      </c>
    </row>
    <row r="30" spans="4:47" x14ac:dyDescent="0.25">
      <c r="D30">
        <v>29</v>
      </c>
      <c r="E30" t="s">
        <v>171</v>
      </c>
      <c r="F30" t="s">
        <v>201</v>
      </c>
      <c r="G30" s="4">
        <v>0</v>
      </c>
      <c r="H30" s="4">
        <v>3568</v>
      </c>
      <c r="J30" s="4"/>
      <c r="Q30">
        <v>29</v>
      </c>
      <c r="R30" t="s">
        <v>171</v>
      </c>
      <c r="S30" t="s">
        <v>198</v>
      </c>
      <c r="T30" s="4">
        <v>0</v>
      </c>
      <c r="U30" s="4">
        <v>2503</v>
      </c>
      <c r="W30" s="4"/>
      <c r="AD30">
        <v>29</v>
      </c>
      <c r="AE30" t="s">
        <v>172</v>
      </c>
      <c r="AF30" t="s">
        <v>243</v>
      </c>
      <c r="AG30">
        <v>1</v>
      </c>
      <c r="AH30">
        <v>2400</v>
      </c>
      <c r="AJ30">
        <v>2400</v>
      </c>
      <c r="AP30">
        <v>29</v>
      </c>
      <c r="AQ30" t="s">
        <v>172</v>
      </c>
      <c r="AR30" t="s">
        <v>234</v>
      </c>
      <c r="AS30">
        <v>1</v>
      </c>
      <c r="AT30">
        <v>1460</v>
      </c>
      <c r="AU30">
        <v>1460</v>
      </c>
    </row>
    <row r="31" spans="4:47" x14ac:dyDescent="0.25">
      <c r="D31">
        <v>30</v>
      </c>
      <c r="E31" t="s">
        <v>172</v>
      </c>
      <c r="F31" t="s">
        <v>202</v>
      </c>
      <c r="G31">
        <v>1</v>
      </c>
      <c r="H31">
        <v>2434</v>
      </c>
      <c r="J31">
        <v>2434</v>
      </c>
      <c r="Q31">
        <v>30</v>
      </c>
      <c r="R31" t="s">
        <v>172</v>
      </c>
      <c r="S31" t="s">
        <v>193</v>
      </c>
      <c r="T31">
        <v>1</v>
      </c>
      <c r="U31">
        <v>3327</v>
      </c>
      <c r="W31">
        <v>3327</v>
      </c>
      <c r="AD31">
        <v>30</v>
      </c>
      <c r="AE31" t="s">
        <v>171</v>
      </c>
      <c r="AF31" t="s">
        <v>244</v>
      </c>
      <c r="AG31">
        <v>1</v>
      </c>
      <c r="AH31">
        <v>2724</v>
      </c>
      <c r="AJ31">
        <v>2724</v>
      </c>
      <c r="AP31">
        <v>30</v>
      </c>
      <c r="AQ31" t="s">
        <v>172</v>
      </c>
      <c r="AR31" t="s">
        <v>219</v>
      </c>
      <c r="AS31">
        <v>1</v>
      </c>
      <c r="AT31">
        <v>2500</v>
      </c>
      <c r="AU31">
        <v>2500</v>
      </c>
    </row>
    <row r="32" spans="4:47" x14ac:dyDescent="0.25">
      <c r="D32">
        <v>31</v>
      </c>
      <c r="E32" t="s">
        <v>171</v>
      </c>
      <c r="F32" t="s">
        <v>203</v>
      </c>
      <c r="G32">
        <v>0</v>
      </c>
      <c r="H32">
        <v>3411</v>
      </c>
      <c r="J32">
        <v>3411</v>
      </c>
      <c r="Q32">
        <v>31</v>
      </c>
      <c r="R32" t="s">
        <v>172</v>
      </c>
      <c r="S32" t="s">
        <v>178</v>
      </c>
      <c r="T32">
        <v>1</v>
      </c>
      <c r="U32">
        <v>3680</v>
      </c>
      <c r="W32">
        <v>3680</v>
      </c>
      <c r="AD32">
        <v>31</v>
      </c>
      <c r="AE32" t="s">
        <v>172</v>
      </c>
      <c r="AF32" t="s">
        <v>245</v>
      </c>
      <c r="AG32">
        <v>1</v>
      </c>
      <c r="AH32">
        <v>2978</v>
      </c>
      <c r="AJ32">
        <v>2978</v>
      </c>
      <c r="AP32">
        <v>31</v>
      </c>
      <c r="AQ32" t="s">
        <v>171</v>
      </c>
      <c r="AR32" t="s">
        <v>225</v>
      </c>
      <c r="AS32" s="4">
        <v>0</v>
      </c>
      <c r="AT32" s="4">
        <v>1399</v>
      </c>
      <c r="AU32" s="4"/>
    </row>
    <row r="33" spans="4:47" x14ac:dyDescent="0.25">
      <c r="D33">
        <v>32</v>
      </c>
      <c r="E33" t="s">
        <v>171</v>
      </c>
      <c r="F33" t="s">
        <v>204</v>
      </c>
      <c r="G33">
        <v>1</v>
      </c>
      <c r="H33">
        <v>1090</v>
      </c>
      <c r="J33">
        <v>1090</v>
      </c>
      <c r="Q33">
        <v>32</v>
      </c>
      <c r="R33" t="s">
        <v>172</v>
      </c>
      <c r="S33" t="s">
        <v>209</v>
      </c>
      <c r="T33">
        <v>1</v>
      </c>
      <c r="U33">
        <v>2243</v>
      </c>
      <c r="W33">
        <v>2243</v>
      </c>
      <c r="AD33">
        <v>32</v>
      </c>
      <c r="AE33" t="s">
        <v>172</v>
      </c>
      <c r="AF33" t="s">
        <v>246</v>
      </c>
      <c r="AG33" s="4">
        <v>0</v>
      </c>
      <c r="AH33" s="4">
        <v>1515</v>
      </c>
      <c r="AJ33" s="4"/>
      <c r="AP33">
        <v>32</v>
      </c>
      <c r="AQ33" t="s">
        <v>172</v>
      </c>
      <c r="AR33" t="s">
        <v>232</v>
      </c>
      <c r="AS33">
        <v>1</v>
      </c>
      <c r="AT33">
        <v>2635</v>
      </c>
      <c r="AU33">
        <v>2635</v>
      </c>
    </row>
    <row r="34" spans="4:47" x14ac:dyDescent="0.25">
      <c r="D34">
        <v>33</v>
      </c>
      <c r="E34" t="s">
        <v>171</v>
      </c>
      <c r="F34" t="s">
        <v>205</v>
      </c>
      <c r="G34" s="4">
        <v>0</v>
      </c>
      <c r="H34" s="4">
        <v>1494</v>
      </c>
      <c r="J34" s="4"/>
      <c r="Q34">
        <v>33</v>
      </c>
      <c r="R34" t="s">
        <v>171</v>
      </c>
      <c r="S34" t="s">
        <v>190</v>
      </c>
      <c r="T34">
        <v>1</v>
      </c>
      <c r="U34">
        <v>1487</v>
      </c>
      <c r="W34">
        <v>1487</v>
      </c>
      <c r="AD34">
        <v>33</v>
      </c>
      <c r="AE34" t="s">
        <v>172</v>
      </c>
      <c r="AF34" t="s">
        <v>247</v>
      </c>
      <c r="AG34">
        <v>1</v>
      </c>
      <c r="AH34">
        <v>2040</v>
      </c>
      <c r="AJ34">
        <v>2040</v>
      </c>
      <c r="AP34">
        <v>33</v>
      </c>
      <c r="AQ34" t="s">
        <v>172</v>
      </c>
      <c r="AR34" t="s">
        <v>245</v>
      </c>
      <c r="AS34">
        <v>1</v>
      </c>
      <c r="AT34">
        <v>2120</v>
      </c>
      <c r="AU34">
        <v>2120</v>
      </c>
    </row>
    <row r="35" spans="4:47" x14ac:dyDescent="0.25">
      <c r="D35">
        <v>34</v>
      </c>
      <c r="E35" t="s">
        <v>172</v>
      </c>
      <c r="F35" t="s">
        <v>206</v>
      </c>
      <c r="G35">
        <v>1</v>
      </c>
      <c r="H35">
        <v>3013</v>
      </c>
      <c r="J35">
        <v>3013</v>
      </c>
      <c r="Q35">
        <v>34</v>
      </c>
      <c r="R35" t="s">
        <v>172</v>
      </c>
      <c r="S35" t="s">
        <v>186</v>
      </c>
      <c r="T35" s="4">
        <v>0</v>
      </c>
      <c r="U35" s="4">
        <v>1760</v>
      </c>
      <c r="W35" s="4"/>
      <c r="AD35">
        <v>34</v>
      </c>
      <c r="AE35" t="s">
        <v>172</v>
      </c>
      <c r="AF35" t="s">
        <v>248</v>
      </c>
      <c r="AG35">
        <v>1</v>
      </c>
      <c r="AH35">
        <v>3059</v>
      </c>
      <c r="AJ35">
        <v>3059</v>
      </c>
      <c r="AP35">
        <v>34</v>
      </c>
      <c r="AQ35" t="s">
        <v>171</v>
      </c>
      <c r="AR35" t="s">
        <v>233</v>
      </c>
      <c r="AS35" s="4">
        <v>0</v>
      </c>
      <c r="AT35" s="4">
        <v>1273</v>
      </c>
      <c r="AU35" s="4"/>
    </row>
    <row r="36" spans="4:47" x14ac:dyDescent="0.25">
      <c r="D36">
        <v>35</v>
      </c>
      <c r="E36" t="s">
        <v>172</v>
      </c>
      <c r="F36" t="s">
        <v>207</v>
      </c>
      <c r="G36" s="4">
        <v>0</v>
      </c>
      <c r="H36" s="4">
        <v>1482</v>
      </c>
      <c r="J36" s="4"/>
      <c r="Q36">
        <v>35</v>
      </c>
      <c r="R36" t="s">
        <v>171</v>
      </c>
      <c r="S36" t="s">
        <v>185</v>
      </c>
      <c r="T36" s="4">
        <v>0</v>
      </c>
      <c r="U36" s="4">
        <v>3743</v>
      </c>
      <c r="W36" s="4"/>
      <c r="AD36">
        <v>35</v>
      </c>
      <c r="AE36" t="s">
        <v>172</v>
      </c>
      <c r="AF36" t="s">
        <v>249</v>
      </c>
      <c r="AG36">
        <v>1</v>
      </c>
      <c r="AH36">
        <v>2622</v>
      </c>
      <c r="AJ36">
        <v>2622</v>
      </c>
      <c r="AP36">
        <v>35</v>
      </c>
      <c r="AQ36" t="s">
        <v>171</v>
      </c>
      <c r="AR36" t="s">
        <v>244</v>
      </c>
      <c r="AS36">
        <v>1</v>
      </c>
      <c r="AT36">
        <v>1275</v>
      </c>
      <c r="AU36">
        <v>1275</v>
      </c>
    </row>
    <row r="37" spans="4:47" x14ac:dyDescent="0.25">
      <c r="D37">
        <v>36</v>
      </c>
      <c r="E37" t="s">
        <v>172</v>
      </c>
      <c r="F37" t="s">
        <v>208</v>
      </c>
      <c r="G37" s="4">
        <v>0</v>
      </c>
      <c r="H37" s="4">
        <v>1680</v>
      </c>
      <c r="J37" s="4"/>
      <c r="Q37">
        <v>36</v>
      </c>
      <c r="R37" t="s">
        <v>171</v>
      </c>
      <c r="S37" t="s">
        <v>177</v>
      </c>
      <c r="T37" s="4">
        <v>0</v>
      </c>
      <c r="U37" s="4">
        <v>1979</v>
      </c>
      <c r="W37" s="4"/>
      <c r="AD37">
        <v>36</v>
      </c>
      <c r="AE37" t="s">
        <v>171</v>
      </c>
      <c r="AF37" t="s">
        <v>250</v>
      </c>
      <c r="AG37" s="4">
        <v>0</v>
      </c>
      <c r="AH37" s="4">
        <v>3834</v>
      </c>
      <c r="AJ37" s="4"/>
      <c r="AP37">
        <v>36</v>
      </c>
      <c r="AQ37" t="s">
        <v>172</v>
      </c>
      <c r="AR37" t="s">
        <v>249</v>
      </c>
      <c r="AS37" s="4">
        <v>0</v>
      </c>
      <c r="AT37" s="4">
        <v>1846</v>
      </c>
      <c r="AU37" s="4"/>
    </row>
    <row r="38" spans="4:47" x14ac:dyDescent="0.25">
      <c r="D38">
        <v>37</v>
      </c>
      <c r="E38" t="s">
        <v>172</v>
      </c>
      <c r="F38" t="s">
        <v>209</v>
      </c>
      <c r="G38">
        <v>1</v>
      </c>
      <c r="H38">
        <v>2397</v>
      </c>
      <c r="J38">
        <v>2397</v>
      </c>
      <c r="Q38">
        <v>37</v>
      </c>
      <c r="R38" t="s">
        <v>172</v>
      </c>
      <c r="S38" t="s">
        <v>174</v>
      </c>
      <c r="T38">
        <v>1</v>
      </c>
      <c r="U38">
        <v>3450</v>
      </c>
      <c r="W38">
        <v>3450</v>
      </c>
      <c r="AD38">
        <v>37</v>
      </c>
      <c r="AE38" t="s">
        <v>171</v>
      </c>
      <c r="AF38" t="s">
        <v>251</v>
      </c>
      <c r="AG38">
        <v>1</v>
      </c>
      <c r="AH38">
        <v>2892</v>
      </c>
      <c r="AJ38">
        <v>2892</v>
      </c>
      <c r="AP38">
        <v>37</v>
      </c>
      <c r="AQ38" t="s">
        <v>171</v>
      </c>
      <c r="AR38" t="s">
        <v>222</v>
      </c>
      <c r="AS38">
        <v>1</v>
      </c>
      <c r="AT38">
        <v>1689</v>
      </c>
      <c r="AU38">
        <v>1689</v>
      </c>
    </row>
    <row r="39" spans="4:47" x14ac:dyDescent="0.25">
      <c r="D39">
        <v>38</v>
      </c>
      <c r="E39" t="s">
        <v>171</v>
      </c>
      <c r="F39" t="s">
        <v>210</v>
      </c>
      <c r="G39">
        <v>1</v>
      </c>
      <c r="H39">
        <v>1025</v>
      </c>
      <c r="J39">
        <v>1025</v>
      </c>
      <c r="Q39">
        <v>38</v>
      </c>
      <c r="R39" t="s">
        <v>172</v>
      </c>
      <c r="S39" t="s">
        <v>206</v>
      </c>
      <c r="T39">
        <v>1</v>
      </c>
      <c r="U39">
        <v>3720</v>
      </c>
      <c r="W39">
        <v>3720</v>
      </c>
      <c r="AD39">
        <v>38</v>
      </c>
      <c r="AE39" t="s">
        <v>171</v>
      </c>
      <c r="AF39" t="s">
        <v>252</v>
      </c>
      <c r="AG39" s="4">
        <v>0</v>
      </c>
      <c r="AH39" s="4">
        <v>2557</v>
      </c>
      <c r="AJ39" s="4"/>
      <c r="AP39">
        <v>38</v>
      </c>
      <c r="AQ39" t="s">
        <v>171</v>
      </c>
      <c r="AR39" t="s">
        <v>252</v>
      </c>
      <c r="AS39" s="4">
        <v>0</v>
      </c>
      <c r="AT39" s="4">
        <v>4069</v>
      </c>
      <c r="AU39" s="4"/>
    </row>
    <row r="40" spans="4:47" x14ac:dyDescent="0.25">
      <c r="D40">
        <v>39</v>
      </c>
      <c r="E40" t="s">
        <v>172</v>
      </c>
      <c r="F40" t="s">
        <v>211</v>
      </c>
      <c r="G40">
        <v>1</v>
      </c>
      <c r="H40">
        <v>2684</v>
      </c>
      <c r="J40">
        <v>2684</v>
      </c>
      <c r="Q40">
        <v>39</v>
      </c>
      <c r="R40" t="s">
        <v>171</v>
      </c>
      <c r="S40" t="s">
        <v>199</v>
      </c>
      <c r="T40">
        <v>1</v>
      </c>
      <c r="U40">
        <v>3524</v>
      </c>
      <c r="W40">
        <v>3524</v>
      </c>
      <c r="AD40">
        <v>39</v>
      </c>
      <c r="AE40" t="s">
        <v>171</v>
      </c>
      <c r="AF40" t="s">
        <v>253</v>
      </c>
      <c r="AG40" s="4">
        <v>0</v>
      </c>
      <c r="AH40" s="4">
        <v>1999</v>
      </c>
      <c r="AJ40" s="4"/>
      <c r="AP40">
        <v>39</v>
      </c>
      <c r="AQ40" t="s">
        <v>171</v>
      </c>
      <c r="AR40" t="s">
        <v>240</v>
      </c>
      <c r="AS40" s="4">
        <v>0</v>
      </c>
      <c r="AT40" s="4">
        <v>2348</v>
      </c>
      <c r="AU40" s="4"/>
    </row>
    <row r="41" spans="4:47" x14ac:dyDescent="0.25">
      <c r="D41">
        <v>40</v>
      </c>
      <c r="E41" t="s">
        <v>171</v>
      </c>
      <c r="F41" t="s">
        <v>212</v>
      </c>
      <c r="G41">
        <v>1</v>
      </c>
      <c r="H41">
        <v>1911</v>
      </c>
      <c r="J41">
        <v>1911</v>
      </c>
      <c r="Q41">
        <v>40</v>
      </c>
      <c r="R41" t="s">
        <v>171</v>
      </c>
      <c r="S41" t="s">
        <v>173</v>
      </c>
      <c r="T41" s="4">
        <v>0</v>
      </c>
      <c r="U41" s="4">
        <v>4365</v>
      </c>
      <c r="W41" s="4"/>
      <c r="AD41">
        <v>40</v>
      </c>
      <c r="AE41" t="s">
        <v>172</v>
      </c>
      <c r="AF41" t="s">
        <v>254</v>
      </c>
      <c r="AG41">
        <v>1</v>
      </c>
      <c r="AH41">
        <v>2268</v>
      </c>
      <c r="AJ41">
        <v>2268</v>
      </c>
      <c r="AP41">
        <v>40</v>
      </c>
      <c r="AQ41" t="s">
        <v>172</v>
      </c>
      <c r="AR41" t="s">
        <v>221</v>
      </c>
      <c r="AS41" s="4">
        <v>0</v>
      </c>
      <c r="AT41" s="4">
        <v>2244</v>
      </c>
      <c r="AU41" s="4"/>
    </row>
    <row r="44" spans="4:47" x14ac:dyDescent="0.25">
      <c r="G44" s="5">
        <f>SUM(G2:G43)</f>
        <v>28</v>
      </c>
      <c r="I44" s="4">
        <f>J44/K44</f>
        <v>2550.3214285714284</v>
      </c>
      <c r="J44">
        <f>SUM(J2:J43)</f>
        <v>71409</v>
      </c>
      <c r="K44">
        <v>28</v>
      </c>
      <c r="T44" s="5">
        <f>SUM(T2:T43)</f>
        <v>27</v>
      </c>
      <c r="V44" s="5">
        <f>W44/X44</f>
        <v>2916.4444444444443</v>
      </c>
      <c r="W44">
        <f>SUM(W2:W43)</f>
        <v>78744</v>
      </c>
      <c r="X44">
        <v>27</v>
      </c>
      <c r="AG44" s="5">
        <f>SUM(AG2:AG43)</f>
        <v>30</v>
      </c>
      <c r="AI44" s="5">
        <f>AJ44/AL44</f>
        <v>2526.8666666666668</v>
      </c>
      <c r="AJ44" s="7">
        <f>SUM(AJ2:AJ43)</f>
        <v>75806</v>
      </c>
      <c r="AL44">
        <v>30</v>
      </c>
      <c r="AS44">
        <f>SUM(AS2:AS43)</f>
        <v>28</v>
      </c>
      <c r="AU44">
        <f>SUM(AU2:AU43)</f>
        <v>66462</v>
      </c>
    </row>
    <row r="46" spans="4:47" x14ac:dyDescent="0.25">
      <c r="AT46">
        <f>AU44/AS44</f>
        <v>2373.6428571428573</v>
      </c>
    </row>
    <row r="52" spans="11:17" x14ac:dyDescent="0.25">
      <c r="K52" t="s">
        <v>384</v>
      </c>
      <c r="L52" t="s">
        <v>94</v>
      </c>
      <c r="M52" t="s">
        <v>296</v>
      </c>
      <c r="O52" t="s">
        <v>384</v>
      </c>
      <c r="P52" t="s">
        <v>94</v>
      </c>
      <c r="Q52" t="s">
        <v>296</v>
      </c>
    </row>
    <row r="53" spans="11:17" x14ac:dyDescent="0.25">
      <c r="K53">
        <v>28</v>
      </c>
      <c r="L53">
        <v>27</v>
      </c>
      <c r="M53">
        <v>30</v>
      </c>
      <c r="O53">
        <v>2550.3200000000002</v>
      </c>
      <c r="P53">
        <v>2916.44</v>
      </c>
      <c r="Q53">
        <v>2526.86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7"/>
  <sheetViews>
    <sheetView topLeftCell="Z1" workbookViewId="0">
      <selection activeCell="D65" sqref="D65"/>
    </sheetView>
  </sheetViews>
  <sheetFormatPr baseColWidth="10" defaultRowHeight="15" x14ac:dyDescent="0.25"/>
  <cols>
    <col min="1" max="1" width="18.140625" customWidth="1"/>
    <col min="5" max="5" width="18.42578125" customWidth="1"/>
    <col min="6" max="6" width="18.28515625" customWidth="1"/>
    <col min="7" max="7" width="81.85546875" customWidth="1"/>
    <col min="8" max="8" width="29.5703125" customWidth="1"/>
    <col min="9" max="9" width="25.7109375" customWidth="1"/>
    <col min="13" max="13" width="20.7109375" customWidth="1"/>
    <col min="17" max="17" width="20.7109375" customWidth="1"/>
    <col min="18" max="18" width="21.42578125" customWidth="1"/>
    <col min="19" max="19" width="72.140625" customWidth="1"/>
    <col min="20" max="20" width="20.42578125" customWidth="1"/>
    <col min="21" max="21" width="24.5703125" customWidth="1"/>
    <col min="26" max="26" width="25.5703125" customWidth="1"/>
    <col min="31" max="31" width="16.85546875" customWidth="1"/>
    <col min="32" max="32" width="73.28515625" customWidth="1"/>
    <col min="33" max="33" width="16.140625" customWidth="1"/>
    <col min="34" max="34" width="24.140625" customWidth="1"/>
    <col min="38" max="38" width="25" customWidth="1"/>
    <col min="43" max="43" width="23" customWidth="1"/>
    <col min="44" max="44" width="71.28515625" customWidth="1"/>
    <col min="45" max="45" width="19.5703125" customWidth="1"/>
    <col min="46" max="46" width="24.28515625" customWidth="1"/>
  </cols>
  <sheetData>
    <row r="1" spans="1:46" ht="15.75" x14ac:dyDescent="0.25">
      <c r="A1" s="1" t="s">
        <v>36</v>
      </c>
      <c r="B1" s="2" t="s">
        <v>0</v>
      </c>
      <c r="C1" s="2" t="s">
        <v>1</v>
      </c>
      <c r="D1" s="2" t="s">
        <v>2</v>
      </c>
      <c r="E1" s="2" t="s">
        <v>297</v>
      </c>
      <c r="F1" s="2" t="s">
        <v>299</v>
      </c>
      <c r="G1" s="2" t="s">
        <v>292</v>
      </c>
      <c r="H1" s="2" t="s">
        <v>293</v>
      </c>
      <c r="I1" s="2" t="s">
        <v>294</v>
      </c>
      <c r="M1" s="1" t="s">
        <v>36</v>
      </c>
      <c r="N1" s="2" t="s">
        <v>0</v>
      </c>
      <c r="O1" s="2" t="s">
        <v>1</v>
      </c>
      <c r="P1" s="2" t="s">
        <v>2</v>
      </c>
      <c r="Q1" s="2" t="s">
        <v>297</v>
      </c>
      <c r="R1" s="2" t="s">
        <v>299</v>
      </c>
      <c r="S1" s="2" t="s">
        <v>292</v>
      </c>
      <c r="T1" s="2" t="s">
        <v>293</v>
      </c>
      <c r="U1" s="2" t="s">
        <v>294</v>
      </c>
      <c r="Z1" s="1" t="s">
        <v>36</v>
      </c>
      <c r="AA1" s="2" t="s">
        <v>0</v>
      </c>
      <c r="AB1" s="2" t="s">
        <v>1</v>
      </c>
      <c r="AC1" s="2" t="s">
        <v>2</v>
      </c>
      <c r="AD1" s="2" t="s">
        <v>297</v>
      </c>
      <c r="AE1" s="2" t="s">
        <v>436</v>
      </c>
      <c r="AF1" s="2" t="s">
        <v>292</v>
      </c>
      <c r="AG1" s="2" t="s">
        <v>293</v>
      </c>
      <c r="AH1" s="2" t="s">
        <v>294</v>
      </c>
      <c r="AL1" s="1" t="s">
        <v>36</v>
      </c>
      <c r="AM1" s="2" t="s">
        <v>0</v>
      </c>
      <c r="AN1" s="2" t="s">
        <v>1</v>
      </c>
      <c r="AO1" s="2" t="s">
        <v>2</v>
      </c>
      <c r="AP1" s="2" t="s">
        <v>297</v>
      </c>
      <c r="AQ1" s="2" t="s">
        <v>436</v>
      </c>
      <c r="AR1" s="2" t="s">
        <v>292</v>
      </c>
      <c r="AS1" s="2" t="s">
        <v>293</v>
      </c>
      <c r="AT1" s="2" t="s">
        <v>294</v>
      </c>
    </row>
    <row r="2" spans="1:46" ht="15.75" x14ac:dyDescent="0.25">
      <c r="A2" s="3" t="s">
        <v>6</v>
      </c>
      <c r="B2">
        <v>2</v>
      </c>
      <c r="C2">
        <v>1</v>
      </c>
      <c r="D2">
        <v>1</v>
      </c>
      <c r="E2" t="s">
        <v>171</v>
      </c>
      <c r="F2" t="s">
        <v>300</v>
      </c>
      <c r="G2" t="s">
        <v>742</v>
      </c>
      <c r="M2" s="3" t="s">
        <v>295</v>
      </c>
      <c r="N2">
        <v>2</v>
      </c>
      <c r="O2">
        <v>2</v>
      </c>
      <c r="P2">
        <v>1</v>
      </c>
      <c r="Q2" t="s">
        <v>298</v>
      </c>
      <c r="R2" t="s">
        <v>307</v>
      </c>
      <c r="S2" t="s">
        <v>778</v>
      </c>
      <c r="T2" t="s">
        <v>779</v>
      </c>
      <c r="Z2" s="3" t="s">
        <v>296</v>
      </c>
      <c r="AA2">
        <v>1</v>
      </c>
      <c r="AB2">
        <v>3</v>
      </c>
      <c r="AC2">
        <v>1</v>
      </c>
      <c r="AD2" t="s">
        <v>171</v>
      </c>
      <c r="AE2" t="s">
        <v>340</v>
      </c>
      <c r="AF2" t="s">
        <v>705</v>
      </c>
      <c r="AL2" s="3" t="s">
        <v>525</v>
      </c>
      <c r="AM2">
        <v>1</v>
      </c>
      <c r="AN2">
        <v>4</v>
      </c>
      <c r="AO2">
        <v>1</v>
      </c>
      <c r="AP2" t="s">
        <v>298</v>
      </c>
      <c r="AQ2" t="s">
        <v>371</v>
      </c>
      <c r="AR2" t="s">
        <v>664</v>
      </c>
    </row>
    <row r="3" spans="1:46" ht="15.75" x14ac:dyDescent="0.25">
      <c r="A3" s="1" t="s">
        <v>291</v>
      </c>
      <c r="D3">
        <v>2</v>
      </c>
      <c r="E3" t="s">
        <v>171</v>
      </c>
      <c r="F3" t="s">
        <v>301</v>
      </c>
      <c r="G3" t="s">
        <v>743</v>
      </c>
      <c r="M3" s="1" t="s">
        <v>291</v>
      </c>
      <c r="P3">
        <v>2</v>
      </c>
      <c r="Q3" t="s">
        <v>298</v>
      </c>
      <c r="R3" t="s">
        <v>314</v>
      </c>
      <c r="S3" t="s">
        <v>780</v>
      </c>
      <c r="Z3" s="1" t="s">
        <v>291</v>
      </c>
      <c r="AC3">
        <v>2</v>
      </c>
      <c r="AD3" t="s">
        <v>171</v>
      </c>
      <c r="AE3" t="s">
        <v>341</v>
      </c>
      <c r="AF3" t="s">
        <v>706</v>
      </c>
      <c r="AL3" s="1" t="s">
        <v>291</v>
      </c>
      <c r="AO3">
        <v>2</v>
      </c>
      <c r="AP3" t="s">
        <v>298</v>
      </c>
      <c r="AQ3" t="s">
        <v>354</v>
      </c>
      <c r="AT3">
        <v>1</v>
      </c>
    </row>
    <row r="4" spans="1:46" ht="15.75" x14ac:dyDescent="0.25">
      <c r="A4" s="1" t="s">
        <v>381</v>
      </c>
      <c r="D4">
        <v>3</v>
      </c>
      <c r="E4" t="s">
        <v>298</v>
      </c>
      <c r="F4" t="s">
        <v>302</v>
      </c>
      <c r="G4" t="s">
        <v>744</v>
      </c>
      <c r="M4" s="12" t="s">
        <v>380</v>
      </c>
      <c r="P4">
        <v>3</v>
      </c>
      <c r="Q4" t="s">
        <v>171</v>
      </c>
      <c r="R4" t="s">
        <v>305</v>
      </c>
      <c r="S4" t="s">
        <v>781</v>
      </c>
      <c r="Z4" s="1" t="s">
        <v>382</v>
      </c>
      <c r="AC4">
        <v>3</v>
      </c>
      <c r="AD4" t="s">
        <v>171</v>
      </c>
      <c r="AE4" t="s">
        <v>342</v>
      </c>
      <c r="AF4" t="s">
        <v>707</v>
      </c>
      <c r="AL4" s="1" t="s">
        <v>704</v>
      </c>
      <c r="AO4">
        <v>3</v>
      </c>
      <c r="AP4" t="s">
        <v>171</v>
      </c>
      <c r="AQ4" t="s">
        <v>344</v>
      </c>
      <c r="AR4" t="s">
        <v>665</v>
      </c>
    </row>
    <row r="5" spans="1:46" x14ac:dyDescent="0.25">
      <c r="A5" s="11"/>
      <c r="D5">
        <v>4</v>
      </c>
      <c r="E5" t="s">
        <v>171</v>
      </c>
      <c r="F5" t="s">
        <v>303</v>
      </c>
      <c r="G5" t="s">
        <v>745</v>
      </c>
      <c r="M5" s="11"/>
      <c r="P5">
        <v>4</v>
      </c>
      <c r="Q5" t="s">
        <v>298</v>
      </c>
      <c r="R5" t="s">
        <v>332</v>
      </c>
      <c r="S5" t="s">
        <v>782</v>
      </c>
      <c r="Z5" s="11"/>
      <c r="AC5">
        <v>4</v>
      </c>
      <c r="AD5" t="s">
        <v>298</v>
      </c>
      <c r="AE5" t="s">
        <v>343</v>
      </c>
      <c r="AF5" t="s">
        <v>708</v>
      </c>
      <c r="AL5" s="11">
        <v>43679</v>
      </c>
      <c r="AO5">
        <v>4</v>
      </c>
      <c r="AP5" t="s">
        <v>171</v>
      </c>
      <c r="AQ5" t="s">
        <v>357</v>
      </c>
      <c r="AR5" t="s">
        <v>666</v>
      </c>
    </row>
    <row r="6" spans="1:46" x14ac:dyDescent="0.25">
      <c r="D6">
        <v>5</v>
      </c>
      <c r="E6" t="s">
        <v>298</v>
      </c>
      <c r="F6" t="s">
        <v>304</v>
      </c>
      <c r="G6" t="s">
        <v>746</v>
      </c>
      <c r="I6">
        <v>1</v>
      </c>
      <c r="P6">
        <v>5</v>
      </c>
      <c r="Q6" t="s">
        <v>298</v>
      </c>
      <c r="R6" t="s">
        <v>304</v>
      </c>
      <c r="U6">
        <v>1</v>
      </c>
      <c r="AC6">
        <v>5</v>
      </c>
      <c r="AD6" t="s">
        <v>171</v>
      </c>
      <c r="AE6" t="s">
        <v>344</v>
      </c>
      <c r="AF6" t="s">
        <v>709</v>
      </c>
      <c r="AO6">
        <v>5</v>
      </c>
      <c r="AP6" t="s">
        <v>298</v>
      </c>
      <c r="AQ6" t="s">
        <v>343</v>
      </c>
      <c r="AR6" t="s">
        <v>667</v>
      </c>
    </row>
    <row r="7" spans="1:46" x14ac:dyDescent="0.25">
      <c r="D7">
        <v>6</v>
      </c>
      <c r="E7" t="s">
        <v>171</v>
      </c>
      <c r="F7" t="s">
        <v>305</v>
      </c>
      <c r="G7" t="s">
        <v>747</v>
      </c>
      <c r="P7">
        <v>6</v>
      </c>
      <c r="Q7" t="s">
        <v>298</v>
      </c>
      <c r="R7" t="s">
        <v>306</v>
      </c>
      <c r="S7" t="s">
        <v>783</v>
      </c>
      <c r="AC7">
        <v>6</v>
      </c>
      <c r="AD7" t="s">
        <v>171</v>
      </c>
      <c r="AE7" t="s">
        <v>345</v>
      </c>
      <c r="AF7" t="s">
        <v>710</v>
      </c>
      <c r="AO7">
        <v>6</v>
      </c>
      <c r="AP7" t="s">
        <v>298</v>
      </c>
      <c r="AQ7" t="s">
        <v>355</v>
      </c>
      <c r="AR7" t="s">
        <v>668</v>
      </c>
    </row>
    <row r="8" spans="1:46" x14ac:dyDescent="0.25">
      <c r="D8">
        <v>7</v>
      </c>
      <c r="E8" t="s">
        <v>298</v>
      </c>
      <c r="F8" t="s">
        <v>306</v>
      </c>
      <c r="G8" t="s">
        <v>748</v>
      </c>
      <c r="H8" t="s">
        <v>749</v>
      </c>
      <c r="P8">
        <v>7</v>
      </c>
      <c r="Q8" t="s">
        <v>171</v>
      </c>
      <c r="R8" t="s">
        <v>336</v>
      </c>
      <c r="S8" t="s">
        <v>784</v>
      </c>
      <c r="U8">
        <v>1</v>
      </c>
      <c r="AC8">
        <v>7</v>
      </c>
      <c r="AD8" t="s">
        <v>298</v>
      </c>
      <c r="AE8" t="s">
        <v>346</v>
      </c>
      <c r="AH8">
        <v>1</v>
      </c>
      <c r="AO8">
        <v>7</v>
      </c>
      <c r="AP8" t="s">
        <v>171</v>
      </c>
      <c r="AQ8" t="s">
        <v>375</v>
      </c>
      <c r="AR8" t="s">
        <v>669</v>
      </c>
    </row>
    <row r="9" spans="1:46" x14ac:dyDescent="0.25">
      <c r="D9">
        <v>8</v>
      </c>
      <c r="E9" t="s">
        <v>298</v>
      </c>
      <c r="F9" t="s">
        <v>307</v>
      </c>
      <c r="I9">
        <v>1</v>
      </c>
      <c r="P9">
        <v>8</v>
      </c>
      <c r="Q9" t="s">
        <v>298</v>
      </c>
      <c r="R9" t="s">
        <v>316</v>
      </c>
      <c r="S9" t="s">
        <v>785</v>
      </c>
      <c r="U9">
        <v>1</v>
      </c>
      <c r="AC9">
        <v>8</v>
      </c>
      <c r="AD9" t="s">
        <v>171</v>
      </c>
      <c r="AE9" t="s">
        <v>347</v>
      </c>
      <c r="AF9" t="s">
        <v>711</v>
      </c>
      <c r="AH9">
        <v>1</v>
      </c>
      <c r="AO9">
        <v>8</v>
      </c>
      <c r="AP9" t="s">
        <v>171</v>
      </c>
      <c r="AQ9" t="s">
        <v>368</v>
      </c>
      <c r="AR9" t="s">
        <v>670</v>
      </c>
    </row>
    <row r="10" spans="1:46" x14ac:dyDescent="0.25">
      <c r="D10">
        <v>9</v>
      </c>
      <c r="E10" t="s">
        <v>298</v>
      </c>
      <c r="F10" t="s">
        <v>308</v>
      </c>
      <c r="G10" t="s">
        <v>750</v>
      </c>
      <c r="P10">
        <v>9</v>
      </c>
      <c r="Q10" t="s">
        <v>171</v>
      </c>
      <c r="R10" t="s">
        <v>301</v>
      </c>
      <c r="S10" t="s">
        <v>786</v>
      </c>
      <c r="AC10">
        <v>9</v>
      </c>
      <c r="AD10" t="s">
        <v>298</v>
      </c>
      <c r="AE10" t="s">
        <v>348</v>
      </c>
      <c r="AF10" t="s">
        <v>712</v>
      </c>
      <c r="AO10">
        <v>9</v>
      </c>
      <c r="AP10" t="s">
        <v>171</v>
      </c>
      <c r="AQ10" t="s">
        <v>352</v>
      </c>
      <c r="AR10" t="s">
        <v>671</v>
      </c>
    </row>
    <row r="11" spans="1:46" x14ac:dyDescent="0.25">
      <c r="D11">
        <v>10</v>
      </c>
      <c r="E11" t="s">
        <v>171</v>
      </c>
      <c r="F11" t="s">
        <v>309</v>
      </c>
      <c r="G11" t="s">
        <v>751</v>
      </c>
      <c r="P11">
        <v>10</v>
      </c>
      <c r="Q11" t="s">
        <v>298</v>
      </c>
      <c r="R11" t="s">
        <v>331</v>
      </c>
      <c r="S11" t="s">
        <v>787</v>
      </c>
      <c r="U11">
        <v>1</v>
      </c>
      <c r="AC11">
        <v>10</v>
      </c>
      <c r="AD11" t="s">
        <v>298</v>
      </c>
      <c r="AE11" t="s">
        <v>349</v>
      </c>
      <c r="AF11" t="s">
        <v>713</v>
      </c>
      <c r="AO11">
        <v>10</v>
      </c>
      <c r="AP11" t="s">
        <v>171</v>
      </c>
      <c r="AQ11" t="s">
        <v>361</v>
      </c>
      <c r="AR11" t="s">
        <v>672</v>
      </c>
    </row>
    <row r="12" spans="1:46" x14ac:dyDescent="0.25">
      <c r="D12">
        <v>11</v>
      </c>
      <c r="E12" t="s">
        <v>171</v>
      </c>
      <c r="F12" t="s">
        <v>310</v>
      </c>
      <c r="G12" t="s">
        <v>752</v>
      </c>
      <c r="P12">
        <v>11</v>
      </c>
      <c r="Q12" t="s">
        <v>298</v>
      </c>
      <c r="R12" t="s">
        <v>337</v>
      </c>
      <c r="S12" t="s">
        <v>788</v>
      </c>
      <c r="AC12">
        <v>11</v>
      </c>
      <c r="AD12" t="s">
        <v>171</v>
      </c>
      <c r="AE12" t="s">
        <v>350</v>
      </c>
      <c r="AF12" t="s">
        <v>714</v>
      </c>
      <c r="AO12">
        <v>11</v>
      </c>
      <c r="AP12" t="s">
        <v>298</v>
      </c>
      <c r="AQ12" t="s">
        <v>348</v>
      </c>
      <c r="AR12" t="s">
        <v>673</v>
      </c>
    </row>
    <row r="13" spans="1:46" x14ac:dyDescent="0.25">
      <c r="D13">
        <v>12</v>
      </c>
      <c r="E13" t="s">
        <v>171</v>
      </c>
      <c r="F13" t="s">
        <v>311</v>
      </c>
      <c r="G13" t="s">
        <v>753</v>
      </c>
      <c r="I13">
        <v>1</v>
      </c>
      <c r="P13">
        <v>12</v>
      </c>
      <c r="Q13" t="s">
        <v>298</v>
      </c>
      <c r="R13" t="s">
        <v>313</v>
      </c>
      <c r="S13" t="s">
        <v>789</v>
      </c>
      <c r="AC13">
        <v>12</v>
      </c>
      <c r="AD13" t="s">
        <v>298</v>
      </c>
      <c r="AE13" t="s">
        <v>351</v>
      </c>
      <c r="AF13" t="s">
        <v>715</v>
      </c>
      <c r="AO13">
        <v>12</v>
      </c>
      <c r="AP13" t="s">
        <v>298</v>
      </c>
      <c r="AQ13" t="s">
        <v>376</v>
      </c>
      <c r="AR13" t="s">
        <v>674</v>
      </c>
    </row>
    <row r="14" spans="1:46" x14ac:dyDescent="0.25">
      <c r="D14">
        <v>13</v>
      </c>
      <c r="E14" t="s">
        <v>298</v>
      </c>
      <c r="F14" t="s">
        <v>312</v>
      </c>
      <c r="G14" t="s">
        <v>754</v>
      </c>
      <c r="P14">
        <v>13</v>
      </c>
      <c r="Q14" t="s">
        <v>298</v>
      </c>
      <c r="R14" t="s">
        <v>308</v>
      </c>
      <c r="S14" t="s">
        <v>790</v>
      </c>
      <c r="AC14">
        <v>13</v>
      </c>
      <c r="AD14" t="s">
        <v>171</v>
      </c>
      <c r="AE14" t="s">
        <v>352</v>
      </c>
      <c r="AF14" t="s">
        <v>716</v>
      </c>
      <c r="AO14">
        <v>13</v>
      </c>
      <c r="AP14" t="s">
        <v>171</v>
      </c>
      <c r="AQ14" t="s">
        <v>373</v>
      </c>
      <c r="AR14" t="s">
        <v>675</v>
      </c>
    </row>
    <row r="15" spans="1:46" x14ac:dyDescent="0.25">
      <c r="D15">
        <v>14</v>
      </c>
      <c r="E15" t="s">
        <v>298</v>
      </c>
      <c r="F15" t="s">
        <v>313</v>
      </c>
      <c r="I15">
        <v>1</v>
      </c>
      <c r="P15">
        <v>14</v>
      </c>
      <c r="Q15" t="s">
        <v>171</v>
      </c>
      <c r="R15" t="s">
        <v>327</v>
      </c>
      <c r="S15" t="s">
        <v>791</v>
      </c>
      <c r="AC15">
        <v>14</v>
      </c>
      <c r="AD15" t="s">
        <v>171</v>
      </c>
      <c r="AE15" t="s">
        <v>353</v>
      </c>
      <c r="AF15" t="s">
        <v>717</v>
      </c>
      <c r="AO15">
        <v>14</v>
      </c>
      <c r="AP15" t="s">
        <v>298</v>
      </c>
      <c r="AQ15" t="s">
        <v>372</v>
      </c>
      <c r="AR15" t="s">
        <v>676</v>
      </c>
    </row>
    <row r="16" spans="1:46" x14ac:dyDescent="0.25">
      <c r="D16">
        <v>15</v>
      </c>
      <c r="E16" t="s">
        <v>298</v>
      </c>
      <c r="F16" t="s">
        <v>314</v>
      </c>
      <c r="H16" t="s">
        <v>731</v>
      </c>
      <c r="P16">
        <v>15</v>
      </c>
      <c r="Q16" t="s">
        <v>298</v>
      </c>
      <c r="R16" t="s">
        <v>329</v>
      </c>
      <c r="U16">
        <v>1</v>
      </c>
      <c r="AC16">
        <v>15</v>
      </c>
      <c r="AD16" t="s">
        <v>298</v>
      </c>
      <c r="AE16" t="s">
        <v>354</v>
      </c>
      <c r="AH16">
        <v>1</v>
      </c>
      <c r="AO16">
        <v>15</v>
      </c>
      <c r="AP16" t="s">
        <v>298</v>
      </c>
      <c r="AQ16" t="s">
        <v>366</v>
      </c>
      <c r="AR16" t="s">
        <v>677</v>
      </c>
    </row>
    <row r="17" spans="4:46" x14ac:dyDescent="0.25">
      <c r="D17">
        <v>16</v>
      </c>
      <c r="E17" t="s">
        <v>171</v>
      </c>
      <c r="F17" t="s">
        <v>315</v>
      </c>
      <c r="G17" t="s">
        <v>755</v>
      </c>
      <c r="P17">
        <v>16</v>
      </c>
      <c r="Q17" t="s">
        <v>171</v>
      </c>
      <c r="R17" t="s">
        <v>328</v>
      </c>
      <c r="S17" t="s">
        <v>792</v>
      </c>
      <c r="AC17">
        <v>16</v>
      </c>
      <c r="AD17" t="s">
        <v>298</v>
      </c>
      <c r="AE17" t="s">
        <v>355</v>
      </c>
      <c r="AG17" t="s">
        <v>718</v>
      </c>
      <c r="AO17">
        <v>16</v>
      </c>
      <c r="AP17" t="s">
        <v>171</v>
      </c>
      <c r="AQ17" t="s">
        <v>350</v>
      </c>
      <c r="AR17" t="s">
        <v>678</v>
      </c>
    </row>
    <row r="18" spans="4:46" x14ac:dyDescent="0.25">
      <c r="D18">
        <v>17</v>
      </c>
      <c r="E18" t="s">
        <v>298</v>
      </c>
      <c r="F18" t="s">
        <v>316</v>
      </c>
      <c r="G18" t="s">
        <v>756</v>
      </c>
      <c r="I18">
        <v>1</v>
      </c>
      <c r="P18">
        <v>17</v>
      </c>
      <c r="Q18" t="s">
        <v>298</v>
      </c>
      <c r="R18" t="s">
        <v>339</v>
      </c>
      <c r="S18" t="s">
        <v>793</v>
      </c>
      <c r="AC18">
        <v>17</v>
      </c>
      <c r="AD18" t="s">
        <v>298</v>
      </c>
      <c r="AE18" t="s">
        <v>356</v>
      </c>
      <c r="AH18">
        <v>1</v>
      </c>
      <c r="AO18">
        <v>17</v>
      </c>
      <c r="AP18" t="s">
        <v>171</v>
      </c>
      <c r="AQ18" t="s">
        <v>363</v>
      </c>
      <c r="AR18" t="s">
        <v>679</v>
      </c>
    </row>
    <row r="19" spans="4:46" x14ac:dyDescent="0.25">
      <c r="D19">
        <v>18</v>
      </c>
      <c r="E19" t="s">
        <v>171</v>
      </c>
      <c r="F19" t="s">
        <v>317</v>
      </c>
      <c r="I19">
        <v>1</v>
      </c>
      <c r="P19">
        <v>18</v>
      </c>
      <c r="Q19" t="s">
        <v>171</v>
      </c>
      <c r="R19" t="s">
        <v>309</v>
      </c>
      <c r="S19" t="s">
        <v>794</v>
      </c>
      <c r="AC19">
        <v>18</v>
      </c>
      <c r="AD19" t="s">
        <v>171</v>
      </c>
      <c r="AE19" t="s">
        <v>357</v>
      </c>
      <c r="AF19" t="s">
        <v>719</v>
      </c>
      <c r="AO19">
        <v>18</v>
      </c>
      <c r="AP19" t="s">
        <v>298</v>
      </c>
      <c r="AQ19" t="s">
        <v>378</v>
      </c>
      <c r="AR19" t="s">
        <v>680</v>
      </c>
    </row>
    <row r="20" spans="4:46" x14ac:dyDescent="0.25">
      <c r="D20">
        <v>19</v>
      </c>
      <c r="E20" t="s">
        <v>298</v>
      </c>
      <c r="F20" t="s">
        <v>318</v>
      </c>
      <c r="I20">
        <v>1</v>
      </c>
      <c r="P20">
        <v>19</v>
      </c>
      <c r="Q20" t="s">
        <v>171</v>
      </c>
      <c r="R20" t="s">
        <v>315</v>
      </c>
      <c r="S20" t="s">
        <v>795</v>
      </c>
      <c r="AC20">
        <v>19</v>
      </c>
      <c r="AD20" t="s">
        <v>298</v>
      </c>
      <c r="AE20" t="s">
        <v>358</v>
      </c>
      <c r="AF20" t="s">
        <v>720</v>
      </c>
      <c r="AO20">
        <v>19</v>
      </c>
      <c r="AP20" t="s">
        <v>298</v>
      </c>
      <c r="AQ20" t="s">
        <v>374</v>
      </c>
      <c r="AR20" t="s">
        <v>681</v>
      </c>
    </row>
    <row r="21" spans="4:46" x14ac:dyDescent="0.25">
      <c r="D21">
        <v>20</v>
      </c>
      <c r="E21" t="s">
        <v>171</v>
      </c>
      <c r="F21" t="s">
        <v>319</v>
      </c>
      <c r="G21" t="s">
        <v>757</v>
      </c>
      <c r="P21">
        <v>20</v>
      </c>
      <c r="Q21" t="s">
        <v>171</v>
      </c>
      <c r="R21" t="s">
        <v>322</v>
      </c>
      <c r="S21" t="s">
        <v>796</v>
      </c>
      <c r="AC21">
        <v>20</v>
      </c>
      <c r="AD21" t="s">
        <v>298</v>
      </c>
      <c r="AE21" t="s">
        <v>359</v>
      </c>
      <c r="AO21">
        <v>20</v>
      </c>
      <c r="AP21" t="s">
        <v>298</v>
      </c>
      <c r="AQ21" t="s">
        <v>359</v>
      </c>
      <c r="AR21" t="s">
        <v>682</v>
      </c>
    </row>
    <row r="22" spans="4:46" x14ac:dyDescent="0.25">
      <c r="D22">
        <v>21</v>
      </c>
      <c r="E22" t="s">
        <v>171</v>
      </c>
      <c r="F22" t="s">
        <v>320</v>
      </c>
      <c r="G22" t="s">
        <v>758</v>
      </c>
      <c r="P22">
        <v>21</v>
      </c>
      <c r="Q22" t="s">
        <v>171</v>
      </c>
      <c r="R22" t="s">
        <v>324</v>
      </c>
      <c r="S22" t="s">
        <v>797</v>
      </c>
      <c r="AC22">
        <v>21</v>
      </c>
      <c r="AD22" t="s">
        <v>171</v>
      </c>
      <c r="AE22" t="s">
        <v>360</v>
      </c>
      <c r="AF22" t="s">
        <v>721</v>
      </c>
      <c r="AO22">
        <v>21</v>
      </c>
      <c r="AP22" t="s">
        <v>298</v>
      </c>
      <c r="AQ22" t="s">
        <v>367</v>
      </c>
      <c r="AR22" t="s">
        <v>683</v>
      </c>
    </row>
    <row r="23" spans="4:46" x14ac:dyDescent="0.25">
      <c r="D23">
        <v>22</v>
      </c>
      <c r="E23" t="s">
        <v>171</v>
      </c>
      <c r="F23" t="s">
        <v>321</v>
      </c>
      <c r="G23" t="s">
        <v>759</v>
      </c>
      <c r="P23">
        <v>22</v>
      </c>
      <c r="Q23" t="s">
        <v>171</v>
      </c>
      <c r="R23" t="s">
        <v>310</v>
      </c>
      <c r="S23" t="s">
        <v>798</v>
      </c>
      <c r="AC23">
        <v>22</v>
      </c>
      <c r="AD23" t="s">
        <v>171</v>
      </c>
      <c r="AE23" t="s">
        <v>361</v>
      </c>
      <c r="AF23" t="s">
        <v>722</v>
      </c>
      <c r="AH23">
        <v>1</v>
      </c>
      <c r="AO23">
        <v>22</v>
      </c>
      <c r="AP23" t="s">
        <v>171</v>
      </c>
      <c r="AQ23" t="s">
        <v>345</v>
      </c>
      <c r="AR23" t="s">
        <v>684</v>
      </c>
    </row>
    <row r="24" spans="4:46" x14ac:dyDescent="0.25">
      <c r="D24">
        <v>23</v>
      </c>
      <c r="E24" t="s">
        <v>171</v>
      </c>
      <c r="F24" t="s">
        <v>322</v>
      </c>
      <c r="G24" t="s">
        <v>760</v>
      </c>
      <c r="P24">
        <v>23</v>
      </c>
      <c r="Q24" t="s">
        <v>298</v>
      </c>
      <c r="R24" t="s">
        <v>312</v>
      </c>
      <c r="S24" t="s">
        <v>799</v>
      </c>
      <c r="AC24">
        <v>23</v>
      </c>
      <c r="AD24" t="s">
        <v>171</v>
      </c>
      <c r="AE24" t="s">
        <v>362</v>
      </c>
      <c r="AF24" t="s">
        <v>723</v>
      </c>
      <c r="AO24">
        <v>23</v>
      </c>
      <c r="AP24" t="s">
        <v>171</v>
      </c>
      <c r="AQ24" t="s">
        <v>377</v>
      </c>
      <c r="AR24" t="s">
        <v>685</v>
      </c>
    </row>
    <row r="25" spans="4:46" x14ac:dyDescent="0.25">
      <c r="D25">
        <v>24</v>
      </c>
      <c r="E25" t="s">
        <v>298</v>
      </c>
      <c r="F25" t="s">
        <v>323</v>
      </c>
      <c r="G25" t="s">
        <v>761</v>
      </c>
      <c r="I25" s="23"/>
      <c r="P25">
        <v>24</v>
      </c>
      <c r="Q25" t="s">
        <v>298</v>
      </c>
      <c r="R25" t="s">
        <v>302</v>
      </c>
      <c r="S25" t="s">
        <v>800</v>
      </c>
      <c r="T25" t="s">
        <v>801</v>
      </c>
      <c r="AC25">
        <v>24</v>
      </c>
      <c r="AD25" t="s">
        <v>171</v>
      </c>
      <c r="AE25" t="s">
        <v>363</v>
      </c>
      <c r="AF25" t="s">
        <v>724</v>
      </c>
      <c r="AO25">
        <v>24</v>
      </c>
      <c r="AP25" t="s">
        <v>298</v>
      </c>
      <c r="AQ25" t="s">
        <v>349</v>
      </c>
      <c r="AR25" t="s">
        <v>686</v>
      </c>
      <c r="AS25" t="s">
        <v>687</v>
      </c>
    </row>
    <row r="26" spans="4:46" x14ac:dyDescent="0.25">
      <c r="D26">
        <v>25</v>
      </c>
      <c r="E26" t="s">
        <v>171</v>
      </c>
      <c r="F26" t="s">
        <v>324</v>
      </c>
      <c r="G26" t="s">
        <v>762</v>
      </c>
      <c r="P26">
        <v>25</v>
      </c>
      <c r="Q26" t="s">
        <v>171</v>
      </c>
      <c r="R26" t="s">
        <v>320</v>
      </c>
      <c r="S26" t="s">
        <v>802</v>
      </c>
      <c r="AC26">
        <v>25</v>
      </c>
      <c r="AD26" t="s">
        <v>298</v>
      </c>
      <c r="AE26" t="s">
        <v>364</v>
      </c>
      <c r="AF26" t="s">
        <v>725</v>
      </c>
      <c r="AH26">
        <v>1</v>
      </c>
      <c r="AO26">
        <v>25</v>
      </c>
      <c r="AP26" t="s">
        <v>171</v>
      </c>
      <c r="AQ26" t="s">
        <v>342</v>
      </c>
      <c r="AR26" t="s">
        <v>688</v>
      </c>
    </row>
    <row r="27" spans="4:46" x14ac:dyDescent="0.25">
      <c r="D27">
        <v>26</v>
      </c>
      <c r="E27" t="s">
        <v>171</v>
      </c>
      <c r="F27" t="s">
        <v>325</v>
      </c>
      <c r="G27" t="s">
        <v>763</v>
      </c>
      <c r="P27">
        <v>26</v>
      </c>
      <c r="Q27" t="s">
        <v>298</v>
      </c>
      <c r="R27" t="s">
        <v>335</v>
      </c>
      <c r="S27" t="s">
        <v>803</v>
      </c>
      <c r="AC27">
        <v>26</v>
      </c>
      <c r="AD27" t="s">
        <v>298</v>
      </c>
      <c r="AE27" t="s">
        <v>365</v>
      </c>
      <c r="AF27" t="s">
        <v>726</v>
      </c>
      <c r="AO27">
        <v>26</v>
      </c>
      <c r="AP27" t="s">
        <v>171</v>
      </c>
      <c r="AQ27" t="s">
        <v>341</v>
      </c>
      <c r="AR27" t="s">
        <v>689</v>
      </c>
    </row>
    <row r="28" spans="4:46" x14ac:dyDescent="0.25">
      <c r="D28">
        <v>27</v>
      </c>
      <c r="E28" t="s">
        <v>298</v>
      </c>
      <c r="F28" t="s">
        <v>326</v>
      </c>
      <c r="G28" t="s">
        <v>764</v>
      </c>
      <c r="P28">
        <v>27</v>
      </c>
      <c r="Q28" t="s">
        <v>171</v>
      </c>
      <c r="R28" t="s">
        <v>311</v>
      </c>
      <c r="U28">
        <v>1</v>
      </c>
      <c r="AC28">
        <v>27</v>
      </c>
      <c r="AD28" t="s">
        <v>298</v>
      </c>
      <c r="AE28" t="s">
        <v>366</v>
      </c>
      <c r="AF28" t="s">
        <v>727</v>
      </c>
      <c r="AO28">
        <v>27</v>
      </c>
      <c r="AP28" t="s">
        <v>171</v>
      </c>
      <c r="AQ28" t="s">
        <v>347</v>
      </c>
      <c r="AR28" t="s">
        <v>690</v>
      </c>
    </row>
    <row r="29" spans="4:46" x14ac:dyDescent="0.25">
      <c r="D29">
        <v>28</v>
      </c>
      <c r="E29" t="s">
        <v>171</v>
      </c>
      <c r="F29" t="s">
        <v>327</v>
      </c>
      <c r="G29" t="s">
        <v>765</v>
      </c>
      <c r="P29">
        <v>28</v>
      </c>
      <c r="Q29" t="s">
        <v>171</v>
      </c>
      <c r="R29" t="s">
        <v>333</v>
      </c>
      <c r="S29" t="s">
        <v>804</v>
      </c>
      <c r="AC29">
        <v>28</v>
      </c>
      <c r="AD29" t="s">
        <v>298</v>
      </c>
      <c r="AE29" t="s">
        <v>367</v>
      </c>
      <c r="AF29" t="s">
        <v>728</v>
      </c>
      <c r="AO29">
        <v>28</v>
      </c>
      <c r="AP29" t="s">
        <v>171</v>
      </c>
      <c r="AQ29" t="s">
        <v>362</v>
      </c>
      <c r="AR29" t="s">
        <v>691</v>
      </c>
    </row>
    <row r="30" spans="4:46" x14ac:dyDescent="0.25">
      <c r="D30">
        <v>29</v>
      </c>
      <c r="E30" t="s">
        <v>171</v>
      </c>
      <c r="F30" t="s">
        <v>328</v>
      </c>
      <c r="G30" t="s">
        <v>766</v>
      </c>
      <c r="P30">
        <v>29</v>
      </c>
      <c r="Q30" t="s">
        <v>298</v>
      </c>
      <c r="R30" t="s">
        <v>330</v>
      </c>
      <c r="U30">
        <v>1</v>
      </c>
      <c r="AC30">
        <v>29</v>
      </c>
      <c r="AD30" t="s">
        <v>171</v>
      </c>
      <c r="AE30" t="s">
        <v>368</v>
      </c>
      <c r="AF30" t="s">
        <v>729</v>
      </c>
      <c r="AO30">
        <v>29</v>
      </c>
      <c r="AP30" t="s">
        <v>298</v>
      </c>
      <c r="AQ30" t="s">
        <v>370</v>
      </c>
      <c r="AR30" t="s">
        <v>692</v>
      </c>
    </row>
    <row r="31" spans="4:46" x14ac:dyDescent="0.25">
      <c r="D31">
        <v>30</v>
      </c>
      <c r="E31" t="s">
        <v>298</v>
      </c>
      <c r="F31" t="s">
        <v>329</v>
      </c>
      <c r="G31" t="s">
        <v>767</v>
      </c>
      <c r="I31">
        <v>1</v>
      </c>
      <c r="P31">
        <v>30</v>
      </c>
      <c r="Q31" t="s">
        <v>171</v>
      </c>
      <c r="R31" t="s">
        <v>300</v>
      </c>
      <c r="S31" t="s">
        <v>805</v>
      </c>
      <c r="AC31">
        <v>30</v>
      </c>
      <c r="AD31" t="s">
        <v>171</v>
      </c>
      <c r="AE31" t="s">
        <v>369</v>
      </c>
      <c r="AF31" t="s">
        <v>730</v>
      </c>
      <c r="AO31">
        <v>30</v>
      </c>
      <c r="AP31" t="s">
        <v>171</v>
      </c>
      <c r="AQ31" t="s">
        <v>369</v>
      </c>
      <c r="AR31" t="s">
        <v>693</v>
      </c>
    </row>
    <row r="32" spans="4:46" x14ac:dyDescent="0.25">
      <c r="D32">
        <v>31</v>
      </c>
      <c r="E32" t="s">
        <v>298</v>
      </c>
      <c r="F32" t="s">
        <v>330</v>
      </c>
      <c r="G32" t="s">
        <v>768</v>
      </c>
      <c r="I32">
        <v>1</v>
      </c>
      <c r="P32">
        <v>31</v>
      </c>
      <c r="Q32" t="s">
        <v>171</v>
      </c>
      <c r="R32" t="s">
        <v>319</v>
      </c>
      <c r="S32" t="s">
        <v>806</v>
      </c>
      <c r="AC32">
        <v>31</v>
      </c>
      <c r="AD32" t="s">
        <v>298</v>
      </c>
      <c r="AE32" t="s">
        <v>370</v>
      </c>
      <c r="AF32" t="s">
        <v>731</v>
      </c>
      <c r="AO32">
        <v>31</v>
      </c>
      <c r="AP32" t="s">
        <v>298</v>
      </c>
      <c r="AQ32" t="s">
        <v>356</v>
      </c>
      <c r="AT32">
        <v>1</v>
      </c>
    </row>
    <row r="33" spans="4:46" x14ac:dyDescent="0.25">
      <c r="D33">
        <v>32</v>
      </c>
      <c r="E33" t="s">
        <v>298</v>
      </c>
      <c r="F33" t="s">
        <v>331</v>
      </c>
      <c r="G33" t="s">
        <v>769</v>
      </c>
      <c r="I33">
        <v>1</v>
      </c>
      <c r="P33">
        <v>32</v>
      </c>
      <c r="Q33" t="s">
        <v>298</v>
      </c>
      <c r="R33" t="s">
        <v>323</v>
      </c>
      <c r="U33">
        <v>1</v>
      </c>
      <c r="AC33">
        <v>32</v>
      </c>
      <c r="AD33" t="s">
        <v>298</v>
      </c>
      <c r="AE33" t="s">
        <v>371</v>
      </c>
      <c r="AF33" t="s">
        <v>732</v>
      </c>
      <c r="AO33">
        <v>32</v>
      </c>
      <c r="AP33" t="s">
        <v>298</v>
      </c>
      <c r="AQ33" t="s">
        <v>358</v>
      </c>
      <c r="AR33" t="s">
        <v>694</v>
      </c>
    </row>
    <row r="34" spans="4:46" x14ac:dyDescent="0.25">
      <c r="D34">
        <v>33</v>
      </c>
      <c r="E34" t="s">
        <v>298</v>
      </c>
      <c r="F34" t="s">
        <v>332</v>
      </c>
      <c r="G34" t="s">
        <v>770</v>
      </c>
      <c r="H34" t="s">
        <v>771</v>
      </c>
      <c r="P34">
        <v>33</v>
      </c>
      <c r="Q34" t="s">
        <v>298</v>
      </c>
      <c r="R34" t="s">
        <v>318</v>
      </c>
      <c r="S34" t="s">
        <v>807</v>
      </c>
      <c r="AC34">
        <v>33</v>
      </c>
      <c r="AD34" t="s">
        <v>298</v>
      </c>
      <c r="AE34" t="s">
        <v>372</v>
      </c>
      <c r="AF34" t="s">
        <v>733</v>
      </c>
      <c r="AO34">
        <v>33</v>
      </c>
      <c r="AP34" t="s">
        <v>298</v>
      </c>
      <c r="AQ34" t="s">
        <v>346</v>
      </c>
      <c r="AR34" t="s">
        <v>695</v>
      </c>
      <c r="AT34">
        <v>1</v>
      </c>
    </row>
    <row r="35" spans="4:46" x14ac:dyDescent="0.25">
      <c r="D35">
        <v>34</v>
      </c>
      <c r="E35" t="s">
        <v>171</v>
      </c>
      <c r="F35" t="s">
        <v>333</v>
      </c>
      <c r="G35" t="s">
        <v>772</v>
      </c>
      <c r="P35">
        <v>34</v>
      </c>
      <c r="Q35" t="s">
        <v>298</v>
      </c>
      <c r="R35" t="s">
        <v>326</v>
      </c>
      <c r="S35" t="s">
        <v>808</v>
      </c>
      <c r="AC35">
        <v>34</v>
      </c>
      <c r="AD35" t="s">
        <v>171</v>
      </c>
      <c r="AE35" t="s">
        <v>373</v>
      </c>
      <c r="AF35" t="s">
        <v>734</v>
      </c>
      <c r="AH35">
        <v>1</v>
      </c>
      <c r="AO35">
        <v>34</v>
      </c>
      <c r="AP35" t="s">
        <v>298</v>
      </c>
      <c r="AQ35" t="s">
        <v>364</v>
      </c>
      <c r="AR35" t="s">
        <v>696</v>
      </c>
      <c r="AT35">
        <v>1</v>
      </c>
    </row>
    <row r="36" spans="4:46" x14ac:dyDescent="0.25">
      <c r="D36">
        <v>35</v>
      </c>
      <c r="E36" t="s">
        <v>298</v>
      </c>
      <c r="F36" t="s">
        <v>334</v>
      </c>
      <c r="G36" t="s">
        <v>773</v>
      </c>
      <c r="P36">
        <v>35</v>
      </c>
      <c r="Q36" t="s">
        <v>171</v>
      </c>
      <c r="R36" t="s">
        <v>321</v>
      </c>
      <c r="S36" t="s">
        <v>809</v>
      </c>
      <c r="AC36">
        <v>35</v>
      </c>
      <c r="AD36" t="s">
        <v>298</v>
      </c>
      <c r="AE36" t="s">
        <v>374</v>
      </c>
      <c r="AF36" t="s">
        <v>735</v>
      </c>
      <c r="AH36">
        <v>1</v>
      </c>
      <c r="AO36">
        <v>35</v>
      </c>
      <c r="AP36" t="s">
        <v>171</v>
      </c>
      <c r="AQ36" t="s">
        <v>340</v>
      </c>
      <c r="AR36" t="s">
        <v>697</v>
      </c>
    </row>
    <row r="37" spans="4:46" x14ac:dyDescent="0.25">
      <c r="D37">
        <v>36</v>
      </c>
      <c r="E37" t="s">
        <v>298</v>
      </c>
      <c r="F37" t="s">
        <v>335</v>
      </c>
      <c r="G37" t="s">
        <v>774</v>
      </c>
      <c r="P37">
        <v>36</v>
      </c>
      <c r="Q37" t="s">
        <v>171</v>
      </c>
      <c r="R37" t="s">
        <v>325</v>
      </c>
      <c r="S37" t="s">
        <v>810</v>
      </c>
      <c r="AC37">
        <v>36</v>
      </c>
      <c r="AD37" t="s">
        <v>171</v>
      </c>
      <c r="AE37" t="s">
        <v>375</v>
      </c>
      <c r="AF37" t="s">
        <v>736</v>
      </c>
      <c r="AO37">
        <v>36</v>
      </c>
      <c r="AP37" t="s">
        <v>171</v>
      </c>
      <c r="AQ37" t="s">
        <v>353</v>
      </c>
      <c r="AR37" t="s">
        <v>698</v>
      </c>
    </row>
    <row r="38" spans="4:46" x14ac:dyDescent="0.25">
      <c r="D38">
        <v>37</v>
      </c>
      <c r="E38" t="s">
        <v>171</v>
      </c>
      <c r="F38" t="s">
        <v>336</v>
      </c>
      <c r="G38" t="s">
        <v>775</v>
      </c>
      <c r="I38" s="24"/>
      <c r="P38">
        <v>37</v>
      </c>
      <c r="Q38" t="s">
        <v>298</v>
      </c>
      <c r="R38" t="s">
        <v>334</v>
      </c>
      <c r="S38" t="s">
        <v>811</v>
      </c>
      <c r="U38">
        <v>1</v>
      </c>
      <c r="AC38">
        <v>37</v>
      </c>
      <c r="AD38" t="s">
        <v>298</v>
      </c>
      <c r="AE38" t="s">
        <v>376</v>
      </c>
      <c r="AF38" t="s">
        <v>737</v>
      </c>
      <c r="AO38">
        <v>37</v>
      </c>
      <c r="AP38" t="s">
        <v>171</v>
      </c>
      <c r="AQ38" t="s">
        <v>360</v>
      </c>
      <c r="AR38" t="s">
        <v>699</v>
      </c>
    </row>
    <row r="39" spans="4:46" x14ac:dyDescent="0.25">
      <c r="D39">
        <v>38</v>
      </c>
      <c r="E39" t="s">
        <v>298</v>
      </c>
      <c r="F39" t="s">
        <v>337</v>
      </c>
      <c r="G39" t="s">
        <v>776</v>
      </c>
      <c r="P39">
        <v>38</v>
      </c>
      <c r="Q39" t="s">
        <v>171</v>
      </c>
      <c r="R39" t="s">
        <v>303</v>
      </c>
      <c r="S39" t="s">
        <v>812</v>
      </c>
      <c r="AC39">
        <v>38</v>
      </c>
      <c r="AD39" t="s">
        <v>171</v>
      </c>
      <c r="AE39" t="s">
        <v>377</v>
      </c>
      <c r="AF39" t="s">
        <v>738</v>
      </c>
      <c r="AO39">
        <v>38</v>
      </c>
      <c r="AP39" t="s">
        <v>298</v>
      </c>
      <c r="AQ39" t="s">
        <v>365</v>
      </c>
      <c r="AR39" t="s">
        <v>700</v>
      </c>
    </row>
    <row r="40" spans="4:46" x14ac:dyDescent="0.25">
      <c r="D40">
        <v>39</v>
      </c>
      <c r="E40" t="s">
        <v>171</v>
      </c>
      <c r="F40" t="s">
        <v>338</v>
      </c>
      <c r="G40" t="s">
        <v>777</v>
      </c>
      <c r="P40">
        <v>39</v>
      </c>
      <c r="Q40" t="s">
        <v>171</v>
      </c>
      <c r="R40" t="s">
        <v>317</v>
      </c>
      <c r="S40" t="s">
        <v>813</v>
      </c>
      <c r="U40">
        <v>1</v>
      </c>
      <c r="AC40">
        <v>39</v>
      </c>
      <c r="AD40" t="s">
        <v>298</v>
      </c>
      <c r="AE40" t="s">
        <v>378</v>
      </c>
      <c r="AF40" t="s">
        <v>739</v>
      </c>
      <c r="AG40" t="s">
        <v>740</v>
      </c>
      <c r="AO40">
        <v>39</v>
      </c>
      <c r="AP40" t="s">
        <v>298</v>
      </c>
      <c r="AQ40" t="s">
        <v>351</v>
      </c>
      <c r="AR40" t="s">
        <v>701</v>
      </c>
      <c r="AS40" t="s">
        <v>702</v>
      </c>
    </row>
    <row r="41" spans="4:46" x14ac:dyDescent="0.25">
      <c r="D41">
        <v>40</v>
      </c>
      <c r="E41" t="s">
        <v>298</v>
      </c>
      <c r="F41" t="s">
        <v>339</v>
      </c>
      <c r="P41">
        <v>40</v>
      </c>
      <c r="Q41" t="s">
        <v>171</v>
      </c>
      <c r="R41" t="s">
        <v>338</v>
      </c>
      <c r="S41" t="s">
        <v>814</v>
      </c>
      <c r="AC41">
        <v>40</v>
      </c>
      <c r="AD41" t="s">
        <v>171</v>
      </c>
      <c r="AE41" t="s">
        <v>379</v>
      </c>
      <c r="AF41" t="s">
        <v>741</v>
      </c>
      <c r="AO41">
        <v>40</v>
      </c>
      <c r="AP41" t="s">
        <v>171</v>
      </c>
      <c r="AQ41" t="s">
        <v>379</v>
      </c>
      <c r="AR41" t="s">
        <v>703</v>
      </c>
    </row>
    <row r="42" spans="4:46" x14ac:dyDescent="0.25">
      <c r="U42">
        <f>SUM(U2:U41)</f>
        <v>10</v>
      </c>
      <c r="AH42">
        <f>SUM(AH2:AH41)</f>
        <v>8</v>
      </c>
      <c r="AT42" s="22">
        <f>SUM(AT2:AT41)</f>
        <v>4</v>
      </c>
    </row>
    <row r="43" spans="4:46" x14ac:dyDescent="0.25">
      <c r="I43" s="22">
        <f>SUM(I2:I42)</f>
        <v>10</v>
      </c>
    </row>
    <row r="56" spans="3:6" x14ac:dyDescent="0.25">
      <c r="C56" t="s">
        <v>383</v>
      </c>
      <c r="D56" t="s">
        <v>384</v>
      </c>
      <c r="E56" t="s">
        <v>94</v>
      </c>
      <c r="F56" t="s">
        <v>296</v>
      </c>
    </row>
    <row r="57" spans="3:6" x14ac:dyDescent="0.25">
      <c r="D57">
        <v>10</v>
      </c>
      <c r="E57">
        <v>10</v>
      </c>
      <c r="F57">
        <v>8</v>
      </c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7"/>
  <sheetViews>
    <sheetView topLeftCell="W1" zoomScale="110" zoomScaleNormal="110" workbookViewId="0">
      <selection activeCell="AD5" sqref="AD5"/>
    </sheetView>
  </sheetViews>
  <sheetFormatPr baseColWidth="10" defaultRowHeight="15" x14ac:dyDescent="0.25"/>
  <cols>
    <col min="1" max="1" width="19.7109375" customWidth="1"/>
    <col min="11" max="11" width="33.140625" customWidth="1"/>
    <col min="21" max="21" width="20.85546875" customWidth="1"/>
    <col min="30" max="30" width="20.85546875" customWidth="1"/>
  </cols>
  <sheetData>
    <row r="1" spans="1:37" ht="15.75" x14ac:dyDescent="0.25">
      <c r="A1" s="1" t="s">
        <v>36</v>
      </c>
      <c r="B1" s="2" t="s">
        <v>0</v>
      </c>
      <c r="C1" s="2" t="s">
        <v>1</v>
      </c>
      <c r="D1" s="2" t="s">
        <v>2</v>
      </c>
      <c r="E1" s="2" t="s">
        <v>435</v>
      </c>
      <c r="F1" s="2" t="s">
        <v>436</v>
      </c>
      <c r="G1" s="2" t="s">
        <v>437</v>
      </c>
      <c r="H1" s="2" t="s">
        <v>438</v>
      </c>
      <c r="K1" s="1" t="s">
        <v>36</v>
      </c>
      <c r="L1" s="2" t="s">
        <v>0</v>
      </c>
      <c r="M1" s="2" t="s">
        <v>1</v>
      </c>
      <c r="N1" s="2" t="s">
        <v>2</v>
      </c>
      <c r="O1" s="2" t="s">
        <v>435</v>
      </c>
      <c r="P1" s="2" t="s">
        <v>436</v>
      </c>
      <c r="Q1" s="2" t="s">
        <v>437</v>
      </c>
      <c r="R1" s="2" t="s">
        <v>438</v>
      </c>
      <c r="U1" s="1" t="s">
        <v>36</v>
      </c>
      <c r="V1" s="2" t="s">
        <v>0</v>
      </c>
      <c r="W1" s="2" t="s">
        <v>1</v>
      </c>
      <c r="X1" s="2" t="s">
        <v>2</v>
      </c>
      <c r="Y1" s="2" t="s">
        <v>435</v>
      </c>
      <c r="Z1" s="2" t="s">
        <v>436</v>
      </c>
      <c r="AA1" s="2" t="s">
        <v>437</v>
      </c>
      <c r="AB1" s="2" t="s">
        <v>438</v>
      </c>
      <c r="AD1" s="1" t="s">
        <v>36</v>
      </c>
      <c r="AE1" s="2" t="s">
        <v>0</v>
      </c>
      <c r="AF1" s="2" t="s">
        <v>1</v>
      </c>
      <c r="AG1" s="2" t="s">
        <v>2</v>
      </c>
      <c r="AH1" s="2" t="s">
        <v>435</v>
      </c>
      <c r="AI1" s="2" t="s">
        <v>436</v>
      </c>
      <c r="AJ1" s="2" t="s">
        <v>437</v>
      </c>
      <c r="AK1" s="2" t="s">
        <v>438</v>
      </c>
    </row>
    <row r="2" spans="1:37" ht="15.75" x14ac:dyDescent="0.25">
      <c r="A2" s="3" t="s">
        <v>6</v>
      </c>
      <c r="B2">
        <v>2</v>
      </c>
      <c r="C2">
        <v>1</v>
      </c>
      <c r="D2">
        <v>1</v>
      </c>
      <c r="E2" t="s">
        <v>388</v>
      </c>
      <c r="F2" t="s">
        <v>389</v>
      </c>
      <c r="G2">
        <v>1</v>
      </c>
      <c r="K2" s="3" t="s">
        <v>94</v>
      </c>
      <c r="L2">
        <v>2</v>
      </c>
      <c r="M2">
        <v>2</v>
      </c>
      <c r="N2">
        <v>1</v>
      </c>
      <c r="O2" t="s">
        <v>390</v>
      </c>
      <c r="P2" t="s">
        <v>404</v>
      </c>
      <c r="Q2">
        <v>1</v>
      </c>
      <c r="U2" s="3" t="s">
        <v>296</v>
      </c>
      <c r="V2">
        <v>1</v>
      </c>
      <c r="W2">
        <v>3</v>
      </c>
      <c r="X2">
        <v>1</v>
      </c>
      <c r="Y2" t="s">
        <v>390</v>
      </c>
      <c r="Z2" t="s">
        <v>466</v>
      </c>
      <c r="AA2">
        <v>0</v>
      </c>
      <c r="AB2" t="s">
        <v>508</v>
      </c>
      <c r="AD2" s="3" t="s">
        <v>525</v>
      </c>
      <c r="AE2">
        <v>1</v>
      </c>
      <c r="AF2">
        <v>4</v>
      </c>
      <c r="AG2">
        <v>1</v>
      </c>
      <c r="AH2" t="s">
        <v>392</v>
      </c>
      <c r="AI2" t="s">
        <v>470</v>
      </c>
      <c r="AJ2">
        <v>0</v>
      </c>
      <c r="AK2" t="s">
        <v>526</v>
      </c>
    </row>
    <row r="3" spans="1:37" ht="15.75" x14ac:dyDescent="0.25">
      <c r="A3" s="1" t="s">
        <v>387</v>
      </c>
      <c r="D3">
        <v>2</v>
      </c>
      <c r="E3" t="s">
        <v>390</v>
      </c>
      <c r="F3" t="s">
        <v>391</v>
      </c>
      <c r="G3">
        <v>0</v>
      </c>
      <c r="H3" t="s">
        <v>439</v>
      </c>
      <c r="K3" s="1" t="s">
        <v>387</v>
      </c>
      <c r="N3">
        <v>2</v>
      </c>
      <c r="O3" t="s">
        <v>390</v>
      </c>
      <c r="P3" t="s">
        <v>427</v>
      </c>
      <c r="Q3">
        <v>0</v>
      </c>
      <c r="R3" t="s">
        <v>450</v>
      </c>
      <c r="U3" s="1" t="s">
        <v>387</v>
      </c>
      <c r="X3">
        <v>2</v>
      </c>
      <c r="Y3" t="s">
        <v>390</v>
      </c>
      <c r="Z3" t="s">
        <v>467</v>
      </c>
      <c r="AA3">
        <v>0</v>
      </c>
      <c r="AB3" t="s">
        <v>509</v>
      </c>
      <c r="AD3" s="1" t="s">
        <v>387</v>
      </c>
      <c r="AG3">
        <v>2</v>
      </c>
      <c r="AH3" t="s">
        <v>388</v>
      </c>
      <c r="AI3" t="s">
        <v>506</v>
      </c>
      <c r="AJ3">
        <v>1</v>
      </c>
    </row>
    <row r="4" spans="1:37" ht="15.75" x14ac:dyDescent="0.25">
      <c r="A4" s="13">
        <v>43538</v>
      </c>
      <c r="D4">
        <v>3</v>
      </c>
      <c r="E4" t="s">
        <v>392</v>
      </c>
      <c r="F4" t="s">
        <v>393</v>
      </c>
      <c r="G4">
        <v>1</v>
      </c>
      <c r="K4" s="13">
        <v>43556</v>
      </c>
      <c r="N4">
        <v>3</v>
      </c>
      <c r="O4" t="s">
        <v>392</v>
      </c>
      <c r="P4" t="s">
        <v>414</v>
      </c>
      <c r="Q4">
        <v>0</v>
      </c>
      <c r="R4" t="s">
        <v>456</v>
      </c>
      <c r="U4" s="13">
        <v>43566</v>
      </c>
      <c r="X4">
        <v>3</v>
      </c>
      <c r="Y4" t="s">
        <v>392</v>
      </c>
      <c r="Z4" t="s">
        <v>468</v>
      </c>
      <c r="AA4">
        <v>0</v>
      </c>
      <c r="AB4" t="s">
        <v>510</v>
      </c>
      <c r="AD4" s="13">
        <v>43679</v>
      </c>
      <c r="AG4">
        <v>3</v>
      </c>
      <c r="AH4" t="s">
        <v>388</v>
      </c>
      <c r="AI4" t="s">
        <v>477</v>
      </c>
      <c r="AJ4">
        <v>1</v>
      </c>
    </row>
    <row r="5" spans="1:37" x14ac:dyDescent="0.25">
      <c r="A5" s="11" t="s">
        <v>455</v>
      </c>
      <c r="D5">
        <v>4</v>
      </c>
      <c r="E5" t="s">
        <v>392</v>
      </c>
      <c r="F5" t="s">
        <v>394</v>
      </c>
      <c r="G5">
        <v>0</v>
      </c>
      <c r="H5">
        <v>0</v>
      </c>
      <c r="K5" s="11" t="s">
        <v>465</v>
      </c>
      <c r="N5">
        <v>4</v>
      </c>
      <c r="O5" t="s">
        <v>390</v>
      </c>
      <c r="P5" t="s">
        <v>428</v>
      </c>
      <c r="Q5">
        <v>1</v>
      </c>
      <c r="U5" s="11" t="s">
        <v>455</v>
      </c>
      <c r="X5">
        <v>4</v>
      </c>
      <c r="Y5" t="s">
        <v>390</v>
      </c>
      <c r="Z5" t="s">
        <v>469</v>
      </c>
      <c r="AA5">
        <v>1</v>
      </c>
      <c r="AD5" s="11" t="s">
        <v>465</v>
      </c>
      <c r="AG5">
        <v>4</v>
      </c>
      <c r="AH5" t="s">
        <v>390</v>
      </c>
      <c r="AI5" t="s">
        <v>480</v>
      </c>
      <c r="AJ5">
        <v>1</v>
      </c>
    </row>
    <row r="6" spans="1:37" ht="15.75" x14ac:dyDescent="0.25">
      <c r="D6">
        <v>5</v>
      </c>
      <c r="E6" t="s">
        <v>388</v>
      </c>
      <c r="F6" t="s">
        <v>395</v>
      </c>
      <c r="G6">
        <v>0</v>
      </c>
      <c r="H6" s="14" t="s">
        <v>440</v>
      </c>
      <c r="N6">
        <v>5</v>
      </c>
      <c r="O6" t="s">
        <v>392</v>
      </c>
      <c r="P6" t="s">
        <v>422</v>
      </c>
      <c r="Q6">
        <v>1</v>
      </c>
      <c r="X6">
        <v>5</v>
      </c>
      <c r="Y6" t="s">
        <v>392</v>
      </c>
      <c r="Z6" t="s">
        <v>470</v>
      </c>
      <c r="AA6">
        <v>0</v>
      </c>
      <c r="AB6" t="s">
        <v>511</v>
      </c>
      <c r="AG6">
        <v>5</v>
      </c>
      <c r="AH6" t="s">
        <v>390</v>
      </c>
      <c r="AI6" t="s">
        <v>479</v>
      </c>
      <c r="AJ6">
        <v>0</v>
      </c>
      <c r="AK6" s="14" t="s">
        <v>515</v>
      </c>
    </row>
    <row r="7" spans="1:37" x14ac:dyDescent="0.25">
      <c r="D7">
        <v>6</v>
      </c>
      <c r="E7" t="s">
        <v>392</v>
      </c>
      <c r="F7" t="s">
        <v>396</v>
      </c>
      <c r="G7">
        <v>1</v>
      </c>
      <c r="N7">
        <v>6</v>
      </c>
      <c r="O7" t="s">
        <v>392</v>
      </c>
      <c r="P7" t="s">
        <v>425</v>
      </c>
      <c r="Q7">
        <v>0</v>
      </c>
      <c r="R7" t="s">
        <v>457</v>
      </c>
      <c r="X7">
        <v>6</v>
      </c>
      <c r="Y7" t="s">
        <v>392</v>
      </c>
      <c r="Z7" t="s">
        <v>471</v>
      </c>
      <c r="AA7">
        <v>1</v>
      </c>
      <c r="AG7">
        <v>6</v>
      </c>
      <c r="AH7" t="s">
        <v>390</v>
      </c>
      <c r="AI7" t="s">
        <v>474</v>
      </c>
      <c r="AJ7">
        <v>0</v>
      </c>
      <c r="AK7" t="s">
        <v>513</v>
      </c>
    </row>
    <row r="8" spans="1:37" x14ac:dyDescent="0.25">
      <c r="D8">
        <v>7</v>
      </c>
      <c r="E8" t="s">
        <v>390</v>
      </c>
      <c r="F8" t="s">
        <v>397</v>
      </c>
      <c r="G8">
        <v>0</v>
      </c>
      <c r="H8" t="s">
        <v>441</v>
      </c>
      <c r="N8">
        <v>7</v>
      </c>
      <c r="O8" t="s">
        <v>392</v>
      </c>
      <c r="P8" t="s">
        <v>406</v>
      </c>
      <c r="Q8">
        <v>1</v>
      </c>
      <c r="X8">
        <v>7</v>
      </c>
      <c r="Y8" t="s">
        <v>390</v>
      </c>
      <c r="Z8" t="s">
        <v>472</v>
      </c>
      <c r="AA8">
        <v>0</v>
      </c>
      <c r="AB8" s="15" t="s">
        <v>512</v>
      </c>
      <c r="AG8">
        <v>7</v>
      </c>
      <c r="AH8" t="s">
        <v>390</v>
      </c>
      <c r="AI8" t="s">
        <v>466</v>
      </c>
      <c r="AJ8">
        <v>0</v>
      </c>
      <c r="AK8" s="14" t="s">
        <v>527</v>
      </c>
    </row>
    <row r="9" spans="1:37" x14ac:dyDescent="0.25">
      <c r="D9">
        <v>8</v>
      </c>
      <c r="E9" t="s">
        <v>392</v>
      </c>
      <c r="F9" t="s">
        <v>398</v>
      </c>
      <c r="G9">
        <v>1</v>
      </c>
      <c r="N9">
        <v>8</v>
      </c>
      <c r="O9" t="s">
        <v>392</v>
      </c>
      <c r="P9" t="s">
        <v>396</v>
      </c>
      <c r="Q9">
        <v>1</v>
      </c>
      <c r="X9">
        <v>8</v>
      </c>
      <c r="Y9" t="s">
        <v>390</v>
      </c>
      <c r="Z9" t="s">
        <v>284</v>
      </c>
      <c r="AA9">
        <v>1</v>
      </c>
      <c r="AG9">
        <v>8</v>
      </c>
      <c r="AH9" t="s">
        <v>392</v>
      </c>
      <c r="AI9" t="s">
        <v>503</v>
      </c>
      <c r="AJ9">
        <v>1</v>
      </c>
    </row>
    <row r="10" spans="1:37" x14ac:dyDescent="0.25">
      <c r="D10">
        <v>9</v>
      </c>
      <c r="E10" t="s">
        <v>388</v>
      </c>
      <c r="F10" t="s">
        <v>399</v>
      </c>
      <c r="G10">
        <v>1</v>
      </c>
      <c r="N10">
        <v>9</v>
      </c>
      <c r="O10" t="s">
        <v>390</v>
      </c>
      <c r="P10" t="s">
        <v>412</v>
      </c>
      <c r="Q10">
        <v>1</v>
      </c>
      <c r="X10">
        <v>9</v>
      </c>
      <c r="Y10" t="s">
        <v>390</v>
      </c>
      <c r="Z10" t="s">
        <v>473</v>
      </c>
      <c r="AA10">
        <v>1</v>
      </c>
      <c r="AG10">
        <v>9</v>
      </c>
      <c r="AH10" t="s">
        <v>388</v>
      </c>
      <c r="AI10" t="s">
        <v>500</v>
      </c>
      <c r="AJ10">
        <v>1</v>
      </c>
    </row>
    <row r="11" spans="1:37" ht="15.75" x14ac:dyDescent="0.25">
      <c r="D11">
        <v>10</v>
      </c>
      <c r="E11" t="s">
        <v>390</v>
      </c>
      <c r="F11" t="s">
        <v>400</v>
      </c>
      <c r="G11">
        <v>0</v>
      </c>
      <c r="H11" t="s">
        <v>442</v>
      </c>
      <c r="N11">
        <v>10</v>
      </c>
      <c r="O11" t="s">
        <v>390</v>
      </c>
      <c r="P11" t="s">
        <v>400</v>
      </c>
      <c r="Q11">
        <v>0</v>
      </c>
      <c r="R11" t="s">
        <v>458</v>
      </c>
      <c r="X11">
        <v>10</v>
      </c>
      <c r="Y11" t="s">
        <v>390</v>
      </c>
      <c r="Z11" t="s">
        <v>474</v>
      </c>
      <c r="AA11">
        <v>0</v>
      </c>
      <c r="AB11" t="s">
        <v>513</v>
      </c>
      <c r="AG11">
        <v>10</v>
      </c>
      <c r="AH11" t="s">
        <v>388</v>
      </c>
      <c r="AI11" t="s">
        <v>232</v>
      </c>
      <c r="AJ11">
        <v>0</v>
      </c>
      <c r="AK11" t="s">
        <v>528</v>
      </c>
    </row>
    <row r="12" spans="1:37" x14ac:dyDescent="0.25">
      <c r="D12">
        <v>11</v>
      </c>
      <c r="E12" t="s">
        <v>388</v>
      </c>
      <c r="F12" t="s">
        <v>401</v>
      </c>
      <c r="G12">
        <v>1</v>
      </c>
      <c r="N12">
        <v>11</v>
      </c>
      <c r="O12" t="s">
        <v>388</v>
      </c>
      <c r="P12" t="s">
        <v>421</v>
      </c>
      <c r="Q12">
        <v>1</v>
      </c>
      <c r="X12">
        <v>11</v>
      </c>
      <c r="Y12" t="s">
        <v>388</v>
      </c>
      <c r="Z12" t="s">
        <v>232</v>
      </c>
      <c r="AA12">
        <v>1</v>
      </c>
      <c r="AG12">
        <v>11</v>
      </c>
      <c r="AH12" t="s">
        <v>392</v>
      </c>
      <c r="AI12" t="s">
        <v>468</v>
      </c>
      <c r="AJ12">
        <v>1</v>
      </c>
    </row>
    <row r="13" spans="1:37" x14ac:dyDescent="0.25">
      <c r="D13">
        <v>12</v>
      </c>
      <c r="E13" t="s">
        <v>392</v>
      </c>
      <c r="F13" t="s">
        <v>402</v>
      </c>
      <c r="G13">
        <v>1</v>
      </c>
      <c r="N13">
        <v>12</v>
      </c>
      <c r="O13" t="s">
        <v>392</v>
      </c>
      <c r="P13" t="s">
        <v>402</v>
      </c>
      <c r="Q13">
        <v>1</v>
      </c>
      <c r="X13">
        <v>12</v>
      </c>
      <c r="Y13" t="s">
        <v>390</v>
      </c>
      <c r="Z13" t="s">
        <v>475</v>
      </c>
      <c r="AA13">
        <v>0</v>
      </c>
      <c r="AB13" t="s">
        <v>514</v>
      </c>
      <c r="AG13">
        <v>12</v>
      </c>
      <c r="AH13" t="s">
        <v>392</v>
      </c>
      <c r="AI13" t="s">
        <v>485</v>
      </c>
      <c r="AJ13">
        <v>1</v>
      </c>
    </row>
    <row r="14" spans="1:37" x14ac:dyDescent="0.25">
      <c r="D14">
        <v>13</v>
      </c>
      <c r="E14" t="s">
        <v>388</v>
      </c>
      <c r="F14" t="s">
        <v>403</v>
      </c>
      <c r="G14">
        <v>1</v>
      </c>
      <c r="N14">
        <v>13</v>
      </c>
      <c r="O14" t="s">
        <v>392</v>
      </c>
      <c r="P14" t="s">
        <v>418</v>
      </c>
      <c r="Q14">
        <v>1</v>
      </c>
      <c r="X14">
        <v>13</v>
      </c>
      <c r="Y14" t="s">
        <v>388</v>
      </c>
      <c r="Z14" t="s">
        <v>476</v>
      </c>
      <c r="AA14">
        <v>1</v>
      </c>
      <c r="AG14">
        <v>13</v>
      </c>
      <c r="AH14" t="s">
        <v>392</v>
      </c>
      <c r="AI14" t="s">
        <v>501</v>
      </c>
      <c r="AJ14">
        <v>1</v>
      </c>
    </row>
    <row r="15" spans="1:37" x14ac:dyDescent="0.25">
      <c r="D15">
        <v>14</v>
      </c>
      <c r="E15" t="s">
        <v>390</v>
      </c>
      <c r="F15" t="s">
        <v>404</v>
      </c>
      <c r="G15">
        <v>1</v>
      </c>
      <c r="N15">
        <v>14</v>
      </c>
      <c r="O15" t="s">
        <v>388</v>
      </c>
      <c r="P15" t="s">
        <v>423</v>
      </c>
      <c r="Q15">
        <v>1</v>
      </c>
      <c r="X15">
        <v>14</v>
      </c>
      <c r="Y15" t="s">
        <v>388</v>
      </c>
      <c r="Z15" t="s">
        <v>477</v>
      </c>
      <c r="AA15">
        <v>1</v>
      </c>
      <c r="AG15">
        <v>14</v>
      </c>
      <c r="AH15" t="s">
        <v>388</v>
      </c>
      <c r="AI15" t="s">
        <v>487</v>
      </c>
      <c r="AJ15">
        <v>1</v>
      </c>
    </row>
    <row r="16" spans="1:37" x14ac:dyDescent="0.25">
      <c r="D16">
        <v>15</v>
      </c>
      <c r="E16" t="s">
        <v>392</v>
      </c>
      <c r="F16" t="s">
        <v>405</v>
      </c>
      <c r="G16">
        <v>1</v>
      </c>
      <c r="N16">
        <v>15</v>
      </c>
      <c r="O16" t="s">
        <v>392</v>
      </c>
      <c r="P16" t="s">
        <v>409</v>
      </c>
      <c r="Q16">
        <v>1</v>
      </c>
      <c r="X16">
        <v>15</v>
      </c>
      <c r="Y16" t="s">
        <v>392</v>
      </c>
      <c r="Z16" t="s">
        <v>478</v>
      </c>
      <c r="AA16">
        <v>1</v>
      </c>
      <c r="AG16">
        <v>15</v>
      </c>
      <c r="AH16" t="s">
        <v>388</v>
      </c>
      <c r="AI16" t="s">
        <v>486</v>
      </c>
      <c r="AJ16">
        <v>1</v>
      </c>
    </row>
    <row r="17" spans="4:37" ht="15.75" x14ac:dyDescent="0.25">
      <c r="D17">
        <v>16</v>
      </c>
      <c r="E17" t="s">
        <v>392</v>
      </c>
      <c r="F17" t="s">
        <v>406</v>
      </c>
      <c r="G17">
        <v>0</v>
      </c>
      <c r="H17" t="s">
        <v>443</v>
      </c>
      <c r="N17">
        <v>16</v>
      </c>
      <c r="O17" t="s">
        <v>392</v>
      </c>
      <c r="P17" t="s">
        <v>419</v>
      </c>
      <c r="Q17">
        <v>1</v>
      </c>
      <c r="X17">
        <v>16</v>
      </c>
      <c r="Y17" t="s">
        <v>390</v>
      </c>
      <c r="Z17" t="s">
        <v>479</v>
      </c>
      <c r="AA17">
        <v>0</v>
      </c>
      <c r="AB17" s="14" t="s">
        <v>515</v>
      </c>
      <c r="AG17">
        <v>16</v>
      </c>
      <c r="AH17" t="s">
        <v>388</v>
      </c>
      <c r="AI17" t="s">
        <v>484</v>
      </c>
      <c r="AJ17">
        <v>1</v>
      </c>
    </row>
    <row r="18" spans="4:37" x14ac:dyDescent="0.25">
      <c r="D18">
        <v>17</v>
      </c>
      <c r="E18" t="s">
        <v>388</v>
      </c>
      <c r="F18" t="s">
        <v>407</v>
      </c>
      <c r="G18">
        <v>1</v>
      </c>
      <c r="N18">
        <v>17</v>
      </c>
      <c r="O18" t="s">
        <v>392</v>
      </c>
      <c r="P18" t="s">
        <v>411</v>
      </c>
      <c r="Q18">
        <v>1</v>
      </c>
      <c r="X18">
        <v>17</v>
      </c>
      <c r="Y18" t="s">
        <v>390</v>
      </c>
      <c r="Z18" t="s">
        <v>480</v>
      </c>
      <c r="AA18">
        <v>1</v>
      </c>
      <c r="AG18">
        <v>17</v>
      </c>
      <c r="AH18" t="s">
        <v>392</v>
      </c>
      <c r="AI18" t="s">
        <v>504</v>
      </c>
      <c r="AJ18">
        <v>1</v>
      </c>
    </row>
    <row r="19" spans="4:37" ht="15.75" x14ac:dyDescent="0.25">
      <c r="D19">
        <v>18</v>
      </c>
      <c r="E19" t="s">
        <v>388</v>
      </c>
      <c r="F19" t="s">
        <v>408</v>
      </c>
      <c r="G19">
        <v>1</v>
      </c>
      <c r="N19">
        <v>18</v>
      </c>
      <c r="O19" t="s">
        <v>392</v>
      </c>
      <c r="P19" t="s">
        <v>405</v>
      </c>
      <c r="Q19">
        <v>1</v>
      </c>
      <c r="X19">
        <v>18</v>
      </c>
      <c r="Y19" t="s">
        <v>388</v>
      </c>
      <c r="Z19" t="s">
        <v>481</v>
      </c>
      <c r="AA19">
        <v>0</v>
      </c>
      <c r="AB19" t="s">
        <v>516</v>
      </c>
      <c r="AG19">
        <v>18</v>
      </c>
      <c r="AH19" t="s">
        <v>390</v>
      </c>
      <c r="AI19" t="s">
        <v>467</v>
      </c>
      <c r="AJ19">
        <v>0</v>
      </c>
      <c r="AK19" t="s">
        <v>529</v>
      </c>
    </row>
    <row r="20" spans="4:37" ht="15.75" x14ac:dyDescent="0.25">
      <c r="D20">
        <v>19</v>
      </c>
      <c r="E20" t="s">
        <v>392</v>
      </c>
      <c r="F20" t="s">
        <v>409</v>
      </c>
      <c r="G20">
        <v>1</v>
      </c>
      <c r="N20">
        <v>19</v>
      </c>
      <c r="O20" t="s">
        <v>388</v>
      </c>
      <c r="P20" t="s">
        <v>401</v>
      </c>
      <c r="Q20">
        <v>0</v>
      </c>
      <c r="R20" t="s">
        <v>459</v>
      </c>
      <c r="X20">
        <v>19</v>
      </c>
      <c r="Y20" t="s">
        <v>390</v>
      </c>
      <c r="Z20" t="s">
        <v>482</v>
      </c>
      <c r="AA20">
        <v>0</v>
      </c>
      <c r="AB20" t="s">
        <v>517</v>
      </c>
      <c r="AG20">
        <v>19</v>
      </c>
      <c r="AH20" t="s">
        <v>390</v>
      </c>
      <c r="AI20" t="s">
        <v>284</v>
      </c>
      <c r="AJ20">
        <v>1</v>
      </c>
    </row>
    <row r="21" spans="4:37" x14ac:dyDescent="0.25">
      <c r="D21">
        <v>20</v>
      </c>
      <c r="E21" t="s">
        <v>388</v>
      </c>
      <c r="F21" t="s">
        <v>410</v>
      </c>
      <c r="G21">
        <v>1</v>
      </c>
      <c r="N21">
        <v>20</v>
      </c>
      <c r="O21" t="s">
        <v>388</v>
      </c>
      <c r="P21" t="s">
        <v>387</v>
      </c>
      <c r="Q21">
        <v>1</v>
      </c>
      <c r="X21">
        <v>20</v>
      </c>
      <c r="Y21" t="s">
        <v>392</v>
      </c>
      <c r="Z21" t="s">
        <v>483</v>
      </c>
      <c r="AA21">
        <v>1</v>
      </c>
      <c r="AG21">
        <v>20</v>
      </c>
      <c r="AH21" t="s">
        <v>388</v>
      </c>
      <c r="AI21" t="s">
        <v>497</v>
      </c>
      <c r="AJ21">
        <v>1</v>
      </c>
    </row>
    <row r="22" spans="4:37" ht="15.75" x14ac:dyDescent="0.25">
      <c r="D22">
        <v>21</v>
      </c>
      <c r="E22" t="s">
        <v>392</v>
      </c>
      <c r="F22" t="s">
        <v>411</v>
      </c>
      <c r="G22">
        <v>1</v>
      </c>
      <c r="N22">
        <v>21</v>
      </c>
      <c r="O22" t="s">
        <v>392</v>
      </c>
      <c r="P22" t="s">
        <v>398</v>
      </c>
      <c r="Q22">
        <v>1</v>
      </c>
      <c r="X22">
        <v>21</v>
      </c>
      <c r="Y22" t="s">
        <v>388</v>
      </c>
      <c r="Z22" t="s">
        <v>484</v>
      </c>
      <c r="AA22">
        <v>1</v>
      </c>
      <c r="AG22">
        <v>21</v>
      </c>
      <c r="AH22" t="s">
        <v>392</v>
      </c>
      <c r="AI22" t="s">
        <v>488</v>
      </c>
      <c r="AJ22">
        <v>0</v>
      </c>
      <c r="AK22" t="s">
        <v>530</v>
      </c>
    </row>
    <row r="23" spans="4:37" x14ac:dyDescent="0.25">
      <c r="D23">
        <v>22</v>
      </c>
      <c r="E23" t="s">
        <v>390</v>
      </c>
      <c r="F23" t="s">
        <v>412</v>
      </c>
      <c r="G23">
        <v>0</v>
      </c>
      <c r="H23" t="s">
        <v>444</v>
      </c>
      <c r="N23">
        <v>22</v>
      </c>
      <c r="O23" t="s">
        <v>390</v>
      </c>
      <c r="P23" t="s">
        <v>430</v>
      </c>
      <c r="Q23">
        <v>0</v>
      </c>
      <c r="R23" s="15" t="s">
        <v>452</v>
      </c>
      <c r="X23">
        <v>22</v>
      </c>
      <c r="Y23" t="s">
        <v>392</v>
      </c>
      <c r="Z23" t="s">
        <v>485</v>
      </c>
      <c r="AA23">
        <v>1</v>
      </c>
      <c r="AG23">
        <v>22</v>
      </c>
      <c r="AH23" t="s">
        <v>390</v>
      </c>
      <c r="AI23" t="s">
        <v>475</v>
      </c>
      <c r="AJ23">
        <v>0</v>
      </c>
      <c r="AK23" t="s">
        <v>514</v>
      </c>
    </row>
    <row r="24" spans="4:37" x14ac:dyDescent="0.25">
      <c r="D24">
        <v>23</v>
      </c>
      <c r="E24" t="s">
        <v>390</v>
      </c>
      <c r="F24" t="s">
        <v>413</v>
      </c>
      <c r="G24">
        <v>0</v>
      </c>
      <c r="H24" t="s">
        <v>445</v>
      </c>
      <c r="N24">
        <v>23</v>
      </c>
      <c r="O24" t="s">
        <v>390</v>
      </c>
      <c r="P24" t="s">
        <v>424</v>
      </c>
      <c r="Q24">
        <v>1</v>
      </c>
      <c r="X24">
        <v>23</v>
      </c>
      <c r="Y24" t="s">
        <v>388</v>
      </c>
      <c r="Z24" t="s">
        <v>486</v>
      </c>
      <c r="AA24">
        <v>1</v>
      </c>
      <c r="AG24">
        <v>23</v>
      </c>
      <c r="AH24" t="s">
        <v>390</v>
      </c>
      <c r="AI24" t="s">
        <v>469</v>
      </c>
      <c r="AJ24">
        <v>1</v>
      </c>
    </row>
    <row r="25" spans="4:37" x14ac:dyDescent="0.25">
      <c r="D25">
        <v>24</v>
      </c>
      <c r="E25" t="s">
        <v>392</v>
      </c>
      <c r="F25" t="s">
        <v>414</v>
      </c>
      <c r="G25">
        <v>0</v>
      </c>
      <c r="H25" t="s">
        <v>446</v>
      </c>
      <c r="N25">
        <v>24</v>
      </c>
      <c r="O25" t="s">
        <v>388</v>
      </c>
      <c r="P25" t="s">
        <v>431</v>
      </c>
      <c r="Q25">
        <v>1</v>
      </c>
      <c r="X25">
        <v>24</v>
      </c>
      <c r="Y25" t="s">
        <v>388</v>
      </c>
      <c r="Z25" t="s">
        <v>487</v>
      </c>
      <c r="AA25">
        <v>1</v>
      </c>
      <c r="AG25">
        <v>24</v>
      </c>
      <c r="AH25" t="s">
        <v>388</v>
      </c>
      <c r="AI25" t="s">
        <v>494</v>
      </c>
      <c r="AJ25">
        <v>1</v>
      </c>
    </row>
    <row r="26" spans="4:37" x14ac:dyDescent="0.25">
      <c r="D26">
        <v>25</v>
      </c>
      <c r="E26" t="s">
        <v>388</v>
      </c>
      <c r="F26" t="s">
        <v>415</v>
      </c>
      <c r="G26">
        <v>1</v>
      </c>
      <c r="N26">
        <v>25</v>
      </c>
      <c r="O26" t="s">
        <v>388</v>
      </c>
      <c r="P26" t="s">
        <v>415</v>
      </c>
      <c r="Q26">
        <v>1</v>
      </c>
      <c r="X26">
        <v>25</v>
      </c>
      <c r="Y26" t="s">
        <v>388</v>
      </c>
      <c r="Z26" t="s">
        <v>241</v>
      </c>
      <c r="AA26">
        <v>1</v>
      </c>
      <c r="AG26">
        <v>25</v>
      </c>
      <c r="AH26" t="s">
        <v>388</v>
      </c>
      <c r="AI26" t="s">
        <v>495</v>
      </c>
      <c r="AJ26">
        <v>1</v>
      </c>
    </row>
    <row r="27" spans="4:37" ht="15.75" x14ac:dyDescent="0.25">
      <c r="D27">
        <v>26</v>
      </c>
      <c r="E27" t="s">
        <v>388</v>
      </c>
      <c r="F27" t="s">
        <v>416</v>
      </c>
      <c r="G27">
        <v>1</v>
      </c>
      <c r="N27">
        <v>26</v>
      </c>
      <c r="O27" t="s">
        <v>392</v>
      </c>
      <c r="P27" t="s">
        <v>393</v>
      </c>
      <c r="Q27">
        <v>0</v>
      </c>
      <c r="R27" t="s">
        <v>460</v>
      </c>
      <c r="X27">
        <v>26</v>
      </c>
      <c r="Y27" t="s">
        <v>392</v>
      </c>
      <c r="Z27" t="s">
        <v>488</v>
      </c>
      <c r="AA27">
        <v>0</v>
      </c>
      <c r="AB27" s="14" t="s">
        <v>518</v>
      </c>
      <c r="AG27">
        <v>26</v>
      </c>
      <c r="AH27" t="s">
        <v>392</v>
      </c>
      <c r="AI27" t="s">
        <v>490</v>
      </c>
      <c r="AJ27">
        <v>1</v>
      </c>
    </row>
    <row r="28" spans="4:37" x14ac:dyDescent="0.25">
      <c r="D28">
        <v>27</v>
      </c>
      <c r="E28" t="s">
        <v>392</v>
      </c>
      <c r="F28" t="s">
        <v>417</v>
      </c>
      <c r="G28">
        <v>0</v>
      </c>
      <c r="H28" t="s">
        <v>447</v>
      </c>
      <c r="N28">
        <v>27</v>
      </c>
      <c r="O28" t="s">
        <v>388</v>
      </c>
      <c r="P28" t="s">
        <v>407</v>
      </c>
      <c r="Q28">
        <v>1</v>
      </c>
      <c r="X28">
        <v>27</v>
      </c>
      <c r="Y28" t="s">
        <v>392</v>
      </c>
      <c r="Z28" t="s">
        <v>489</v>
      </c>
      <c r="AA28">
        <v>1</v>
      </c>
      <c r="AG28">
        <v>27</v>
      </c>
      <c r="AH28" t="s">
        <v>392</v>
      </c>
      <c r="AI28" t="s">
        <v>505</v>
      </c>
      <c r="AJ28">
        <v>1</v>
      </c>
    </row>
    <row r="29" spans="4:37" x14ac:dyDescent="0.25">
      <c r="D29">
        <v>28</v>
      </c>
      <c r="E29" t="s">
        <v>392</v>
      </c>
      <c r="F29" t="s">
        <v>418</v>
      </c>
      <c r="G29">
        <v>1</v>
      </c>
      <c r="N29">
        <v>28</v>
      </c>
      <c r="O29" t="s">
        <v>390</v>
      </c>
      <c r="P29" t="s">
        <v>420</v>
      </c>
      <c r="Q29">
        <v>0</v>
      </c>
      <c r="R29" t="s">
        <v>461</v>
      </c>
      <c r="X29">
        <v>28</v>
      </c>
      <c r="Y29" t="s">
        <v>392</v>
      </c>
      <c r="Z29" t="s">
        <v>490</v>
      </c>
      <c r="AA29">
        <v>1</v>
      </c>
      <c r="AG29">
        <v>28</v>
      </c>
      <c r="AH29" t="s">
        <v>390</v>
      </c>
      <c r="AI29" t="s">
        <v>498</v>
      </c>
      <c r="AJ29">
        <v>0</v>
      </c>
      <c r="AK29" t="s">
        <v>521</v>
      </c>
    </row>
    <row r="30" spans="4:37" ht="15.75" x14ac:dyDescent="0.25">
      <c r="D30">
        <v>29</v>
      </c>
      <c r="E30" t="s">
        <v>392</v>
      </c>
      <c r="F30" t="s">
        <v>419</v>
      </c>
      <c r="G30">
        <v>1</v>
      </c>
      <c r="N30">
        <v>29</v>
      </c>
      <c r="O30" t="s">
        <v>390</v>
      </c>
      <c r="P30" t="s">
        <v>391</v>
      </c>
      <c r="Q30">
        <v>0</v>
      </c>
      <c r="R30" t="s">
        <v>462</v>
      </c>
      <c r="X30">
        <v>29</v>
      </c>
      <c r="Y30" t="s">
        <v>390</v>
      </c>
      <c r="Z30" t="s">
        <v>491</v>
      </c>
      <c r="AA30">
        <v>1</v>
      </c>
      <c r="AG30">
        <v>29</v>
      </c>
      <c r="AH30" t="s">
        <v>388</v>
      </c>
      <c r="AI30" t="s">
        <v>476</v>
      </c>
      <c r="AJ30">
        <v>1</v>
      </c>
    </row>
    <row r="31" spans="4:37" x14ac:dyDescent="0.25">
      <c r="D31">
        <v>30</v>
      </c>
      <c r="E31" t="s">
        <v>390</v>
      </c>
      <c r="F31" t="s">
        <v>420</v>
      </c>
      <c r="G31">
        <v>1</v>
      </c>
      <c r="N31">
        <v>30</v>
      </c>
      <c r="O31" t="s">
        <v>390</v>
      </c>
      <c r="P31" t="s">
        <v>433</v>
      </c>
      <c r="Q31">
        <v>1</v>
      </c>
      <c r="X31">
        <v>30</v>
      </c>
      <c r="Y31" t="s">
        <v>392</v>
      </c>
      <c r="Z31" t="s">
        <v>492</v>
      </c>
      <c r="AA31">
        <v>1</v>
      </c>
      <c r="AG31">
        <v>30</v>
      </c>
      <c r="AH31" t="s">
        <v>392</v>
      </c>
      <c r="AI31" t="s">
        <v>492</v>
      </c>
      <c r="AJ31">
        <v>1</v>
      </c>
    </row>
    <row r="32" spans="4:37" x14ac:dyDescent="0.25">
      <c r="D32">
        <v>31</v>
      </c>
      <c r="E32" t="s">
        <v>388</v>
      </c>
      <c r="F32" t="s">
        <v>421</v>
      </c>
      <c r="G32">
        <v>1</v>
      </c>
      <c r="N32">
        <v>31</v>
      </c>
      <c r="O32" t="s">
        <v>390</v>
      </c>
      <c r="P32" t="s">
        <v>429</v>
      </c>
      <c r="Q32">
        <v>1</v>
      </c>
      <c r="X32">
        <v>31</v>
      </c>
      <c r="Y32" t="s">
        <v>388</v>
      </c>
      <c r="Z32" t="s">
        <v>493</v>
      </c>
      <c r="AA32">
        <v>1</v>
      </c>
      <c r="AG32">
        <v>31</v>
      </c>
      <c r="AH32" t="s">
        <v>390</v>
      </c>
      <c r="AI32" t="s">
        <v>496</v>
      </c>
      <c r="AJ32">
        <v>0</v>
      </c>
      <c r="AK32" t="s">
        <v>520</v>
      </c>
    </row>
    <row r="33" spans="4:37" ht="15.75" x14ac:dyDescent="0.25">
      <c r="D33">
        <v>32</v>
      </c>
      <c r="E33" t="s">
        <v>392</v>
      </c>
      <c r="F33" t="s">
        <v>422</v>
      </c>
      <c r="G33">
        <v>1</v>
      </c>
      <c r="N33">
        <v>32</v>
      </c>
      <c r="O33" t="s">
        <v>388</v>
      </c>
      <c r="P33" t="s">
        <v>399</v>
      </c>
      <c r="Q33">
        <v>1</v>
      </c>
      <c r="X33">
        <v>32</v>
      </c>
      <c r="Y33" t="s">
        <v>388</v>
      </c>
      <c r="Z33" t="s">
        <v>494</v>
      </c>
      <c r="AA33">
        <v>0</v>
      </c>
      <c r="AB33" t="s">
        <v>519</v>
      </c>
      <c r="AG33">
        <v>32</v>
      </c>
      <c r="AH33" t="s">
        <v>388</v>
      </c>
      <c r="AI33" t="s">
        <v>493</v>
      </c>
      <c r="AJ33">
        <v>1</v>
      </c>
    </row>
    <row r="34" spans="4:37" x14ac:dyDescent="0.25">
      <c r="D34">
        <v>33</v>
      </c>
      <c r="E34" t="s">
        <v>388</v>
      </c>
      <c r="F34" t="s">
        <v>423</v>
      </c>
      <c r="G34">
        <v>1</v>
      </c>
      <c r="N34">
        <v>33</v>
      </c>
      <c r="O34" t="s">
        <v>390</v>
      </c>
      <c r="P34" t="s">
        <v>426</v>
      </c>
      <c r="Q34">
        <v>0</v>
      </c>
      <c r="R34" t="s">
        <v>449</v>
      </c>
      <c r="X34">
        <v>33</v>
      </c>
      <c r="Y34" t="s">
        <v>388</v>
      </c>
      <c r="Z34" t="s">
        <v>495</v>
      </c>
      <c r="AA34">
        <v>1</v>
      </c>
      <c r="AG34">
        <v>33</v>
      </c>
      <c r="AH34" t="s">
        <v>392</v>
      </c>
      <c r="AI34" t="s">
        <v>471</v>
      </c>
      <c r="AJ34">
        <v>1</v>
      </c>
    </row>
    <row r="35" spans="4:37" x14ac:dyDescent="0.25">
      <c r="D35">
        <v>34</v>
      </c>
      <c r="E35" t="s">
        <v>390</v>
      </c>
      <c r="F35" t="s">
        <v>424</v>
      </c>
      <c r="G35">
        <v>1</v>
      </c>
      <c r="N35">
        <v>34</v>
      </c>
      <c r="O35" t="s">
        <v>388</v>
      </c>
      <c r="P35" t="s">
        <v>432</v>
      </c>
      <c r="Q35">
        <v>1</v>
      </c>
      <c r="X35">
        <v>34</v>
      </c>
      <c r="Y35" t="s">
        <v>390</v>
      </c>
      <c r="Z35" t="s">
        <v>496</v>
      </c>
      <c r="AA35">
        <v>0</v>
      </c>
      <c r="AB35" t="s">
        <v>520</v>
      </c>
      <c r="AG35">
        <v>34</v>
      </c>
      <c r="AH35" t="s">
        <v>388</v>
      </c>
      <c r="AI35" t="s">
        <v>502</v>
      </c>
      <c r="AJ35">
        <v>1</v>
      </c>
    </row>
    <row r="36" spans="4:37" x14ac:dyDescent="0.25">
      <c r="D36">
        <v>35</v>
      </c>
      <c r="E36" t="s">
        <v>392</v>
      </c>
      <c r="F36" t="s">
        <v>425</v>
      </c>
      <c r="G36">
        <v>0</v>
      </c>
      <c r="H36" t="s">
        <v>448</v>
      </c>
      <c r="N36">
        <v>35</v>
      </c>
      <c r="O36" t="s">
        <v>388</v>
      </c>
      <c r="P36" t="s">
        <v>410</v>
      </c>
      <c r="Q36">
        <v>1</v>
      </c>
      <c r="X36">
        <v>35</v>
      </c>
      <c r="Y36" t="s">
        <v>388</v>
      </c>
      <c r="Z36" t="s">
        <v>497</v>
      </c>
      <c r="AA36">
        <v>1</v>
      </c>
      <c r="AG36">
        <v>35</v>
      </c>
      <c r="AH36" t="s">
        <v>388</v>
      </c>
      <c r="AI36" t="s">
        <v>241</v>
      </c>
      <c r="AJ36">
        <v>1</v>
      </c>
    </row>
    <row r="37" spans="4:37" x14ac:dyDescent="0.25">
      <c r="D37">
        <v>36</v>
      </c>
      <c r="E37" t="s">
        <v>390</v>
      </c>
      <c r="F37" t="s">
        <v>426</v>
      </c>
      <c r="G37">
        <v>0</v>
      </c>
      <c r="H37" t="s">
        <v>449</v>
      </c>
      <c r="N37">
        <v>36</v>
      </c>
      <c r="O37" t="s">
        <v>392</v>
      </c>
      <c r="P37" t="s">
        <v>394</v>
      </c>
      <c r="Q37">
        <v>1</v>
      </c>
      <c r="X37">
        <v>36</v>
      </c>
      <c r="Y37" t="s">
        <v>390</v>
      </c>
      <c r="Z37" t="s">
        <v>498</v>
      </c>
      <c r="AA37">
        <v>0</v>
      </c>
      <c r="AB37" t="s">
        <v>521</v>
      </c>
      <c r="AG37">
        <v>36</v>
      </c>
      <c r="AH37" t="s">
        <v>392</v>
      </c>
      <c r="AI37" t="s">
        <v>507</v>
      </c>
      <c r="AJ37">
        <v>1</v>
      </c>
    </row>
    <row r="38" spans="4:37" ht="15.75" x14ac:dyDescent="0.25">
      <c r="D38">
        <v>37</v>
      </c>
      <c r="E38" t="s">
        <v>390</v>
      </c>
      <c r="F38" t="s">
        <v>427</v>
      </c>
      <c r="G38">
        <v>0</v>
      </c>
      <c r="H38" t="s">
        <v>450</v>
      </c>
      <c r="N38">
        <v>37</v>
      </c>
      <c r="O38" t="s">
        <v>388</v>
      </c>
      <c r="P38" t="s">
        <v>416</v>
      </c>
      <c r="Q38">
        <v>1</v>
      </c>
      <c r="X38">
        <v>37</v>
      </c>
      <c r="Y38" t="s">
        <v>390</v>
      </c>
      <c r="Z38" t="s">
        <v>499</v>
      </c>
      <c r="AA38">
        <v>1</v>
      </c>
      <c r="AG38">
        <v>37</v>
      </c>
      <c r="AH38" t="s">
        <v>392</v>
      </c>
      <c r="AI38" t="s">
        <v>483</v>
      </c>
      <c r="AJ38">
        <v>0</v>
      </c>
      <c r="AK38" t="s">
        <v>531</v>
      </c>
    </row>
    <row r="39" spans="4:37" ht="15.75" x14ac:dyDescent="0.25">
      <c r="D39">
        <v>38</v>
      </c>
      <c r="E39" t="s">
        <v>390</v>
      </c>
      <c r="F39" t="s">
        <v>428</v>
      </c>
      <c r="G39">
        <v>0</v>
      </c>
      <c r="H39" t="s">
        <v>451</v>
      </c>
      <c r="N39">
        <v>38</v>
      </c>
      <c r="O39" t="s">
        <v>392</v>
      </c>
      <c r="P39" t="s">
        <v>417</v>
      </c>
      <c r="Q39">
        <v>1</v>
      </c>
      <c r="X39">
        <v>38</v>
      </c>
      <c r="Y39" t="s">
        <v>388</v>
      </c>
      <c r="Z39" t="s">
        <v>500</v>
      </c>
      <c r="AA39">
        <v>0</v>
      </c>
      <c r="AB39" s="14" t="s">
        <v>522</v>
      </c>
      <c r="AG39">
        <v>38</v>
      </c>
      <c r="AH39" t="s">
        <v>388</v>
      </c>
      <c r="AI39" t="s">
        <v>481</v>
      </c>
      <c r="AJ39">
        <v>1</v>
      </c>
    </row>
    <row r="40" spans="4:37" x14ac:dyDescent="0.25">
      <c r="D40">
        <v>39</v>
      </c>
      <c r="E40" t="s">
        <v>390</v>
      </c>
      <c r="F40" t="s">
        <v>429</v>
      </c>
      <c r="G40">
        <v>1</v>
      </c>
      <c r="N40">
        <v>39</v>
      </c>
      <c r="O40" t="s">
        <v>388</v>
      </c>
      <c r="P40" t="s">
        <v>395</v>
      </c>
      <c r="Q40">
        <v>0</v>
      </c>
      <c r="R40" s="14" t="s">
        <v>463</v>
      </c>
      <c r="X40">
        <v>39</v>
      </c>
      <c r="Y40" t="s">
        <v>392</v>
      </c>
      <c r="Z40" t="s">
        <v>501</v>
      </c>
      <c r="AA40">
        <v>0</v>
      </c>
      <c r="AB40" s="14" t="s">
        <v>523</v>
      </c>
      <c r="AG40">
        <v>39</v>
      </c>
      <c r="AH40" t="s">
        <v>390</v>
      </c>
      <c r="AI40" t="s">
        <v>482</v>
      </c>
      <c r="AJ40">
        <v>0</v>
      </c>
      <c r="AK40" t="s">
        <v>516</v>
      </c>
    </row>
    <row r="41" spans="4:37" x14ac:dyDescent="0.25">
      <c r="D41">
        <v>40</v>
      </c>
      <c r="E41" t="s">
        <v>390</v>
      </c>
      <c r="F41" t="s">
        <v>430</v>
      </c>
      <c r="G41">
        <v>0</v>
      </c>
      <c r="H41" s="15" t="s">
        <v>452</v>
      </c>
      <c r="N41">
        <v>40</v>
      </c>
      <c r="O41" t="s">
        <v>388</v>
      </c>
      <c r="P41" t="s">
        <v>403</v>
      </c>
      <c r="Q41">
        <v>1</v>
      </c>
      <c r="X41">
        <v>40</v>
      </c>
      <c r="Y41" t="s">
        <v>388</v>
      </c>
      <c r="Z41" t="s">
        <v>502</v>
      </c>
      <c r="AA41">
        <v>1</v>
      </c>
      <c r="AG41">
        <v>40</v>
      </c>
      <c r="AH41" t="s">
        <v>392</v>
      </c>
      <c r="AI41" t="s">
        <v>489</v>
      </c>
      <c r="AJ41">
        <v>1</v>
      </c>
    </row>
    <row r="42" spans="4:37" ht="15.75" x14ac:dyDescent="0.25">
      <c r="D42">
        <v>41</v>
      </c>
      <c r="E42" t="s">
        <v>388</v>
      </c>
      <c r="F42" t="s">
        <v>431</v>
      </c>
      <c r="G42">
        <v>1</v>
      </c>
      <c r="N42">
        <v>41</v>
      </c>
      <c r="O42" t="s">
        <v>390</v>
      </c>
      <c r="P42" t="s">
        <v>413</v>
      </c>
      <c r="Q42">
        <v>0</v>
      </c>
      <c r="R42" t="s">
        <v>464</v>
      </c>
      <c r="X42">
        <v>41</v>
      </c>
      <c r="Y42" t="s">
        <v>392</v>
      </c>
      <c r="Z42" t="s">
        <v>503</v>
      </c>
      <c r="AA42">
        <v>1</v>
      </c>
      <c r="AG42">
        <v>41</v>
      </c>
      <c r="AH42" t="s">
        <v>390</v>
      </c>
      <c r="AI42" t="s">
        <v>499</v>
      </c>
      <c r="AJ42">
        <v>0</v>
      </c>
      <c r="AK42" s="14" t="s">
        <v>532</v>
      </c>
    </row>
    <row r="43" spans="4:37" x14ac:dyDescent="0.25">
      <c r="D43">
        <v>42</v>
      </c>
      <c r="E43" t="s">
        <v>388</v>
      </c>
      <c r="F43" t="s">
        <v>432</v>
      </c>
      <c r="G43">
        <v>1</v>
      </c>
      <c r="N43">
        <v>42</v>
      </c>
      <c r="O43" t="s">
        <v>390</v>
      </c>
      <c r="P43" t="s">
        <v>397</v>
      </c>
      <c r="Q43">
        <v>0</v>
      </c>
      <c r="R43" t="s">
        <v>441</v>
      </c>
      <c r="X43">
        <v>42</v>
      </c>
      <c r="Y43" t="s">
        <v>392</v>
      </c>
      <c r="Z43" t="s">
        <v>504</v>
      </c>
      <c r="AA43">
        <v>1</v>
      </c>
      <c r="AG43">
        <v>42</v>
      </c>
      <c r="AH43" t="s">
        <v>390</v>
      </c>
      <c r="AI43" t="s">
        <v>472</v>
      </c>
      <c r="AJ43">
        <v>1</v>
      </c>
    </row>
    <row r="44" spans="4:37" x14ac:dyDescent="0.25">
      <c r="D44">
        <v>43</v>
      </c>
      <c r="E44" t="s">
        <v>390</v>
      </c>
      <c r="F44" t="s">
        <v>433</v>
      </c>
      <c r="G44">
        <v>0</v>
      </c>
      <c r="H44" t="s">
        <v>453</v>
      </c>
      <c r="N44">
        <v>43</v>
      </c>
      <c r="O44" t="s">
        <v>390</v>
      </c>
      <c r="P44" t="s">
        <v>434</v>
      </c>
      <c r="Q44">
        <v>0</v>
      </c>
      <c r="R44" t="s">
        <v>454</v>
      </c>
      <c r="X44">
        <v>43</v>
      </c>
      <c r="Y44" t="s">
        <v>392</v>
      </c>
      <c r="Z44" t="s">
        <v>505</v>
      </c>
      <c r="AA44">
        <v>1</v>
      </c>
      <c r="AG44">
        <v>43</v>
      </c>
      <c r="AH44" t="s">
        <v>390</v>
      </c>
      <c r="AI44" t="s">
        <v>473</v>
      </c>
      <c r="AJ44">
        <v>1</v>
      </c>
    </row>
    <row r="45" spans="4:37" x14ac:dyDescent="0.25">
      <c r="D45">
        <v>44</v>
      </c>
      <c r="E45" t="s">
        <v>388</v>
      </c>
      <c r="F45" t="s">
        <v>387</v>
      </c>
      <c r="G45">
        <v>1</v>
      </c>
      <c r="N45">
        <v>44</v>
      </c>
      <c r="O45" t="s">
        <v>388</v>
      </c>
      <c r="P45" t="s">
        <v>389</v>
      </c>
      <c r="Q45">
        <v>1</v>
      </c>
      <c r="X45">
        <v>44</v>
      </c>
      <c r="Y45" t="s">
        <v>388</v>
      </c>
      <c r="Z45" t="s">
        <v>506</v>
      </c>
      <c r="AA45">
        <v>1</v>
      </c>
      <c r="AG45">
        <v>44</v>
      </c>
      <c r="AH45" t="s">
        <v>392</v>
      </c>
      <c r="AI45" t="s">
        <v>478</v>
      </c>
      <c r="AJ45">
        <v>1</v>
      </c>
    </row>
    <row r="46" spans="4:37" ht="15.75" x14ac:dyDescent="0.25">
      <c r="D46">
        <v>45</v>
      </c>
      <c r="E46" t="s">
        <v>390</v>
      </c>
      <c r="F46" t="s">
        <v>434</v>
      </c>
      <c r="G46">
        <v>0</v>
      </c>
      <c r="H46" t="s">
        <v>454</v>
      </c>
      <c r="N46">
        <v>45</v>
      </c>
      <c r="O46" t="s">
        <v>388</v>
      </c>
      <c r="P46" t="s">
        <v>408</v>
      </c>
      <c r="Q46">
        <v>1</v>
      </c>
      <c r="X46">
        <v>45</v>
      </c>
      <c r="Y46" t="s">
        <v>392</v>
      </c>
      <c r="Z46" t="s">
        <v>507</v>
      </c>
      <c r="AA46">
        <v>0</v>
      </c>
      <c r="AB46" t="s">
        <v>524</v>
      </c>
      <c r="AG46">
        <v>45</v>
      </c>
      <c r="AH46" t="s">
        <v>390</v>
      </c>
      <c r="AI46" t="s">
        <v>491</v>
      </c>
      <c r="AJ46">
        <v>0</v>
      </c>
      <c r="AK46" t="s">
        <v>533</v>
      </c>
    </row>
    <row r="47" spans="4:37" x14ac:dyDescent="0.25">
      <c r="G47" s="16">
        <f>SUM(G2:G46)</f>
        <v>28</v>
      </c>
      <c r="Q47" s="17">
        <f>SUM(Q2:Q46)</f>
        <v>31</v>
      </c>
      <c r="AA47" s="17">
        <f>SUM(AA2:AA46)</f>
        <v>28</v>
      </c>
      <c r="AJ47" s="17">
        <f>SUM(AJ2:AJ46)</f>
        <v>31</v>
      </c>
    </row>
  </sheetData>
  <hyperlinks>
    <hyperlink ref="H41" r:id="rId1" tooltip="API ɛ̃" display="https://fr.wikipedia.org/wiki/API_%C9%9B%CC%83"/>
    <hyperlink ref="R23" r:id="rId2" tooltip="API ɛ̃" display="https://fr.wikipedia.org/wiki/API_%C9%9B%CC%83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7"/>
  <sheetViews>
    <sheetView topLeftCell="Z1" workbookViewId="0">
      <selection activeCell="AI4" sqref="AI4"/>
    </sheetView>
  </sheetViews>
  <sheetFormatPr baseColWidth="10" defaultRowHeight="15" x14ac:dyDescent="0.25"/>
  <cols>
    <col min="1" max="1" width="34.85546875" customWidth="1"/>
    <col min="5" max="5" width="20.7109375" customWidth="1"/>
    <col min="6" max="6" width="20.85546875" customWidth="1"/>
    <col min="7" max="7" width="16.28515625" customWidth="1"/>
    <col min="12" max="12" width="25.85546875" customWidth="1"/>
    <col min="17" max="17" width="20.85546875" customWidth="1"/>
    <col min="24" max="24" width="24.42578125" customWidth="1"/>
    <col min="29" max="29" width="19.5703125" customWidth="1"/>
    <col min="35" max="35" width="29.85546875" customWidth="1"/>
    <col min="41" max="41" width="21.28515625" customWidth="1"/>
  </cols>
  <sheetData>
    <row r="1" spans="1:42" ht="15.75" x14ac:dyDescent="0.25">
      <c r="A1" s="1" t="s">
        <v>36</v>
      </c>
      <c r="B1" s="2" t="s">
        <v>0</v>
      </c>
      <c r="C1" s="2" t="s">
        <v>1</v>
      </c>
      <c r="D1" s="2" t="s">
        <v>151</v>
      </c>
      <c r="E1" s="2" t="s">
        <v>128</v>
      </c>
      <c r="F1" s="2" t="s">
        <v>124</v>
      </c>
      <c r="G1" s="2" t="s">
        <v>125</v>
      </c>
      <c r="H1" s="2" t="s">
        <v>126</v>
      </c>
      <c r="I1" s="2" t="s">
        <v>127</v>
      </c>
      <c r="L1" s="1" t="s">
        <v>36</v>
      </c>
      <c r="M1" s="2" t="s">
        <v>0</v>
      </c>
      <c r="N1" s="2" t="s">
        <v>1</v>
      </c>
      <c r="O1" s="2" t="s">
        <v>151</v>
      </c>
      <c r="P1" s="2" t="s">
        <v>128</v>
      </c>
      <c r="Q1" s="2" t="s">
        <v>124</v>
      </c>
      <c r="R1" s="2" t="s">
        <v>125</v>
      </c>
      <c r="S1" s="2" t="s">
        <v>126</v>
      </c>
      <c r="T1" s="2" t="s">
        <v>127</v>
      </c>
      <c r="X1" s="1" t="s">
        <v>36</v>
      </c>
      <c r="Y1" s="2" t="s">
        <v>0</v>
      </c>
      <c r="Z1" s="2" t="s">
        <v>1</v>
      </c>
      <c r="AA1" s="2" t="s">
        <v>151</v>
      </c>
      <c r="AB1" s="2" t="s">
        <v>128</v>
      </c>
      <c r="AC1" s="2" t="s">
        <v>136</v>
      </c>
      <c r="AD1" s="2" t="s">
        <v>125</v>
      </c>
      <c r="AE1" s="2" t="s">
        <v>126</v>
      </c>
      <c r="AF1" s="2" t="s">
        <v>127</v>
      </c>
      <c r="AI1" s="1" t="s">
        <v>36</v>
      </c>
      <c r="AJ1" s="2" t="s">
        <v>0</v>
      </c>
      <c r="AK1" s="2" t="s">
        <v>1</v>
      </c>
      <c r="AL1" s="2" t="s">
        <v>151</v>
      </c>
      <c r="AM1" s="2" t="s">
        <v>128</v>
      </c>
      <c r="AN1" s="2" t="s">
        <v>136</v>
      </c>
      <c r="AO1" s="2" t="s">
        <v>125</v>
      </c>
      <c r="AP1" s="2" t="s">
        <v>126</v>
      </c>
    </row>
    <row r="2" spans="1:42" x14ac:dyDescent="0.25">
      <c r="A2" t="s">
        <v>384</v>
      </c>
      <c r="B2">
        <v>2</v>
      </c>
      <c r="C2">
        <v>1</v>
      </c>
      <c r="D2">
        <v>1</v>
      </c>
      <c r="E2" t="s">
        <v>129</v>
      </c>
      <c r="F2" t="s">
        <v>137</v>
      </c>
      <c r="H2">
        <v>1</v>
      </c>
      <c r="L2" t="s">
        <v>94</v>
      </c>
      <c r="M2">
        <v>2</v>
      </c>
      <c r="N2">
        <v>2</v>
      </c>
      <c r="O2">
        <v>1</v>
      </c>
      <c r="P2" t="s">
        <v>129</v>
      </c>
      <c r="Q2" t="s">
        <v>140</v>
      </c>
      <c r="S2">
        <v>0</v>
      </c>
      <c r="X2" t="s">
        <v>296</v>
      </c>
      <c r="Y2">
        <v>1</v>
      </c>
      <c r="Z2">
        <v>3</v>
      </c>
      <c r="AA2">
        <v>1</v>
      </c>
      <c r="AB2" t="s">
        <v>131</v>
      </c>
      <c r="AC2" t="s">
        <v>152</v>
      </c>
      <c r="AE2">
        <v>0</v>
      </c>
      <c r="AI2" t="s">
        <v>525</v>
      </c>
      <c r="AJ2">
        <v>1</v>
      </c>
      <c r="AK2">
        <v>4</v>
      </c>
      <c r="AL2">
        <v>1</v>
      </c>
      <c r="AM2" t="s">
        <v>135</v>
      </c>
      <c r="AN2" t="s">
        <v>156</v>
      </c>
      <c r="AP2">
        <v>1</v>
      </c>
    </row>
    <row r="3" spans="1:42" x14ac:dyDescent="0.25">
      <c r="D3">
        <v>2</v>
      </c>
      <c r="E3" t="s">
        <v>130</v>
      </c>
      <c r="F3" t="s">
        <v>138</v>
      </c>
      <c r="H3">
        <v>0</v>
      </c>
      <c r="O3">
        <v>2</v>
      </c>
      <c r="P3" t="s">
        <v>130</v>
      </c>
      <c r="Q3" t="s">
        <v>138</v>
      </c>
      <c r="S3">
        <v>0</v>
      </c>
      <c r="X3" t="s">
        <v>123</v>
      </c>
      <c r="AA3">
        <v>2</v>
      </c>
      <c r="AB3" t="s">
        <v>129</v>
      </c>
      <c r="AC3" t="s">
        <v>153</v>
      </c>
      <c r="AE3">
        <v>1</v>
      </c>
      <c r="AI3" s="21">
        <v>43679</v>
      </c>
      <c r="AL3">
        <v>2</v>
      </c>
      <c r="AM3" t="s">
        <v>132</v>
      </c>
      <c r="AN3" t="s">
        <v>161</v>
      </c>
      <c r="AP3">
        <v>1</v>
      </c>
    </row>
    <row r="4" spans="1:42" x14ac:dyDescent="0.25">
      <c r="D4">
        <v>3</v>
      </c>
      <c r="E4" t="s">
        <v>131</v>
      </c>
      <c r="F4" t="s">
        <v>139</v>
      </c>
      <c r="H4">
        <v>0</v>
      </c>
      <c r="O4">
        <v>3</v>
      </c>
      <c r="P4" t="s">
        <v>135</v>
      </c>
      <c r="Q4" t="s">
        <v>146</v>
      </c>
      <c r="S4">
        <v>1</v>
      </c>
      <c r="AA4">
        <v>3</v>
      </c>
      <c r="AB4" t="s">
        <v>133</v>
      </c>
      <c r="AC4" t="s">
        <v>154</v>
      </c>
      <c r="AE4">
        <v>1</v>
      </c>
      <c r="AI4" s="5" t="s">
        <v>656</v>
      </c>
      <c r="AL4">
        <v>3</v>
      </c>
      <c r="AM4" t="s">
        <v>129</v>
      </c>
      <c r="AN4" t="s">
        <v>153</v>
      </c>
      <c r="AP4">
        <v>0</v>
      </c>
    </row>
    <row r="5" spans="1:42" x14ac:dyDescent="0.25">
      <c r="D5">
        <v>4</v>
      </c>
      <c r="E5" t="s">
        <v>129</v>
      </c>
      <c r="F5" t="s">
        <v>140</v>
      </c>
      <c r="H5">
        <v>0</v>
      </c>
      <c r="O5">
        <v>4</v>
      </c>
      <c r="P5" t="s">
        <v>135</v>
      </c>
      <c r="Q5" t="s">
        <v>150</v>
      </c>
      <c r="S5">
        <v>0</v>
      </c>
      <c r="AA5">
        <v>4</v>
      </c>
      <c r="AB5" t="s">
        <v>133</v>
      </c>
      <c r="AC5" t="s">
        <v>155</v>
      </c>
      <c r="AE5">
        <v>0</v>
      </c>
      <c r="AL5">
        <v>4</v>
      </c>
      <c r="AM5" t="s">
        <v>129</v>
      </c>
      <c r="AN5" t="s">
        <v>160</v>
      </c>
      <c r="AP5">
        <v>0</v>
      </c>
    </row>
    <row r="6" spans="1:42" x14ac:dyDescent="0.25">
      <c r="D6">
        <v>5</v>
      </c>
      <c r="E6" t="s">
        <v>132</v>
      </c>
      <c r="F6" t="s">
        <v>141</v>
      </c>
      <c r="H6">
        <v>1</v>
      </c>
      <c r="O6">
        <v>5</v>
      </c>
      <c r="P6" t="s">
        <v>133</v>
      </c>
      <c r="Q6" t="s">
        <v>143</v>
      </c>
      <c r="S6">
        <v>0</v>
      </c>
      <c r="AA6">
        <v>5</v>
      </c>
      <c r="AB6" t="s">
        <v>135</v>
      </c>
      <c r="AC6" t="s">
        <v>156</v>
      </c>
      <c r="AE6">
        <v>1</v>
      </c>
      <c r="AL6">
        <v>5</v>
      </c>
      <c r="AM6" t="s">
        <v>132</v>
      </c>
      <c r="AN6" t="s">
        <v>158</v>
      </c>
      <c r="AP6">
        <v>1</v>
      </c>
    </row>
    <row r="7" spans="1:42" x14ac:dyDescent="0.25">
      <c r="D7">
        <v>6</v>
      </c>
      <c r="E7" t="s">
        <v>132</v>
      </c>
      <c r="F7" t="s">
        <v>142</v>
      </c>
      <c r="H7">
        <v>0</v>
      </c>
      <c r="O7">
        <v>6</v>
      </c>
      <c r="P7" t="s">
        <v>129</v>
      </c>
      <c r="Q7" t="s">
        <v>137</v>
      </c>
      <c r="S7">
        <v>1</v>
      </c>
      <c r="AA7">
        <v>6</v>
      </c>
      <c r="AB7" t="s">
        <v>135</v>
      </c>
      <c r="AC7" t="s">
        <v>157</v>
      </c>
      <c r="AE7">
        <v>1</v>
      </c>
      <c r="AL7">
        <v>6</v>
      </c>
      <c r="AM7" t="s">
        <v>132</v>
      </c>
      <c r="AN7" t="s">
        <v>165</v>
      </c>
      <c r="AP7">
        <v>0</v>
      </c>
    </row>
    <row r="8" spans="1:42" x14ac:dyDescent="0.25">
      <c r="D8">
        <v>7</v>
      </c>
      <c r="E8" t="s">
        <v>133</v>
      </c>
      <c r="F8" t="s">
        <v>143</v>
      </c>
      <c r="H8">
        <v>0</v>
      </c>
      <c r="O8">
        <v>7</v>
      </c>
      <c r="P8" t="s">
        <v>132</v>
      </c>
      <c r="Q8" t="s">
        <v>147</v>
      </c>
      <c r="S8">
        <v>0</v>
      </c>
      <c r="AA8">
        <v>7</v>
      </c>
      <c r="AB8" t="s">
        <v>132</v>
      </c>
      <c r="AC8" t="s">
        <v>158</v>
      </c>
      <c r="AE8">
        <v>1</v>
      </c>
      <c r="AL8">
        <v>7</v>
      </c>
      <c r="AM8" t="s">
        <v>130</v>
      </c>
      <c r="AN8" t="s">
        <v>164</v>
      </c>
      <c r="AP8">
        <v>0</v>
      </c>
    </row>
    <row r="9" spans="1:42" x14ac:dyDescent="0.25">
      <c r="D9">
        <v>8</v>
      </c>
      <c r="E9" t="s">
        <v>129</v>
      </c>
      <c r="F9" t="s">
        <v>144</v>
      </c>
      <c r="H9">
        <v>1</v>
      </c>
      <c r="O9">
        <v>8</v>
      </c>
      <c r="P9" t="s">
        <v>135</v>
      </c>
      <c r="Q9" t="s">
        <v>148</v>
      </c>
      <c r="S9">
        <v>0</v>
      </c>
      <c r="AA9">
        <v>8</v>
      </c>
      <c r="AB9" t="s">
        <v>132</v>
      </c>
      <c r="AC9" t="s">
        <v>159</v>
      </c>
      <c r="AE9">
        <v>0</v>
      </c>
      <c r="AL9">
        <v>8</v>
      </c>
      <c r="AM9" t="s">
        <v>133</v>
      </c>
      <c r="AN9" t="s">
        <v>155</v>
      </c>
      <c r="AP9">
        <v>0</v>
      </c>
    </row>
    <row r="10" spans="1:42" x14ac:dyDescent="0.25">
      <c r="D10">
        <v>9</v>
      </c>
      <c r="E10" t="s">
        <v>134</v>
      </c>
      <c r="F10" t="s">
        <v>145</v>
      </c>
      <c r="H10">
        <v>0</v>
      </c>
      <c r="O10">
        <v>9</v>
      </c>
      <c r="P10" t="s">
        <v>129</v>
      </c>
      <c r="Q10" t="s">
        <v>144</v>
      </c>
      <c r="S10">
        <v>1</v>
      </c>
      <c r="AA10">
        <v>9</v>
      </c>
      <c r="AB10" t="s">
        <v>129</v>
      </c>
      <c r="AC10" t="s">
        <v>160</v>
      </c>
      <c r="AE10">
        <v>1</v>
      </c>
      <c r="AL10">
        <v>9</v>
      </c>
      <c r="AM10" t="s">
        <v>135</v>
      </c>
      <c r="AN10" t="s">
        <v>162</v>
      </c>
      <c r="AP10">
        <v>1</v>
      </c>
    </row>
    <row r="11" spans="1:42" x14ac:dyDescent="0.25">
      <c r="D11">
        <v>10</v>
      </c>
      <c r="E11" t="s">
        <v>135</v>
      </c>
      <c r="F11" t="s">
        <v>146</v>
      </c>
      <c r="H11">
        <v>1</v>
      </c>
      <c r="O11">
        <v>10</v>
      </c>
      <c r="P11" t="s">
        <v>134</v>
      </c>
      <c r="Q11" t="s">
        <v>145</v>
      </c>
      <c r="S11">
        <v>0</v>
      </c>
      <c r="AA11">
        <v>10</v>
      </c>
      <c r="AB11" t="s">
        <v>132</v>
      </c>
      <c r="AC11" t="s">
        <v>161</v>
      </c>
      <c r="AE11">
        <v>1</v>
      </c>
      <c r="AL11">
        <v>10</v>
      </c>
      <c r="AM11" t="s">
        <v>133</v>
      </c>
      <c r="AN11" t="s">
        <v>154</v>
      </c>
      <c r="AP11">
        <v>1</v>
      </c>
    </row>
    <row r="12" spans="1:42" x14ac:dyDescent="0.25">
      <c r="D12">
        <v>11</v>
      </c>
      <c r="E12" t="s">
        <v>132</v>
      </c>
      <c r="F12" t="s">
        <v>147</v>
      </c>
      <c r="H12">
        <v>0</v>
      </c>
      <c r="O12">
        <v>11</v>
      </c>
      <c r="P12" t="s">
        <v>132</v>
      </c>
      <c r="Q12" t="s">
        <v>141</v>
      </c>
      <c r="S12">
        <v>0</v>
      </c>
      <c r="AA12">
        <v>11</v>
      </c>
      <c r="AB12" t="s">
        <v>135</v>
      </c>
      <c r="AC12" t="s">
        <v>162</v>
      </c>
      <c r="AE12">
        <v>1</v>
      </c>
      <c r="AL12">
        <v>11</v>
      </c>
      <c r="AM12" t="s">
        <v>135</v>
      </c>
      <c r="AN12" t="s">
        <v>163</v>
      </c>
      <c r="AP12">
        <v>0</v>
      </c>
    </row>
    <row r="13" spans="1:42" x14ac:dyDescent="0.25">
      <c r="D13">
        <v>12</v>
      </c>
      <c r="E13" t="s">
        <v>135</v>
      </c>
      <c r="F13" t="s">
        <v>148</v>
      </c>
      <c r="H13">
        <v>1</v>
      </c>
      <c r="O13">
        <v>12</v>
      </c>
      <c r="P13" t="s">
        <v>132</v>
      </c>
      <c r="Q13" t="s">
        <v>142</v>
      </c>
      <c r="S13">
        <v>1</v>
      </c>
      <c r="AA13">
        <v>12</v>
      </c>
      <c r="AB13" t="s">
        <v>135</v>
      </c>
      <c r="AC13" t="s">
        <v>163</v>
      </c>
      <c r="AE13">
        <v>0</v>
      </c>
      <c r="AL13">
        <v>12</v>
      </c>
      <c r="AM13" t="s">
        <v>132</v>
      </c>
      <c r="AN13" t="s">
        <v>159</v>
      </c>
      <c r="AP13">
        <v>1</v>
      </c>
    </row>
    <row r="14" spans="1:42" x14ac:dyDescent="0.25">
      <c r="D14">
        <v>13</v>
      </c>
      <c r="E14" t="s">
        <v>132</v>
      </c>
      <c r="F14" t="s">
        <v>149</v>
      </c>
      <c r="H14">
        <v>0</v>
      </c>
      <c r="O14">
        <v>13</v>
      </c>
      <c r="P14" t="s">
        <v>131</v>
      </c>
      <c r="Q14" t="s">
        <v>139</v>
      </c>
      <c r="S14">
        <v>0</v>
      </c>
      <c r="AA14">
        <v>13</v>
      </c>
      <c r="AB14" t="s">
        <v>130</v>
      </c>
      <c r="AC14" t="s">
        <v>164</v>
      </c>
      <c r="AE14">
        <v>0</v>
      </c>
      <c r="AL14">
        <v>13</v>
      </c>
      <c r="AM14" t="s">
        <v>135</v>
      </c>
      <c r="AN14" t="s">
        <v>157</v>
      </c>
      <c r="AP14">
        <v>1</v>
      </c>
    </row>
    <row r="15" spans="1:42" x14ac:dyDescent="0.25">
      <c r="D15">
        <v>14</v>
      </c>
      <c r="E15" t="s">
        <v>135</v>
      </c>
      <c r="F15" t="s">
        <v>150</v>
      </c>
      <c r="H15">
        <v>0</v>
      </c>
      <c r="O15">
        <v>14</v>
      </c>
      <c r="P15" t="s">
        <v>132</v>
      </c>
      <c r="Q15" t="s">
        <v>149</v>
      </c>
      <c r="S15">
        <v>1</v>
      </c>
      <c r="AA15">
        <v>14</v>
      </c>
      <c r="AB15" t="s">
        <v>132</v>
      </c>
      <c r="AC15" t="s">
        <v>165</v>
      </c>
      <c r="AE15">
        <v>1</v>
      </c>
      <c r="AL15">
        <v>14</v>
      </c>
      <c r="AM15" t="s">
        <v>131</v>
      </c>
      <c r="AN15" t="s">
        <v>152</v>
      </c>
      <c r="AP15">
        <v>0</v>
      </c>
    </row>
    <row r="16" spans="1:42" x14ac:dyDescent="0.25">
      <c r="AP16" s="5">
        <f>SUM(AP2:AP15)</f>
        <v>7</v>
      </c>
    </row>
    <row r="17" spans="3:31" x14ac:dyDescent="0.25">
      <c r="H17" s="4">
        <f>SUM(H2:H16)</f>
        <v>5</v>
      </c>
      <c r="S17" s="5">
        <f>SUM(S2:S16)</f>
        <v>5</v>
      </c>
    </row>
    <row r="18" spans="3:31" x14ac:dyDescent="0.25">
      <c r="AE18" s="5">
        <f>SUM(AE2:AE17)</f>
        <v>9</v>
      </c>
    </row>
    <row r="26" spans="3:31" x14ac:dyDescent="0.25">
      <c r="D26" t="s">
        <v>384</v>
      </c>
      <c r="E26" t="s">
        <v>295</v>
      </c>
      <c r="F26" t="s">
        <v>386</v>
      </c>
    </row>
    <row r="27" spans="3:31" x14ac:dyDescent="0.25">
      <c r="C27" t="s">
        <v>385</v>
      </c>
      <c r="D27">
        <v>5</v>
      </c>
      <c r="E27">
        <v>5</v>
      </c>
      <c r="F27">
        <v>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Patient</vt:lpstr>
      <vt:lpstr>AS verbale</vt:lpstr>
      <vt:lpstr>AS visuelle</vt:lpstr>
      <vt:lpstr>EXE verb.</vt:lpstr>
      <vt:lpstr>EXE visu.</vt:lpstr>
      <vt:lpstr>FLUENCE cat.</vt:lpstr>
      <vt:lpstr>FLUENCE verb.</vt:lpstr>
      <vt:lpstr>DC cat.</vt:lpstr>
      <vt:lpstr>DENO</vt:lpstr>
      <vt:lpstr>LECTURE</vt:lpstr>
      <vt:lpstr>BIP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2022-01-07T08:20:37Z</dcterms:modified>
</cp:coreProperties>
</file>