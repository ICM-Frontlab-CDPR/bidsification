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9"/>
  <workbookPr filterPrivacy="1" defaultThemeVersion="124226"/>
  <xr:revisionPtr revIDLastSave="0" documentId="13_ncr:1_{00491FD0-79CA-7349-9E39-9FEE5A4F9218}" xr6:coauthVersionLast="47" xr6:coauthVersionMax="47" xr10:uidLastSave="{00000000-0000-0000-0000-000000000000}"/>
  <bookViews>
    <workbookView xWindow="3800" yWindow="500" windowWidth="20180" windowHeight="16080" xr2:uid="{00000000-000D-0000-FFFF-FFFF00000000}"/>
  </bookViews>
  <sheets>
    <sheet name="PAT" sheetId="11" r:id="rId1"/>
    <sheet name="AS verbale" sheetId="1" r:id="rId2"/>
    <sheet name="AS visuelle" sheetId="2" r:id="rId3"/>
    <sheet name="EXE verb." sheetId="3" r:id="rId4"/>
    <sheet name="EXE visu." sheetId="4" r:id="rId5"/>
    <sheet name="FLUENCE cat." sheetId="5" r:id="rId6"/>
    <sheet name="FLUENCE verb." sheetId="6" r:id="rId7"/>
    <sheet name="DC cat." sheetId="7" r:id="rId8"/>
    <sheet name="DENO" sheetId="8" r:id="rId9"/>
    <sheet name="LECTURE" sheetId="9" r:id="rId10"/>
    <sheet name="BIP" sheetId="10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0" i="4" l="1"/>
  <c r="AQ47" i="9"/>
  <c r="AT42" i="7" l="1"/>
  <c r="AT43" i="7" s="1"/>
  <c r="AR42" i="7"/>
  <c r="AN28" i="4"/>
  <c r="AP28" i="4"/>
  <c r="AP29" i="4" s="1"/>
  <c r="AN28" i="3"/>
  <c r="AO28" i="3"/>
  <c r="AO29" i="3" s="1"/>
  <c r="AS28" i="2"/>
  <c r="AU28" i="2"/>
  <c r="AU29" i="2" s="1"/>
  <c r="AZ28" i="1"/>
  <c r="AZ29" i="1" s="1"/>
  <c r="AX28" i="1"/>
  <c r="AG14" i="6" l="1"/>
  <c r="BD43" i="8" l="1"/>
  <c r="AW16" i="10"/>
  <c r="O48" i="9" l="1"/>
  <c r="R10" i="6"/>
  <c r="AB17" i="10"/>
  <c r="AG47" i="9" l="1"/>
  <c r="AR42" i="8"/>
  <c r="AL16" i="10"/>
  <c r="AJ42" i="7"/>
  <c r="AI44" i="7" s="1"/>
  <c r="AH42" i="7"/>
  <c r="Y14" i="6"/>
  <c r="AF29" i="4"/>
  <c r="AE30" i="4" s="1"/>
  <c r="AD29" i="4"/>
  <c r="AF29" i="3"/>
  <c r="AF31" i="3" s="1"/>
  <c r="AE29" i="3"/>
  <c r="AI28" i="2"/>
  <c r="AH28" i="2"/>
  <c r="AN28" i="1"/>
  <c r="AM29" i="1" s="1"/>
  <c r="AL28" i="1"/>
  <c r="X47" i="9"/>
  <c r="AI30" i="2" l="1"/>
  <c r="AH42" i="8"/>
  <c r="Y42" i="7"/>
  <c r="V29" i="3"/>
  <c r="V29" i="4"/>
  <c r="Y28" i="2"/>
  <c r="AB28" i="1"/>
  <c r="S17" i="10" l="1"/>
  <c r="R17" i="10"/>
  <c r="W43" i="8"/>
  <c r="Q43" i="7"/>
  <c r="P43" i="7"/>
  <c r="O29" i="4"/>
  <c r="N29" i="4"/>
  <c r="O29" i="3"/>
  <c r="N29" i="3"/>
  <c r="Q29" i="2"/>
  <c r="P29" i="2"/>
  <c r="R29" i="1"/>
  <c r="S29" i="1"/>
  <c r="G48" i="9" l="1"/>
  <c r="K43" i="8" l="1"/>
  <c r="H29" i="1" l="1"/>
  <c r="G29" i="1"/>
  <c r="G17" i="10"/>
  <c r="I17" i="10" l="1"/>
  <c r="H17" i="10"/>
  <c r="H43" i="7"/>
  <c r="G43" i="7"/>
  <c r="G29" i="4"/>
  <c r="F29" i="4"/>
  <c r="G29" i="3"/>
  <c r="F29" i="3"/>
  <c r="H29" i="2"/>
  <c r="G29" i="2"/>
</calcChain>
</file>

<file path=xl/sharedStrings.xml><?xml version="1.0" encoding="utf-8"?>
<sst xmlns="http://schemas.openxmlformats.org/spreadsheetml/2006/main" count="3080" uniqueCount="887">
  <si>
    <t>Version</t>
  </si>
  <si>
    <t>Session</t>
  </si>
  <si>
    <t>Trial</t>
  </si>
  <si>
    <t>Profession</t>
  </si>
  <si>
    <t>Personnalités reconnues</t>
  </si>
  <si>
    <t>BIP.ACC</t>
  </si>
  <si>
    <t>BIP.RT</t>
  </si>
  <si>
    <t>Prétraitement</t>
  </si>
  <si>
    <t>AS verbale</t>
  </si>
  <si>
    <t>Target</t>
  </si>
  <si>
    <t>ImageDisplay2.ACC</t>
  </si>
  <si>
    <t>ImageDisplay2.RT</t>
  </si>
  <si>
    <t>Condition Target</t>
  </si>
  <si>
    <t>Réponse</t>
  </si>
  <si>
    <t>AS visuelle</t>
  </si>
  <si>
    <t>EXE verb</t>
  </si>
  <si>
    <t>EXE visu</t>
  </si>
  <si>
    <t>FLUENCE catégorielle</t>
  </si>
  <si>
    <t>Items</t>
  </si>
  <si>
    <t>Nombre</t>
  </si>
  <si>
    <t>FLUENCE littérale</t>
  </si>
  <si>
    <t>n°</t>
  </si>
  <si>
    <t>status</t>
  </si>
  <si>
    <t>stimulus</t>
  </si>
  <si>
    <t>TextDisplay2.ACC</t>
  </si>
  <si>
    <t>TextDisplay2.RT</t>
  </si>
  <si>
    <t xml:space="preserve">Dénomination </t>
  </si>
  <si>
    <t>Status</t>
  </si>
  <si>
    <t>Stimulus</t>
  </si>
  <si>
    <t>Slide1.ACC</t>
  </si>
  <si>
    <t>Slide1.RT</t>
  </si>
  <si>
    <t>Réponse après coup</t>
  </si>
  <si>
    <t>SCORE : bonne réponse</t>
  </si>
  <si>
    <t>Lecture</t>
  </si>
  <si>
    <t>Text</t>
  </si>
  <si>
    <t>BIP</t>
  </si>
  <si>
    <t xml:space="preserve">Score </t>
  </si>
  <si>
    <t>Score /40</t>
  </si>
  <si>
    <t xml:space="preserve">absence de réponse : </t>
  </si>
  <si>
    <t xml:space="preserve">erreurs : </t>
  </si>
  <si>
    <t>Score rec /14</t>
  </si>
  <si>
    <t>PAT001-0032-EG</t>
  </si>
  <si>
    <t>Date 25/02/2020</t>
  </si>
  <si>
    <t>non vivant</t>
  </si>
  <si>
    <t>vivant</t>
  </si>
  <si>
    <t>nonviv.mot24.bmp</t>
  </si>
  <si>
    <t>nonviv.mot2.bmp</t>
  </si>
  <si>
    <t>viv.mot22.bmp</t>
  </si>
  <si>
    <t>viv.mot10.bmp</t>
  </si>
  <si>
    <t>nonviv.mot6.bmp</t>
  </si>
  <si>
    <t>viv.mot3.bmp</t>
  </si>
  <si>
    <t>nonviv.mot22.bmp</t>
  </si>
  <si>
    <t>nonviv.mot20.bmp</t>
  </si>
  <si>
    <t>viv.mot13.bmp</t>
  </si>
  <si>
    <t>viv.mot19.bmp</t>
  </si>
  <si>
    <t>nonviv.mot1.bmp</t>
  </si>
  <si>
    <t>viv.mot1.bmp</t>
  </si>
  <si>
    <t>viv.mot2.bmp</t>
  </si>
  <si>
    <t>nonviv.mot26.bmp</t>
  </si>
  <si>
    <t>viv.mot20.bmp</t>
  </si>
  <si>
    <t>nonviv.mot23.bmp</t>
  </si>
  <si>
    <t>nonviv.mot5.bmp</t>
  </si>
  <si>
    <t>viv.mot4.bmp</t>
  </si>
  <si>
    <t>viv.mot21.bmp</t>
  </si>
  <si>
    <t>nonviv.mot25.bmp</t>
  </si>
  <si>
    <t>viv.mot23.bmp</t>
  </si>
  <si>
    <t>nonviv.mot21.bmp</t>
  </si>
  <si>
    <t>nonviv.mot4.bmp</t>
  </si>
  <si>
    <t>viv.mot16.bmp</t>
  </si>
  <si>
    <t>viv.mot12.bmp</t>
  </si>
  <si>
    <t>nonviv.mot3.bmp</t>
  </si>
  <si>
    <t>date 25/02/2020</t>
  </si>
  <si>
    <t>nonviv25.bmp</t>
  </si>
  <si>
    <t>nonviv24.bmp</t>
  </si>
  <si>
    <t>nonviv21.bmp</t>
  </si>
  <si>
    <t>viv3.bmp</t>
  </si>
  <si>
    <t>nonviv20.bmp</t>
  </si>
  <si>
    <t>viv23.bmp</t>
  </si>
  <si>
    <t>viv1.bmp</t>
  </si>
  <si>
    <t>nonviv5.bmp</t>
  </si>
  <si>
    <t>nonviv26.bmp</t>
  </si>
  <si>
    <t>viv22.bmp</t>
  </si>
  <si>
    <t>viv10.bmp</t>
  </si>
  <si>
    <t>viv4.bmp</t>
  </si>
  <si>
    <t>viv19.bmp</t>
  </si>
  <si>
    <t>nonviv4.bmp</t>
  </si>
  <si>
    <t>nonviv23.bmp</t>
  </si>
  <si>
    <t>viv13.bmp</t>
  </si>
  <si>
    <t>viv20.bmp</t>
  </si>
  <si>
    <t>nonviv1.bmp</t>
  </si>
  <si>
    <t>viv16.bmp</t>
  </si>
  <si>
    <t>nonviv2.bmp</t>
  </si>
  <si>
    <t>viv2.bmp</t>
  </si>
  <si>
    <t>nonviv6.bmp</t>
  </si>
  <si>
    <t>nonviv3.bmp</t>
  </si>
  <si>
    <t>nonviv22.bmp</t>
  </si>
  <si>
    <t>viv21.bmp</t>
  </si>
  <si>
    <t>viv12.bmp</t>
  </si>
  <si>
    <t>Mot24v2.tif</t>
  </si>
  <si>
    <t>Mot17v2.tif</t>
  </si>
  <si>
    <t>Mot20v2.tif</t>
  </si>
  <si>
    <t>Mot25v2.tif</t>
  </si>
  <si>
    <t>Mot9v2.tif</t>
  </si>
  <si>
    <t>Mot3v2.tif</t>
  </si>
  <si>
    <t>Mot12v2.tif</t>
  </si>
  <si>
    <t>Mot16v2.tif</t>
  </si>
  <si>
    <t>Mot5v2.tif</t>
  </si>
  <si>
    <t>Mot7v2.tif</t>
  </si>
  <si>
    <t>Mot14v2.tif</t>
  </si>
  <si>
    <t>Mot10v2.tif</t>
  </si>
  <si>
    <t>Mot26v2.tif</t>
  </si>
  <si>
    <t>Mot23v2.tif</t>
  </si>
  <si>
    <t>Mot1v2.tif</t>
  </si>
  <si>
    <t>Mot21v2.tif</t>
  </si>
  <si>
    <t>Mot4v2.tif</t>
  </si>
  <si>
    <t>Mot19v2.tif</t>
  </si>
  <si>
    <t>Mot8v2.tif</t>
  </si>
  <si>
    <t>Mot18v2.tif</t>
  </si>
  <si>
    <t>Mot15v2.tif</t>
  </si>
  <si>
    <t>Mot6v2.tif</t>
  </si>
  <si>
    <t>Mot11v2.tif</t>
  </si>
  <si>
    <t>Mot13v2.tif</t>
  </si>
  <si>
    <t>Mot22v2.tif</t>
  </si>
  <si>
    <t>Mot2v2.tif</t>
  </si>
  <si>
    <t>Fig26v2.tif</t>
  </si>
  <si>
    <t>Fig3v2.tif</t>
  </si>
  <si>
    <t>Fig1v2.tif</t>
  </si>
  <si>
    <t>Fig12v2.tif</t>
  </si>
  <si>
    <t>Fig15v2.tif</t>
  </si>
  <si>
    <t>Fig10v2.tif</t>
  </si>
  <si>
    <t>Fig20v2.tif</t>
  </si>
  <si>
    <t>Fig24v2.tif</t>
  </si>
  <si>
    <t>Fig16v2.tif</t>
  </si>
  <si>
    <t>Fig25v2.tif</t>
  </si>
  <si>
    <t>Fig4v2.tif</t>
  </si>
  <si>
    <t>Fig17v2.tif</t>
  </si>
  <si>
    <t>Fig6v2.tif</t>
  </si>
  <si>
    <t>Fig5v2.tif</t>
  </si>
  <si>
    <t>Fig13v2.tif</t>
  </si>
  <si>
    <t>Fig7v2.tif</t>
  </si>
  <si>
    <t>Fig2v2.tif</t>
  </si>
  <si>
    <t>Fig22v2.tif</t>
  </si>
  <si>
    <t>Fig18v2.tif</t>
  </si>
  <si>
    <t>Fig23v2.tif</t>
  </si>
  <si>
    <t>Fig21v2.tif</t>
  </si>
  <si>
    <t>Fig19v2.tif</t>
  </si>
  <si>
    <t>Fig14v2.tif</t>
  </si>
  <si>
    <t>Fig11v2.tif</t>
  </si>
  <si>
    <t>Fig9v2.tif</t>
  </si>
  <si>
    <t>Fig8v2.tif</t>
  </si>
  <si>
    <t>manmade</t>
  </si>
  <si>
    <t>église</t>
  </si>
  <si>
    <t>microscope</t>
  </si>
  <si>
    <t>hélice</t>
  </si>
  <si>
    <t>puits</t>
  </si>
  <si>
    <t>cor</t>
  </si>
  <si>
    <t>fouet</t>
  </si>
  <si>
    <t>living</t>
  </si>
  <si>
    <t>koala</t>
  </si>
  <si>
    <t>spatule</t>
  </si>
  <si>
    <t>chèvre</t>
  </si>
  <si>
    <t>léopard</t>
  </si>
  <si>
    <t>panda</t>
  </si>
  <si>
    <t xml:space="preserve">limace </t>
  </si>
  <si>
    <t>coq</t>
  </si>
  <si>
    <t>sauterelle</t>
  </si>
  <si>
    <t>rhinocéros</t>
  </si>
  <si>
    <t>seringue</t>
  </si>
  <si>
    <t>hyène</t>
  </si>
  <si>
    <t>sifflet</t>
  </si>
  <si>
    <t>méduse</t>
  </si>
  <si>
    <t>lime</t>
  </si>
  <si>
    <t xml:space="preserve">moustique </t>
  </si>
  <si>
    <t>pichet</t>
  </si>
  <si>
    <t>kangourou</t>
  </si>
  <si>
    <t>igloo</t>
  </si>
  <si>
    <t>toucan</t>
  </si>
  <si>
    <t xml:space="preserve">taupe </t>
  </si>
  <si>
    <t>chaîne</t>
  </si>
  <si>
    <t>tortue</t>
  </si>
  <si>
    <t>mouche</t>
  </si>
  <si>
    <t>stéthoscope</t>
  </si>
  <si>
    <t>tambourin</t>
  </si>
  <si>
    <t>saxophone</t>
  </si>
  <si>
    <t>poêle</t>
  </si>
  <si>
    <t xml:space="preserve">poussin </t>
  </si>
  <si>
    <t xml:space="preserve">oie </t>
  </si>
  <si>
    <t>télescope</t>
  </si>
  <si>
    <t xml:space="preserve">pigeon </t>
  </si>
  <si>
    <t>tondeuse</t>
  </si>
  <si>
    <t>toupie</t>
  </si>
  <si>
    <t>autruche</t>
  </si>
  <si>
    <t>Fernandel</t>
  </si>
  <si>
    <t>Michel Drucker</t>
  </si>
  <si>
    <t>Danièle Gilbert</t>
  </si>
  <si>
    <t>PPDA</t>
  </si>
  <si>
    <t>Brigitte Bardot</t>
  </si>
  <si>
    <t>Serge Gainsbourg</t>
  </si>
  <si>
    <t>Sean Connery</t>
  </si>
  <si>
    <t>Johnny Halliday</t>
  </si>
  <si>
    <t>Daniel Auteuil</t>
  </si>
  <si>
    <t>Georges Brassens</t>
  </si>
  <si>
    <t>Thierry Lhermitte</t>
  </si>
  <si>
    <t>Jeanne Moreau</t>
  </si>
  <si>
    <t>Arlette Laguiller</t>
  </si>
  <si>
    <t xml:space="preserve">Catherine Deneuve </t>
  </si>
  <si>
    <t>Acteur</t>
  </si>
  <si>
    <t>Présentateur TV</t>
  </si>
  <si>
    <t>Présentatrice TV</t>
  </si>
  <si>
    <t>Presentateur TV</t>
  </si>
  <si>
    <t>Actrice</t>
  </si>
  <si>
    <t>Chanteur</t>
  </si>
  <si>
    <t>Politique</t>
  </si>
  <si>
    <t>Nom</t>
  </si>
  <si>
    <t>Condition target</t>
  </si>
  <si>
    <t>Post 1</t>
  </si>
  <si>
    <t>Post 2</t>
  </si>
  <si>
    <t>Post 3</t>
  </si>
  <si>
    <t>Post - 1</t>
  </si>
  <si>
    <t>Post - 2</t>
  </si>
  <si>
    <t>Exe verb</t>
  </si>
  <si>
    <t>Post-2</t>
  </si>
  <si>
    <t>Post-1</t>
  </si>
  <si>
    <t>Post -1</t>
  </si>
  <si>
    <t>Post -2</t>
  </si>
  <si>
    <t>FLUENCE litérale</t>
  </si>
  <si>
    <t>Post- 1</t>
  </si>
  <si>
    <t>Post- 2</t>
  </si>
  <si>
    <t xml:space="preserve"> R après coup</t>
  </si>
  <si>
    <r>
      <t>Score  :</t>
    </r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/40</t>
    </r>
  </si>
  <si>
    <t>Score 36/40</t>
  </si>
  <si>
    <t>Score prof  10/14</t>
  </si>
  <si>
    <t>Choux fleur</t>
  </si>
  <si>
    <t>Pomme de terre</t>
  </si>
  <si>
    <t>Oignons</t>
  </si>
  <si>
    <t>Courgettes</t>
  </si>
  <si>
    <t>Score 4</t>
  </si>
  <si>
    <t>Cafe</t>
  </si>
  <si>
    <t>Cerise</t>
  </si>
  <si>
    <t>Calcaire</t>
  </si>
  <si>
    <t>Chocolat</t>
  </si>
  <si>
    <t>Clique</t>
  </si>
  <si>
    <t>Crème</t>
  </si>
  <si>
    <t>Cote</t>
  </si>
  <si>
    <t>Score 7</t>
  </si>
  <si>
    <t>Un helicoptere</t>
  </si>
  <si>
    <t>Ca c'est un… c'est sous la mer</t>
  </si>
  <si>
    <t>Un zebre</t>
  </si>
  <si>
    <t>La c'est une tortue</t>
  </si>
  <si>
    <t>Ca c'est un petit animal aussi, plus petit que la tortue… c'est un…</t>
  </si>
  <si>
    <t>Ca c'est pour l'hver, sous la neige, je sais plus comment ca s'appelle non plus</t>
  </si>
  <si>
    <t>Une fourchette</t>
  </si>
  <si>
    <t>Des….</t>
  </si>
  <si>
    <t>Une guitare</t>
  </si>
  <si>
    <t>Reecouter</t>
  </si>
  <si>
    <t>C'est … un serpent</t>
  </si>
  <si>
    <t>Un petit chat, un chat</t>
  </si>
  <si>
    <t>Un papi.. Un papillon</t>
  </si>
  <si>
    <t>Un petit animal…</t>
  </si>
  <si>
    <t>La c'est un lion</t>
  </si>
  <si>
    <t>Une lampe, une ampoule</t>
  </si>
  <si>
    <t>Euh, un livre</t>
  </si>
  <si>
    <t>Un ananas</t>
  </si>
  <si>
    <t>Euh, ca c'est euuh, c'est pas un petit arbre mais ca ressemble un peu a ca</t>
  </si>
  <si>
    <t>Un elephant</t>
  </si>
  <si>
    <t>Un marteau</t>
  </si>
  <si>
    <t>Euh, ca c'est pour faire la difference entre le poids</t>
  </si>
  <si>
    <t>La c'est un petit poisson</t>
  </si>
  <si>
    <t>Un piano</t>
  </si>
  <si>
    <t>du raisin</t>
  </si>
  <si>
    <t>Euh une fleur</t>
  </si>
  <si>
    <t>Un cadenas</t>
  </si>
  <si>
    <t>Une poubelle</t>
  </si>
  <si>
    <t>Euh.. C'est un petit legume ca..</t>
  </si>
  <si>
    <t>La c'est une scie</t>
  </si>
  <si>
    <t>Euh c'est des petits animaux..</t>
  </si>
  <si>
    <t xml:space="preserve">La c'est un.. Un telephone, ancien </t>
  </si>
  <si>
    <t>Euh.. Ca c'est des petits animaux tres rare, je sais plus le nom</t>
  </si>
  <si>
    <t>La c'est une cloche</t>
  </si>
  <si>
    <t>La c'est un thermo.. Thermometre</t>
  </si>
  <si>
    <t xml:space="preserve">Euh, la c'est pour voir avec les yeux.. Quelque chose au'on veut voir plus pres </t>
  </si>
  <si>
    <t>Euh la c'est e.. Un ecureuil</t>
  </si>
  <si>
    <t>Ca c'est un .. Un lii..</t>
  </si>
  <si>
    <t>Score  :  25/40</t>
  </si>
  <si>
    <t>Il passait a la tele, peut etre sur TF1...</t>
  </si>
  <si>
    <t>Score rec 2/14</t>
  </si>
  <si>
    <t>HELICOPT.bmp</t>
  </si>
  <si>
    <t>DOLPHIN.bmp</t>
  </si>
  <si>
    <t>ZEBRA.bmp</t>
  </si>
  <si>
    <t>ARROW.bmp</t>
  </si>
  <si>
    <t>TURTLE.bmp</t>
  </si>
  <si>
    <t>SNAIL.bmp</t>
  </si>
  <si>
    <t>IGLOO.bmp</t>
  </si>
  <si>
    <t>FORK.bmp</t>
  </si>
  <si>
    <t>GLASSES.bmp</t>
  </si>
  <si>
    <t>GUITAR.bmp</t>
  </si>
  <si>
    <t>SYRINGE.bmp</t>
  </si>
  <si>
    <t>SNAKE.bmp</t>
  </si>
  <si>
    <t>CAT.bmp</t>
  </si>
  <si>
    <t>BUTTERFL.bmp</t>
  </si>
  <si>
    <t>SPIDER.bmp</t>
  </si>
  <si>
    <t>WINDMILL.bmp</t>
  </si>
  <si>
    <t>LION.bmp</t>
  </si>
  <si>
    <t>LIGHTBUL.bmp</t>
  </si>
  <si>
    <t>BOOK.bmp</t>
  </si>
  <si>
    <t>PINEAPPL.bmp</t>
  </si>
  <si>
    <t>CACTUS.bmp</t>
  </si>
  <si>
    <t>ELEPHANT.bmp</t>
  </si>
  <si>
    <t>HAMMER.bmp</t>
  </si>
  <si>
    <t>SCALE.bmp</t>
  </si>
  <si>
    <t>FISH.bmp</t>
  </si>
  <si>
    <t>PIANO.bmp</t>
  </si>
  <si>
    <t>GRAPES.bmp</t>
  </si>
  <si>
    <t>FLOWER.bmp</t>
  </si>
  <si>
    <t>LOCK.bmp</t>
  </si>
  <si>
    <t>GARBAGEC.bmp</t>
  </si>
  <si>
    <t>ARTICHOK.bmp</t>
  </si>
  <si>
    <t>SAW.bmp</t>
  </si>
  <si>
    <t>KOALA.bmp</t>
  </si>
  <si>
    <t>TELEPHON.bmp</t>
  </si>
  <si>
    <t>PANDA.bmp</t>
  </si>
  <si>
    <t>BELL.bmp</t>
  </si>
  <si>
    <t>THERMOME.bmp</t>
  </si>
  <si>
    <t>MICROSCO.bmp</t>
  </si>
  <si>
    <t>SQUIRREL.bmp</t>
  </si>
  <si>
    <t>PENGUIN.bmp</t>
  </si>
  <si>
    <t>non living</t>
  </si>
  <si>
    <t>irregulier</t>
  </si>
  <si>
    <t>faisan</t>
  </si>
  <si>
    <t>regulier</t>
  </si>
  <si>
    <t>manioc</t>
  </si>
  <si>
    <t>mythe</t>
  </si>
  <si>
    <t>non mot</t>
  </si>
  <si>
    <t>sagon</t>
  </si>
  <si>
    <t>vapou</t>
  </si>
  <si>
    <t>aric</t>
  </si>
  <si>
    <t>amachile</t>
  </si>
  <si>
    <t>square</t>
  </si>
  <si>
    <t>galop</t>
  </si>
  <si>
    <t>reliquat</t>
  </si>
  <si>
    <t>paltice</t>
  </si>
  <si>
    <t>service</t>
  </si>
  <si>
    <t>sédiment</t>
  </si>
  <si>
    <t>oignon</t>
  </si>
  <si>
    <t>clef</t>
  </si>
  <si>
    <t>pintatine</t>
  </si>
  <si>
    <t>orchidée</t>
  </si>
  <si>
    <t>sculpture</t>
  </si>
  <si>
    <t>lichen</t>
  </si>
  <si>
    <t>covric</t>
  </si>
  <si>
    <t>réflexion</t>
  </si>
  <si>
    <t>flanc</t>
  </si>
  <si>
    <t>volupté</t>
  </si>
  <si>
    <t>lecture</t>
  </si>
  <si>
    <t>tonguelle</t>
  </si>
  <si>
    <t>oisillon</t>
  </si>
  <si>
    <t>porche</t>
  </si>
  <si>
    <t>légume</t>
  </si>
  <si>
    <t>instinct</t>
  </si>
  <si>
    <t>dolcon</t>
  </si>
  <si>
    <t>bec</t>
  </si>
  <si>
    <t>laitue</t>
  </si>
  <si>
    <t>géranium</t>
  </si>
  <si>
    <t>équation</t>
  </si>
  <si>
    <t>pouliche</t>
  </si>
  <si>
    <t>vakou</t>
  </si>
  <si>
    <t>marecte</t>
  </si>
  <si>
    <t>tabac</t>
  </si>
  <si>
    <t>koumilié</t>
  </si>
  <si>
    <t>pougo</t>
  </si>
  <si>
    <t>locrume</t>
  </si>
  <si>
    <t>estomac</t>
  </si>
  <si>
    <t>ciel</t>
  </si>
  <si>
    <t>colume</t>
  </si>
  <si>
    <t>chlore</t>
  </si>
  <si>
    <t>galope</t>
  </si>
  <si>
    <t>ch</t>
  </si>
  <si>
    <t>osignon, osillon</t>
  </si>
  <si>
    <t>date 16/03/2020</t>
  </si>
  <si>
    <t>pomme de terre</t>
  </si>
  <si>
    <t>courgette</t>
  </si>
  <si>
    <t>tomate</t>
  </si>
  <si>
    <t>poirreau</t>
  </si>
  <si>
    <t>carotte</t>
  </si>
  <si>
    <t>Score 5</t>
  </si>
  <si>
    <t>coté</t>
  </si>
  <si>
    <t>clos</t>
  </si>
  <si>
    <t>chaussette</t>
  </si>
  <si>
    <t>clé</t>
  </si>
  <si>
    <t>cygoge</t>
  </si>
  <si>
    <t>chaussure</t>
  </si>
  <si>
    <t>Score 8</t>
  </si>
  <si>
    <t>Ca c'est pas un mouton mais ca a un nom spécial ca … je sais plus</t>
  </si>
  <si>
    <t>Une lampe</t>
  </si>
  <si>
    <t>Un chèvre ??</t>
  </si>
  <si>
    <t>C'est un poisson…</t>
  </si>
  <si>
    <t>Un thermomètre</t>
  </si>
  <si>
    <t>Un lion</t>
  </si>
  <si>
    <t>Une scie</t>
  </si>
  <si>
    <t>Des lunettes</t>
  </si>
  <si>
    <t>Une flèche</t>
  </si>
  <si>
    <t>Du raisin</t>
  </si>
  <si>
    <t>Un poisson</t>
  </si>
  <si>
    <t>Un hélicoptère</t>
  </si>
  <si>
    <t>Un téléphone</t>
  </si>
  <si>
    <t>C'est un ananas</t>
  </si>
  <si>
    <t>Un chat</t>
  </si>
  <si>
    <t>Ca doit être un truc pour vérifier avec les yeux…</t>
  </si>
  <si>
    <t>C'est pas un arbre mais c'est …</t>
  </si>
  <si>
    <t>C'est pas du raisin…</t>
  </si>
  <si>
    <t>Un pin..pinsss..</t>
  </si>
  <si>
    <t>Un escargot</t>
  </si>
  <si>
    <t>Pour taper.. Un marteau</t>
  </si>
  <si>
    <t>Une petite fleur</t>
  </si>
  <si>
    <t>C'est pour l'hiver pour se cacher..</t>
  </si>
  <si>
    <t>Une cloche</t>
  </si>
  <si>
    <t>Un papillon</t>
  </si>
  <si>
    <t xml:space="preserve">C'est pour le médecin ca </t>
  </si>
  <si>
    <t>Un livre</t>
  </si>
  <si>
    <t>Un serpent</t>
  </si>
  <si>
    <t>Un élephant</t>
  </si>
  <si>
    <t xml:space="preserve">Ca c'est un … ecureuil </t>
  </si>
  <si>
    <r>
      <t>Score  :</t>
    </r>
    <r>
      <rPr>
        <b/>
        <sz val="12"/>
        <color rgb="FFFF0000"/>
        <rFont val="Calibri"/>
        <family val="2"/>
        <scheme val="minor"/>
      </rPr>
      <t xml:space="preserve"> 26</t>
    </r>
    <r>
      <rPr>
        <b/>
        <sz val="12"/>
        <color theme="1"/>
        <rFont val="Calibri"/>
        <family val="2"/>
        <scheme val="minor"/>
      </rPr>
      <t>/40</t>
    </r>
  </si>
  <si>
    <t>Score prof  11/14</t>
  </si>
  <si>
    <t>date 26/03/2020</t>
  </si>
  <si>
    <t>Score prof  9/14</t>
  </si>
  <si>
    <t>41/45</t>
  </si>
  <si>
    <r>
      <t>Score  :</t>
    </r>
    <r>
      <rPr>
        <b/>
        <sz val="12"/>
        <color rgb="FFFF0000"/>
        <rFont val="Calibri"/>
        <family val="2"/>
        <scheme val="minor"/>
      </rPr>
      <t xml:space="preserve"> 21</t>
    </r>
    <r>
      <rPr>
        <b/>
        <sz val="12"/>
        <color theme="1"/>
        <rFont val="Calibri"/>
        <family val="2"/>
        <scheme val="minor"/>
      </rPr>
      <t>/40</t>
    </r>
  </si>
  <si>
    <t>Score 37/40</t>
  </si>
  <si>
    <t>Score 3</t>
  </si>
  <si>
    <t>25/26</t>
  </si>
  <si>
    <t>26/26</t>
  </si>
  <si>
    <t>22/26</t>
  </si>
  <si>
    <t>13/26</t>
  </si>
  <si>
    <t>viv.mot26.bmp</t>
  </si>
  <si>
    <t>nonviv.mot9.bmp</t>
  </si>
  <si>
    <t>nonviv.mot10.bmp</t>
  </si>
  <si>
    <t>nonviv.mot12.bmp</t>
  </si>
  <si>
    <t>nonviv.mot13.bmp</t>
  </si>
  <si>
    <t>viv.mot8.bmp</t>
  </si>
  <si>
    <t>nonviv.mot14.bmp</t>
  </si>
  <si>
    <t>nonviv.mot16.bmp</t>
  </si>
  <si>
    <t>nonviv.mot18.bmp</t>
  </si>
  <si>
    <t>nonviv.mot19.bmp</t>
  </si>
  <si>
    <t>viv.mot5.bmp</t>
  </si>
  <si>
    <t>viv.mot7.bmp</t>
  </si>
  <si>
    <t>viv.mot9.bmp</t>
  </si>
  <si>
    <t>nonviv.mot8.bmp</t>
  </si>
  <si>
    <t>viv.mot11.bmp</t>
  </si>
  <si>
    <t>nonviv.mot11.bmp</t>
  </si>
  <si>
    <t>viv.mot14.bmp</t>
  </si>
  <si>
    <t>viv.mot15.bmp</t>
  </si>
  <si>
    <t>viv.mot17.bmp</t>
  </si>
  <si>
    <t>viv.mot18.bmp</t>
  </si>
  <si>
    <t>nonviv.mot15.bmp</t>
  </si>
  <si>
    <t>viv.mot24.bmp</t>
  </si>
  <si>
    <t>viv.mot25.bmp</t>
  </si>
  <si>
    <t>nonviv.mot17.bmp</t>
  </si>
  <si>
    <t>nonviv.mot7.bmp</t>
  </si>
  <si>
    <t>viv15.bmp</t>
  </si>
  <si>
    <t>nonviv8.bmp</t>
  </si>
  <si>
    <t>nonviv9.bmp</t>
  </si>
  <si>
    <t>viv18.bmp</t>
  </si>
  <si>
    <t>nonviv11.bmp</t>
  </si>
  <si>
    <t>viv26.bmp</t>
  </si>
  <si>
    <t>nonviv14.bmp</t>
  </si>
  <si>
    <t>nonviv15.bmp</t>
  </si>
  <si>
    <t>nonviv16.bmp</t>
  </si>
  <si>
    <t>nonviv17.bmp</t>
  </si>
  <si>
    <t>nonviv18.bmp</t>
  </si>
  <si>
    <t>viv5.bmp</t>
  </si>
  <si>
    <t>nonviv19.bmp</t>
  </si>
  <si>
    <t>viv6.bmp</t>
  </si>
  <si>
    <t>viv7.bmp</t>
  </si>
  <si>
    <t>viv8.bmp</t>
  </si>
  <si>
    <t>nonviv7.bmp</t>
  </si>
  <si>
    <t>viv9.bmp</t>
  </si>
  <si>
    <t>viv11.bmp</t>
  </si>
  <si>
    <t>viv14.bmp</t>
  </si>
  <si>
    <t>nonviv12.bmp</t>
  </si>
  <si>
    <t>viv17.bmp</t>
  </si>
  <si>
    <t>viv24.bmp</t>
  </si>
  <si>
    <t>nonviv10.bmp</t>
  </si>
  <si>
    <t>viv25.bmp</t>
  </si>
  <si>
    <t>nonviv13.bmp</t>
  </si>
  <si>
    <t>Mot20v1.tif</t>
  </si>
  <si>
    <t>Mot23v1.tif</t>
  </si>
  <si>
    <t>Mot3v1.tif</t>
  </si>
  <si>
    <t>Mot4v1.tif</t>
  </si>
  <si>
    <t>Mot5v1.tif</t>
  </si>
  <si>
    <t>Mot7v1.tif</t>
  </si>
  <si>
    <t>Mot13v1.tif</t>
  </si>
  <si>
    <t>Mot8v1.tif</t>
  </si>
  <si>
    <t>Mot22v1.tif</t>
  </si>
  <si>
    <t>Mot9v1.tif</t>
  </si>
  <si>
    <t>Mot10v1.tif</t>
  </si>
  <si>
    <t>Mot11v1.tif</t>
  </si>
  <si>
    <t>Mot2v1.tif</t>
  </si>
  <si>
    <t>Mot12v1.tif</t>
  </si>
  <si>
    <t>Mot14v1.tif</t>
  </si>
  <si>
    <t>Mot16v1.tif</t>
  </si>
  <si>
    <t>Mot17v1.tif</t>
  </si>
  <si>
    <t>Mot18v1.tif</t>
  </si>
  <si>
    <t>Mot19v1.tif</t>
  </si>
  <si>
    <t>Mot15v1.tif</t>
  </si>
  <si>
    <t>Mot21v1.tif</t>
  </si>
  <si>
    <t>Mot24v1.tif</t>
  </si>
  <si>
    <t>Mot1v1.tif</t>
  </si>
  <si>
    <t>Mot25v1.tif</t>
  </si>
  <si>
    <t>Mot26v1.tif</t>
  </si>
  <si>
    <t>Mot6v1.tif</t>
  </si>
  <si>
    <t>Fig1v1.tif</t>
  </si>
  <si>
    <t>Fig2v1.tif</t>
  </si>
  <si>
    <t>Fig3v1.tif</t>
  </si>
  <si>
    <t>Fig4v1.tif</t>
  </si>
  <si>
    <t>Fig5v1.tif</t>
  </si>
  <si>
    <t>Fig6v1.tif</t>
  </si>
  <si>
    <t>Fig7v1.tif</t>
  </si>
  <si>
    <t>Fig8v1.tif</t>
  </si>
  <si>
    <t>Fig9v1.tif</t>
  </si>
  <si>
    <t>Fig10v1.tif</t>
  </si>
  <si>
    <t>Fig11v1.tif</t>
  </si>
  <si>
    <t>Fig12v1.tif</t>
  </si>
  <si>
    <t>Fig13v1.tif</t>
  </si>
  <si>
    <t>Fig14v1.tif</t>
  </si>
  <si>
    <t>Fig15v1.tif</t>
  </si>
  <si>
    <t>Fig16v1.tif</t>
  </si>
  <si>
    <t>Fig17v1.tif</t>
  </si>
  <si>
    <t>Fig18v1.tif</t>
  </si>
  <si>
    <t>Fig19v1.tif</t>
  </si>
  <si>
    <t>Fig20v1.tif</t>
  </si>
  <si>
    <t>Fig21v1.tif</t>
  </si>
  <si>
    <t>Fig22v1.tif</t>
  </si>
  <si>
    <t>Fig23v1.tif</t>
  </si>
  <si>
    <t>Fig24v1.tif</t>
  </si>
  <si>
    <t>Fig25v1.tif</t>
  </si>
  <si>
    <t>Fig26v1.tif</t>
  </si>
  <si>
    <t xml:space="preserve">crevette </t>
  </si>
  <si>
    <t>balançoire</t>
  </si>
  <si>
    <t>bassine</t>
  </si>
  <si>
    <t xml:space="preserve">huître </t>
  </si>
  <si>
    <t>bouilloire</t>
  </si>
  <si>
    <t>parachute</t>
  </si>
  <si>
    <t>poisson</t>
  </si>
  <si>
    <t>cloche</t>
  </si>
  <si>
    <t>compas</t>
  </si>
  <si>
    <t>cymbales</t>
  </si>
  <si>
    <t>landau</t>
  </si>
  <si>
    <t>buffle</t>
  </si>
  <si>
    <t>enclume</t>
  </si>
  <si>
    <t>hippopotame</t>
  </si>
  <si>
    <t>entonnoir</t>
  </si>
  <si>
    <t>éventail</t>
  </si>
  <si>
    <t>luge</t>
  </si>
  <si>
    <t>fourchette</t>
  </si>
  <si>
    <t>hamac</t>
  </si>
  <si>
    <t>agneau</t>
  </si>
  <si>
    <t xml:space="preserve">lionceau </t>
  </si>
  <si>
    <t>baleine</t>
  </si>
  <si>
    <t>blatte</t>
  </si>
  <si>
    <t>boussole</t>
  </si>
  <si>
    <t>cerf</t>
  </si>
  <si>
    <t>fourmilier</t>
  </si>
  <si>
    <t xml:space="preserve">colombe </t>
  </si>
  <si>
    <t>paon</t>
  </si>
  <si>
    <t>cygne</t>
  </si>
  <si>
    <t>barbecue</t>
  </si>
  <si>
    <t>dauphin</t>
  </si>
  <si>
    <t>flèche</t>
  </si>
  <si>
    <t>élan</t>
  </si>
  <si>
    <t>éléphant</t>
  </si>
  <si>
    <t>grenouille</t>
  </si>
  <si>
    <t>ballon</t>
  </si>
  <si>
    <t xml:space="preserve">hérisson </t>
  </si>
  <si>
    <t>accordéon</t>
  </si>
  <si>
    <t>bocal</t>
  </si>
  <si>
    <t>ANCHOR</t>
  </si>
  <si>
    <t>APPLE.bmp</t>
  </si>
  <si>
    <t>AXE.bmp</t>
  </si>
  <si>
    <t>BEAR.bmp</t>
  </si>
  <si>
    <t>BINOCULA.bmp</t>
  </si>
  <si>
    <t>BROOM.bmp</t>
  </si>
  <si>
    <t>BRUSH.bmp</t>
  </si>
  <si>
    <t>CANDLE.bmp</t>
  </si>
  <si>
    <t>CARROT.bmp</t>
  </si>
  <si>
    <t>CIGAR.bmp</t>
  </si>
  <si>
    <t>CRAB.bmp</t>
  </si>
  <si>
    <t>CROWN.bmp</t>
  </si>
  <si>
    <t>DEER.bmp</t>
  </si>
  <si>
    <t>FAUCET.bmp</t>
  </si>
  <si>
    <t>GIRAFFE.bmp</t>
  </si>
  <si>
    <t>GLASS.bmp</t>
  </si>
  <si>
    <t>HANGER.bmp</t>
  </si>
  <si>
    <t>HARP.bmp</t>
  </si>
  <si>
    <t>HIPPOPOT.bmp</t>
  </si>
  <si>
    <t>HORSE.bmp</t>
  </si>
  <si>
    <t>KANGAROO.bmp</t>
  </si>
  <si>
    <t>MOTORCYC.bmp</t>
  </si>
  <si>
    <t>MUSHROOM.bmp</t>
  </si>
  <si>
    <t>OSTRICH.bmp</t>
  </si>
  <si>
    <t>PANTS.bmp</t>
  </si>
  <si>
    <t>PEANUT.bmp</t>
  </si>
  <si>
    <t>PEAR.bmp</t>
  </si>
  <si>
    <t>PIPE.bmp</t>
  </si>
  <si>
    <t>PYRAMID.bmp</t>
  </si>
  <si>
    <t>RABBIT.bmp</t>
  </si>
  <si>
    <t>RHINOCER.bmp</t>
  </si>
  <si>
    <t>SCORPION.bmp</t>
  </si>
  <si>
    <t>SHARK.bmp</t>
  </si>
  <si>
    <t>SWAN.bmp</t>
  </si>
  <si>
    <t>SWING.bmp</t>
  </si>
  <si>
    <t>TABLE.bmp</t>
  </si>
  <si>
    <t>TIGER.bmp</t>
  </si>
  <si>
    <t>VIOLIN.bmp</t>
  </si>
  <si>
    <t>WHALE.bmp</t>
  </si>
  <si>
    <t>WHISTLE.bmp</t>
  </si>
  <si>
    <t>spune</t>
  </si>
  <si>
    <t>quartz</t>
  </si>
  <si>
    <t>coualte</t>
  </si>
  <si>
    <t>arkiton</t>
  </si>
  <si>
    <t>languette</t>
  </si>
  <si>
    <t>bitume</t>
  </si>
  <si>
    <t>chêne</t>
  </si>
  <si>
    <t>consul</t>
  </si>
  <si>
    <t>contact</t>
  </si>
  <si>
    <t>emmenthal</t>
  </si>
  <si>
    <t>couguar</t>
  </si>
  <si>
    <t>wagon</t>
  </si>
  <si>
    <t>dompteur</t>
  </si>
  <si>
    <t>noumiste</t>
  </si>
  <si>
    <t>kiosque</t>
  </si>
  <si>
    <t>monsieur</t>
  </si>
  <si>
    <t>choeur</t>
  </si>
  <si>
    <t>pentagone</t>
  </si>
  <si>
    <t>pied</t>
  </si>
  <si>
    <t>houle</t>
  </si>
  <si>
    <t>pouls</t>
  </si>
  <si>
    <t>figoir</t>
  </si>
  <si>
    <t>respect</t>
  </si>
  <si>
    <t>balcon</t>
  </si>
  <si>
    <t>tronc</t>
  </si>
  <si>
    <t>iguane</t>
  </si>
  <si>
    <t>charisme</t>
  </si>
  <si>
    <t>jaguar</t>
  </si>
  <si>
    <t>izome</t>
  </si>
  <si>
    <t>pendentif</t>
  </si>
  <si>
    <t>astrigon</t>
  </si>
  <si>
    <t>crofilu</t>
  </si>
  <si>
    <t>outil</t>
  </si>
  <si>
    <t>mirsane</t>
  </si>
  <si>
    <t>vatreuil</t>
  </si>
  <si>
    <t>répoune</t>
  </si>
  <si>
    <t>ochisse</t>
  </si>
  <si>
    <t>caspau</t>
  </si>
  <si>
    <t>saoul</t>
  </si>
  <si>
    <t>ubron</t>
  </si>
  <si>
    <t>chapelure</t>
  </si>
  <si>
    <t>achupe</t>
  </si>
  <si>
    <t>bloc</t>
  </si>
  <si>
    <t>Jacques Chirac</t>
  </si>
  <si>
    <t>Sylvie Vartan</t>
  </si>
  <si>
    <t>Charles Aznavour</t>
  </si>
  <si>
    <t>Gérard Depardieu</t>
  </si>
  <si>
    <t>Bourvil</t>
  </si>
  <si>
    <t>Juliette Greco</t>
  </si>
  <si>
    <t>Yves Montand</t>
  </si>
  <si>
    <t>Edouard Balladur</t>
  </si>
  <si>
    <t>Romy Schneider</t>
  </si>
  <si>
    <t>Pascal Sevran</t>
  </si>
  <si>
    <t>Miou Miou</t>
  </si>
  <si>
    <t>Pierre Richard</t>
  </si>
  <si>
    <t>Jean Pierre Foulcault</t>
  </si>
  <si>
    <t>Renaud</t>
  </si>
  <si>
    <t>skype</t>
  </si>
  <si>
    <t>pour bateau</t>
  </si>
  <si>
    <t>pour regarder de loin</t>
  </si>
  <si>
    <t>pour fumer</t>
  </si>
  <si>
    <t>pour manger</t>
  </si>
  <si>
    <t>animal</t>
  </si>
  <si>
    <t>pour faire de la musique</t>
  </si>
  <si>
    <t>porte-manteau</t>
  </si>
  <si>
    <t>vit en Australie</t>
  </si>
  <si>
    <t>petit fruit</t>
  </si>
  <si>
    <t>de l'Egypte</t>
  </si>
  <si>
    <t>fourmie</t>
  </si>
  <si>
    <t>pas lion</t>
  </si>
  <si>
    <t>guitare</t>
  </si>
  <si>
    <t>pour les policiers pour siffler</t>
  </si>
  <si>
    <t xml:space="preserve">API </t>
  </si>
  <si>
    <t>ʃœʁ</t>
  </si>
  <si>
    <t>pul</t>
  </si>
  <si>
    <t>ʃaʁism</t>
  </si>
  <si>
    <t>ɔkis</t>
  </si>
  <si>
    <t>condtarget</t>
  </si>
  <si>
    <t>target</t>
  </si>
  <si>
    <t>viv.mot6.bmp</t>
  </si>
  <si>
    <t>RT</t>
  </si>
  <si>
    <t>ImageDisplay2.RT 2</t>
  </si>
  <si>
    <t xml:space="preserve">Lors du test V1, l'ordi s'est éteint. Le patient a refait le test. Or, </t>
  </si>
  <si>
    <t>pour éviter l'effet re-test, la V2 a été proposée et retenue pour ce bilan.</t>
  </si>
  <si>
    <t xml:space="preserve">La performance dans les deux version est la même cependant pour la V1 </t>
  </si>
  <si>
    <t xml:space="preserve">faite pour la deuxième fois le patient fut plus rapide. </t>
  </si>
  <si>
    <t>score 23/26</t>
  </si>
  <si>
    <t>rose</t>
  </si>
  <si>
    <t>muguet</t>
  </si>
  <si>
    <t>paquerette</t>
  </si>
  <si>
    <t>patates</t>
  </si>
  <si>
    <t>papier</t>
  </si>
  <si>
    <t>pellin</t>
  </si>
  <si>
    <t>poule</t>
  </si>
  <si>
    <t>poli</t>
  </si>
  <si>
    <t>pouce</t>
  </si>
  <si>
    <t>plus</t>
  </si>
  <si>
    <t>poupon</t>
  </si>
  <si>
    <t>porte</t>
  </si>
  <si>
    <t>place</t>
  </si>
  <si>
    <t>pantalon</t>
  </si>
  <si>
    <t>pyramide</t>
  </si>
  <si>
    <t>hippocampe</t>
  </si>
  <si>
    <t>Post- 2 (bis)</t>
  </si>
  <si>
    <t>Post 2 (bis)</t>
  </si>
  <si>
    <t>ANCHOR.bmp</t>
  </si>
  <si>
    <t xml:space="preserve">score </t>
  </si>
  <si>
    <t>API</t>
  </si>
  <si>
    <t>date 20 mai 2020</t>
  </si>
  <si>
    <t>Name</t>
  </si>
  <si>
    <t>la c'est une euh ma femme en mange ça c'est ….il</t>
  </si>
  <si>
    <t>Là c'est l'Egypte c'est une euh une...</t>
  </si>
  <si>
    <t>là c'est une cigarette</t>
  </si>
  <si>
    <t>là c'est pour voir les photos et tout cela, euh comment s'appelle ça</t>
  </si>
  <si>
    <t>là c'est une euh, c'est un animal dangeureux un… un tigre</t>
  </si>
  <si>
    <t>là c'est un, c'est l'Australie c'est…</t>
  </si>
  <si>
    <t>là c'est une, un truc pour mettre les vêtement et tout ça c'est un</t>
  </si>
  <si>
    <t>ça c'est un c'est pas un c'est un hippopotame</t>
  </si>
  <si>
    <t>c'est une crevette</t>
  </si>
  <si>
    <t xml:space="preserve">ça c'est encore un animal dangeureux c'est peut être ça un hoppopotame </t>
  </si>
  <si>
    <t>là c'est un truc pour souffler, un sufflet</t>
  </si>
  <si>
    <t>la c'est une…un truc pour … c'est pas un marteau mais c'est un petit peu la même chose</t>
  </si>
  <si>
    <t>là c'est un petit animal aussi c'est pas un cirque...</t>
  </si>
  <si>
    <t>là c'est pour le bateau c'est une euh pour empêcher qu'il s'en aille justement</t>
  </si>
  <si>
    <t>c'est un balançoire</t>
  </si>
  <si>
    <t>ça c'est une euh, pas la fumée, on l'alume c'est une bougie</t>
  </si>
  <si>
    <t>c'est un un petit poisson</t>
  </si>
  <si>
    <t>c'est une petit oiseau qui va sur l'eau aussi</t>
  </si>
  <si>
    <t>ça c'est ….</t>
  </si>
  <si>
    <t>ça c'est un poisson dangeureux</t>
  </si>
  <si>
    <t>c'est un animal aussi c'est un….</t>
  </si>
  <si>
    <t>sul</t>
  </si>
  <si>
    <r>
      <t>p</t>
    </r>
    <r>
      <rPr>
        <sz val="11"/>
        <color theme="1"/>
        <rFont val="Calibri"/>
        <family val="2"/>
      </rPr>
      <t>ᾰdagɔn</t>
    </r>
  </si>
  <si>
    <t xml:space="preserve">INC </t>
  </si>
  <si>
    <t>Post 2 skype</t>
  </si>
  <si>
    <t>Post 2 bis</t>
  </si>
  <si>
    <t>AS verb / 26</t>
  </si>
  <si>
    <t>AS visu / 26</t>
  </si>
  <si>
    <t xml:space="preserve">Post 2 skype </t>
  </si>
  <si>
    <t>AS verb  RT</t>
  </si>
  <si>
    <t>FLU Cat</t>
  </si>
  <si>
    <t>INC</t>
  </si>
  <si>
    <t>Post  2 bis</t>
  </si>
  <si>
    <t>FLU Litt.</t>
  </si>
  <si>
    <t>DC cat. / 40</t>
  </si>
  <si>
    <t>DC cat. RT</t>
  </si>
  <si>
    <t>Déno /40</t>
  </si>
  <si>
    <t>BIP /14</t>
  </si>
  <si>
    <t>myosotis</t>
  </si>
  <si>
    <t>pain</t>
  </si>
  <si>
    <t>pleine</t>
  </si>
  <si>
    <t>pic</t>
  </si>
  <si>
    <t>plan</t>
  </si>
  <si>
    <t>pluie</t>
  </si>
  <si>
    <t>pousson</t>
  </si>
  <si>
    <t>privé</t>
  </si>
  <si>
    <t>AS visu RT</t>
  </si>
  <si>
    <t>EXE visu RT</t>
  </si>
  <si>
    <t>patatin</t>
  </si>
  <si>
    <r>
      <t>gal</t>
    </r>
    <r>
      <rPr>
        <sz val="11"/>
        <color theme="1"/>
        <rFont val="Calibri"/>
        <family val="2"/>
      </rPr>
      <t>ᴐp</t>
    </r>
  </si>
  <si>
    <t>ᴐziỘ</t>
  </si>
  <si>
    <r>
      <t>skw</t>
    </r>
    <r>
      <rPr>
        <sz val="11"/>
        <color theme="1"/>
        <rFont val="Calibri"/>
        <family val="2"/>
      </rPr>
      <t>εᴙ</t>
    </r>
  </si>
  <si>
    <r>
      <t>li</t>
    </r>
    <r>
      <rPr>
        <sz val="11"/>
        <color theme="1"/>
        <rFont val="Calibri"/>
        <family val="2"/>
      </rPr>
      <t>ʃᾰ</t>
    </r>
  </si>
  <si>
    <t>40/45</t>
  </si>
  <si>
    <t>date 15 juillet  2020</t>
  </si>
  <si>
    <t>Score prof  7/14</t>
  </si>
  <si>
    <t>Score rec 1/14</t>
  </si>
  <si>
    <t>Dalida reconnue dans l'entrainement</t>
  </si>
  <si>
    <t>Post-2 bis</t>
  </si>
  <si>
    <t>Score 2</t>
  </si>
  <si>
    <t>Post -2bis</t>
  </si>
  <si>
    <t>Post -3</t>
  </si>
  <si>
    <t>pille</t>
  </si>
  <si>
    <t>pépin</t>
  </si>
  <si>
    <t>pousse</t>
  </si>
  <si>
    <t>prix</t>
  </si>
  <si>
    <t>petit</t>
  </si>
  <si>
    <t>plat</t>
  </si>
  <si>
    <t>parent</t>
  </si>
  <si>
    <t>parapluie</t>
  </si>
  <si>
    <t>poussen</t>
  </si>
  <si>
    <t>au lieu de poussin</t>
  </si>
  <si>
    <t>Score 10</t>
  </si>
  <si>
    <t>Post-3</t>
  </si>
  <si>
    <t>Post - 3</t>
  </si>
  <si>
    <t>Post 2-bis</t>
  </si>
  <si>
    <t>Décision categorielle</t>
  </si>
  <si>
    <t xml:space="preserve">Identification : </t>
  </si>
  <si>
    <t>Examen Clinique :</t>
  </si>
  <si>
    <t>Langage :</t>
  </si>
  <si>
    <t xml:space="preserve">ECRF </t>
  </si>
  <si>
    <t>examen neurologique élémentaire</t>
  </si>
  <si>
    <t>Echelle de sévérité de l'aphasie (BDAE)</t>
  </si>
  <si>
    <t>base de données EXCEL</t>
  </si>
  <si>
    <t>praxies idéo-motrices</t>
  </si>
  <si>
    <t>anonimisation imagerie</t>
  </si>
  <si>
    <t>fonctions executives</t>
  </si>
  <si>
    <t>DO 80 Score</t>
  </si>
  <si>
    <t>mémoire épisodique</t>
  </si>
  <si>
    <t>paraphasie sémantiques</t>
  </si>
  <si>
    <t>sexe</t>
  </si>
  <si>
    <t>fonctions visuo-spatiales</t>
  </si>
  <si>
    <t>paraphasie phonémiques</t>
  </si>
  <si>
    <t>date de naissance</t>
  </si>
  <si>
    <t>non réponses</t>
  </si>
  <si>
    <t>âge</t>
  </si>
  <si>
    <t>Evaluation neuropsy</t>
  </si>
  <si>
    <t>MMS</t>
  </si>
  <si>
    <t>Fluence littérale R /2 minutes</t>
  </si>
  <si>
    <t>date HDJ</t>
  </si>
  <si>
    <t>MADRS</t>
  </si>
  <si>
    <t>Fluence catégirielle fruits / minutes</t>
  </si>
  <si>
    <t>signature du consentement</t>
  </si>
  <si>
    <t>BREF</t>
  </si>
  <si>
    <t>Discrimination verbale (BDAE)</t>
  </si>
  <si>
    <t>MATTIS</t>
  </si>
  <si>
    <t>Répétition des phrases (BDAE)</t>
  </si>
  <si>
    <t>lateralité</t>
  </si>
  <si>
    <t>Empans chiffres directs</t>
  </si>
  <si>
    <t>Pyramide and Palm test (PPTI) verbal</t>
  </si>
  <si>
    <t>niveau d'études</t>
  </si>
  <si>
    <t>Empans chiffres indirects</t>
  </si>
  <si>
    <t>Pyramide and Palm test (PPTI) visuel</t>
  </si>
  <si>
    <t>Empan spatial direct</t>
  </si>
  <si>
    <t>premiers signes de la maladie</t>
  </si>
  <si>
    <t>Empan spatial indirect</t>
  </si>
  <si>
    <t>date du diagnostic</t>
  </si>
  <si>
    <t>TMT A</t>
  </si>
  <si>
    <t>autres antécédents</t>
  </si>
  <si>
    <t>TMT B</t>
  </si>
  <si>
    <t>Test des portes A</t>
  </si>
  <si>
    <t>antécédents familiaux</t>
  </si>
  <si>
    <t>Test des portes B</t>
  </si>
  <si>
    <t>Praxies Mahieux</t>
  </si>
  <si>
    <t xml:space="preserve">Post 3 </t>
  </si>
  <si>
    <t>satus</t>
  </si>
  <si>
    <r>
      <t>i</t>
    </r>
    <r>
      <rPr>
        <sz val="11"/>
        <color theme="1"/>
        <rFont val="Calibri"/>
        <family val="2"/>
      </rPr>
      <t>ӡᴐmə</t>
    </r>
  </si>
  <si>
    <r>
      <t>ʃaᴚism</t>
    </r>
    <r>
      <rPr>
        <sz val="11"/>
        <color theme="1"/>
        <rFont val="Calibri"/>
        <family val="2"/>
      </rPr>
      <t>ə</t>
    </r>
  </si>
  <si>
    <t>z</t>
  </si>
  <si>
    <t>score 41</t>
  </si>
  <si>
    <t xml:space="preserve">euh un…. C'est pas un hippopotame….c'est un </t>
  </si>
  <si>
    <t>c'est une …. un truc pour manger c'est une cro...</t>
  </si>
  <si>
    <t>là c'est un marteau…,non</t>
  </si>
  <si>
    <t>c'est la…. Je ne me rappelle plus son nom</t>
  </si>
  <si>
    <t xml:space="preserve">  … En Egypte, c'est une euh ...</t>
  </si>
  <si>
    <t xml:space="preserve">qu'est-ce que c'est,  c'est une crevette </t>
  </si>
  <si>
    <t>euh, là c'est un outil …. Qui fait du bruit</t>
  </si>
  <si>
    <t>c'est un…</t>
  </si>
  <si>
    <t>un truc pour fumer c'est une …une cigarette</t>
  </si>
  <si>
    <t>euh …. Je ne sais plus</t>
  </si>
  <si>
    <t>euh c'est un euh ….ça commence par un O</t>
  </si>
  <si>
    <t>là je ne sais plus ce que c'est ça</t>
  </si>
  <si>
    <t>ça je ne sais pas ce que c'est c'est dangereux évidement</t>
  </si>
  <si>
    <t>la c'est un … une ta…un…</t>
  </si>
  <si>
    <t xml:space="preserve">là c'est un truc pour les yeux pour voir de plus près…je ne sais plus </t>
  </si>
  <si>
    <t>un papillon un…</t>
  </si>
  <si>
    <t>là c'est pour fumer un pi une pi …ça commence par un P</t>
  </si>
  <si>
    <t>c'est une truc qu'on …</t>
  </si>
  <si>
    <t>là c'est un, c'est pas un rassoir c'est un …</t>
  </si>
  <si>
    <t>c'est pour la musique c'est un…</t>
  </si>
  <si>
    <r>
      <t xml:space="preserve">Score  :21 </t>
    </r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/40</t>
    </r>
  </si>
  <si>
    <t>001-0030-GE</t>
  </si>
  <si>
    <t>001-0031-GE</t>
  </si>
  <si>
    <t>001-0032-GE</t>
  </si>
  <si>
    <t>homme</t>
  </si>
  <si>
    <t>droitier</t>
  </si>
  <si>
    <t>BAC+2</t>
  </si>
  <si>
    <t>non</t>
  </si>
  <si>
    <t>normal</t>
  </si>
  <si>
    <t>pathologiques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</si>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</sst>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u/>
      <sz val="11"/>
      <color rgb="FF0070C0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u/>
      <sz val="12"/>
      <color rgb="FF0070C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theme="9" tint="0.7999816888943144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2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/>
    <xf numFmtId="0" fontId="7" fillId="0" borderId="0" xfId="0" applyFont="1"/>
    <xf numFmtId="0" fontId="8" fillId="0" borderId="0" xfId="0" applyFont="1"/>
    <xf numFmtId="0" fontId="3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4" fontId="2" fillId="0" borderId="0" xfId="0" applyNumberFormat="1" applyFont="1"/>
    <xf numFmtId="14" fontId="1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9" fillId="0" borderId="0" xfId="1" applyFont="1" applyAlignment="1" applyProtection="1"/>
    <xf numFmtId="0" fontId="20" fillId="0" borderId="0" xfId="0" applyFont="1"/>
    <xf numFmtId="0" fontId="21" fillId="0" borderId="0" xfId="0" applyFont="1"/>
    <xf numFmtId="15" fontId="2" fillId="0" borderId="0" xfId="0" applyNumberFormat="1" applyFont="1"/>
    <xf numFmtId="16" fontId="2" fillId="0" borderId="0" xfId="0" applyNumberFormat="1" applyFont="1"/>
    <xf numFmtId="0" fontId="22" fillId="0" borderId="0" xfId="0" applyFont="1"/>
    <xf numFmtId="0" fontId="4" fillId="2" borderId="0" xfId="0" applyFont="1" applyFill="1"/>
    <xf numFmtId="0" fontId="23" fillId="0" borderId="0" xfId="0" applyFont="1" applyAlignment="1">
      <alignment vertical="top"/>
    </xf>
    <xf numFmtId="0" fontId="24" fillId="0" borderId="0" xfId="0" applyFont="1"/>
    <xf numFmtId="0" fontId="25" fillId="0" borderId="0" xfId="0" applyFont="1"/>
    <xf numFmtId="0" fontId="26" fillId="3" borderId="0" xfId="0" applyFont="1" applyFill="1"/>
    <xf numFmtId="0" fontId="24" fillId="4" borderId="0" xfId="0" applyFont="1" applyFill="1"/>
    <xf numFmtId="0" fontId="25" fillId="4" borderId="0" xfId="0" applyFont="1" applyFill="1"/>
    <xf numFmtId="14" fontId="25" fillId="0" borderId="0" xfId="0" applyNumberFormat="1" applyFont="1"/>
    <xf numFmtId="0" fontId="25" fillId="5" borderId="0" xfId="0" applyFont="1" applyFill="1"/>
    <xf numFmtId="0" fontId="25" fillId="3" borderId="0" xfId="0" applyFont="1" applyFill="1"/>
    <xf numFmtId="17" fontId="25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'AS verbale'!$L$33</c:f>
              <c:strCache>
                <c:ptCount val="1"/>
                <c:pt idx="0">
                  <c:v>AS verb  RT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'AS verbale'!$M$32:$O$32</c:f>
              <c:strCache>
                <c:ptCount val="3"/>
                <c:pt idx="0">
                  <c:v>INC </c:v>
                </c:pt>
                <c:pt idx="1">
                  <c:v>Post 1</c:v>
                </c:pt>
                <c:pt idx="2">
                  <c:v>Post 2 bis</c:v>
                </c:pt>
              </c:strCache>
            </c:strRef>
          </c:cat>
          <c:val>
            <c:numRef>
              <c:f>'AS verbale'!$M$33:$O$33</c:f>
              <c:numCache>
                <c:formatCode>General</c:formatCode>
                <c:ptCount val="3"/>
                <c:pt idx="0">
                  <c:v>5133.181818181818</c:v>
                </c:pt>
                <c:pt idx="1">
                  <c:v>4734.5</c:v>
                </c:pt>
                <c:pt idx="2">
                  <c:v>4688.7894736842109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C3-594B-847F-B3CCEE86A33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05613744"/>
        <c:axId val="234659848"/>
      </c:lineChart>
      <c:catAx>
        <c:axId val="3056137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34659848"/>
        <c:crosses val="autoZero"/>
        <c:auto val="1"/>
        <c:lblAlgn val="ctr"/>
        <c:lblOffset val="100"/>
        <c:noMultiLvlLbl val="0"/>
      </c:catAx>
      <c:valAx>
        <c:axId val="2346598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305613744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'AS verbale'!$C$33</c:f>
              <c:strCache>
                <c:ptCount val="1"/>
                <c:pt idx="0">
                  <c:v>AS verb / 26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'AS verbale'!$D$32:$G$32</c:f>
              <c:strCache>
                <c:ptCount val="4"/>
                <c:pt idx="0">
                  <c:v>INC </c:v>
                </c:pt>
                <c:pt idx="1">
                  <c:v>Post 1</c:v>
                </c:pt>
                <c:pt idx="2">
                  <c:v>Post 2 skype</c:v>
                </c:pt>
                <c:pt idx="3">
                  <c:v>Post 2 bis</c:v>
                </c:pt>
              </c:strCache>
            </c:strRef>
          </c:cat>
          <c:val>
            <c:numRef>
              <c:f>'AS verbale'!$D$33:$G$33</c:f>
              <c:numCache>
                <c:formatCode>General</c:formatCode>
                <c:ptCount val="4"/>
                <c:pt idx="0">
                  <c:v>22</c:v>
                </c:pt>
                <c:pt idx="1">
                  <c:v>22</c:v>
                </c:pt>
                <c:pt idx="2">
                  <c:v>13</c:v>
                </c:pt>
                <c:pt idx="3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E1-034C-B351-B197DBC823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34660632"/>
        <c:axId val="234661024"/>
      </c:lineChart>
      <c:catAx>
        <c:axId val="234660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34661024"/>
        <c:crosses val="autoZero"/>
        <c:auto val="1"/>
        <c:lblAlgn val="ctr"/>
        <c:lblOffset val="100"/>
        <c:noMultiLvlLbl val="0"/>
      </c:catAx>
      <c:valAx>
        <c:axId val="23466102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34660632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'AS visuelle'!$C$34</c:f>
              <c:strCache>
                <c:ptCount val="1"/>
                <c:pt idx="0">
                  <c:v>AS visu / 26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'AS visuelle'!$D$33:$G$33</c:f>
              <c:strCache>
                <c:ptCount val="4"/>
                <c:pt idx="0">
                  <c:v>INC </c:v>
                </c:pt>
                <c:pt idx="1">
                  <c:v>Post 1</c:v>
                </c:pt>
                <c:pt idx="2">
                  <c:v>Post 2 skype</c:v>
                </c:pt>
                <c:pt idx="3">
                  <c:v>Post 2 bis</c:v>
                </c:pt>
              </c:strCache>
            </c:strRef>
          </c:cat>
          <c:val>
            <c:numRef>
              <c:f>'AS visuelle'!$D$34:$G$34</c:f>
              <c:numCache>
                <c:formatCode>General</c:formatCode>
                <c:ptCount val="4"/>
                <c:pt idx="0">
                  <c:v>25</c:v>
                </c:pt>
                <c:pt idx="1">
                  <c:v>24</c:v>
                </c:pt>
                <c:pt idx="2">
                  <c:v>22</c:v>
                </c:pt>
                <c:pt idx="3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7A-7743-9A67-032D37AC39B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34649608"/>
        <c:axId val="234650000"/>
      </c:lineChart>
      <c:catAx>
        <c:axId val="2346496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34650000"/>
        <c:crosses val="autoZero"/>
        <c:auto val="1"/>
        <c:lblAlgn val="ctr"/>
        <c:lblOffset val="100"/>
        <c:noMultiLvlLbl val="0"/>
      </c:catAx>
      <c:valAx>
        <c:axId val="2346500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34649608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'AS visuelle'!$K$34</c:f>
              <c:strCache>
                <c:ptCount val="1"/>
                <c:pt idx="0">
                  <c:v>AS visu RT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'AS visuelle'!$L$33:$N$33</c:f>
              <c:strCache>
                <c:ptCount val="3"/>
                <c:pt idx="0">
                  <c:v>INC </c:v>
                </c:pt>
                <c:pt idx="1">
                  <c:v>Post 1</c:v>
                </c:pt>
                <c:pt idx="2">
                  <c:v>Post 2 bis</c:v>
                </c:pt>
              </c:strCache>
            </c:strRef>
          </c:cat>
          <c:val>
            <c:numRef>
              <c:f>'AS visuelle'!$L$34:$N$34</c:f>
              <c:numCache>
                <c:formatCode>General</c:formatCode>
                <c:ptCount val="3"/>
                <c:pt idx="0">
                  <c:v>3057.4</c:v>
                </c:pt>
                <c:pt idx="1">
                  <c:v>2915.7916666666665</c:v>
                </c:pt>
                <c:pt idx="2">
                  <c:v>2604.8260869565215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3E-0645-8C02-F61E01E789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34650784"/>
        <c:axId val="234651176"/>
      </c:lineChart>
      <c:catAx>
        <c:axId val="2346507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34651176"/>
        <c:crosses val="autoZero"/>
        <c:auto val="1"/>
        <c:lblAlgn val="ctr"/>
        <c:lblOffset val="100"/>
        <c:noMultiLvlLbl val="0"/>
      </c:catAx>
      <c:valAx>
        <c:axId val="2346511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34650784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'EXE verb.'!$L$34</c:f>
              <c:strCache>
                <c:ptCount val="1"/>
                <c:pt idx="0">
                  <c:v>EXE verb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'EXE verb.'!$M$33:$O$33</c:f>
              <c:strCache>
                <c:ptCount val="3"/>
                <c:pt idx="0">
                  <c:v>INC </c:v>
                </c:pt>
                <c:pt idx="1">
                  <c:v>Post 1</c:v>
                </c:pt>
                <c:pt idx="2">
                  <c:v>Post 2 bis</c:v>
                </c:pt>
              </c:strCache>
            </c:strRef>
          </c:cat>
          <c:val>
            <c:numRef>
              <c:f>'EXE verb.'!$M$34:$O$34</c:f>
              <c:numCache>
                <c:formatCode>General</c:formatCode>
                <c:ptCount val="3"/>
                <c:pt idx="0">
                  <c:v>2214.2307692307691</c:v>
                </c:pt>
                <c:pt idx="1">
                  <c:v>2548.4166666666665</c:v>
                </c:pt>
                <c:pt idx="2">
                  <c:v>2549.0384615384614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95-ED48-A9E6-F621793D50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40666400"/>
        <c:axId val="240666792"/>
      </c:lineChart>
      <c:catAx>
        <c:axId val="2406664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40666792"/>
        <c:crosses val="autoZero"/>
        <c:auto val="1"/>
        <c:lblAlgn val="ctr"/>
        <c:lblOffset val="100"/>
        <c:noMultiLvlLbl val="0"/>
      </c:catAx>
      <c:valAx>
        <c:axId val="2406667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40666400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'EXE verb.'!$D$34</c:f>
              <c:strCache>
                <c:ptCount val="1"/>
                <c:pt idx="0">
                  <c:v>EXE verb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'EXE verb.'!$E$33:$H$33</c:f>
              <c:strCache>
                <c:ptCount val="4"/>
                <c:pt idx="0">
                  <c:v>INC </c:v>
                </c:pt>
                <c:pt idx="1">
                  <c:v>Post 1</c:v>
                </c:pt>
                <c:pt idx="2">
                  <c:v>Post 2 skype </c:v>
                </c:pt>
                <c:pt idx="3">
                  <c:v>Post 2 bis</c:v>
                </c:pt>
              </c:strCache>
            </c:strRef>
          </c:cat>
          <c:val>
            <c:numRef>
              <c:f>'EXE verb.'!$E$34:$H$34</c:f>
              <c:numCache>
                <c:formatCode>General</c:formatCode>
                <c:ptCount val="4"/>
                <c:pt idx="0">
                  <c:v>26</c:v>
                </c:pt>
                <c:pt idx="1">
                  <c:v>24</c:v>
                </c:pt>
                <c:pt idx="2">
                  <c:v>26</c:v>
                </c:pt>
                <c:pt idx="3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2A-EA45-841B-94C15087AC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40667576"/>
        <c:axId val="237995488"/>
      </c:lineChart>
      <c:catAx>
        <c:axId val="2406675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37995488"/>
        <c:crosses val="autoZero"/>
        <c:auto val="1"/>
        <c:lblAlgn val="ctr"/>
        <c:lblOffset val="100"/>
        <c:noMultiLvlLbl val="0"/>
      </c:catAx>
      <c:valAx>
        <c:axId val="23799548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40667576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'EXE visu.'!$L$36</c:f>
              <c:strCache>
                <c:ptCount val="1"/>
                <c:pt idx="0">
                  <c:v>EXE visu RT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'EXE visu.'!$M$35:$O$35</c:f>
              <c:strCache>
                <c:ptCount val="3"/>
                <c:pt idx="0">
                  <c:v>INC </c:v>
                </c:pt>
                <c:pt idx="1">
                  <c:v>Post 1</c:v>
                </c:pt>
                <c:pt idx="2">
                  <c:v>Post 2 bis</c:v>
                </c:pt>
              </c:strCache>
            </c:strRef>
          </c:cat>
          <c:val>
            <c:numRef>
              <c:f>'EXE visu.'!$M$36:$O$36</c:f>
              <c:numCache>
                <c:formatCode>General</c:formatCode>
                <c:ptCount val="3"/>
                <c:pt idx="0">
                  <c:v>3323.76</c:v>
                </c:pt>
                <c:pt idx="1">
                  <c:v>3311.3846153846152</c:v>
                </c:pt>
                <c:pt idx="2">
                  <c:v>1989.4583333333333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85-9F48-8DBA-B5963BE367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37996272"/>
        <c:axId val="237996664"/>
      </c:lineChart>
      <c:catAx>
        <c:axId val="2379962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37996664"/>
        <c:crosses val="autoZero"/>
        <c:auto val="1"/>
        <c:lblAlgn val="ctr"/>
        <c:lblOffset val="100"/>
        <c:noMultiLvlLbl val="0"/>
      </c:catAx>
      <c:valAx>
        <c:axId val="2379966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37996272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'EXE visu.'!$D$36</c:f>
              <c:strCache>
                <c:ptCount val="1"/>
                <c:pt idx="0">
                  <c:v>EXE visu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'EXE visu.'!$E$35:$H$35</c:f>
              <c:strCache>
                <c:ptCount val="4"/>
                <c:pt idx="0">
                  <c:v>INC </c:v>
                </c:pt>
                <c:pt idx="1">
                  <c:v>Post 1</c:v>
                </c:pt>
                <c:pt idx="2">
                  <c:v>Post 2 skype </c:v>
                </c:pt>
                <c:pt idx="3">
                  <c:v>Post 2 bis</c:v>
                </c:pt>
              </c:strCache>
            </c:strRef>
          </c:cat>
          <c:val>
            <c:numRef>
              <c:f>'EXE visu.'!$E$36:$H$36</c:f>
              <c:numCache>
                <c:formatCode>General</c:formatCode>
                <c:ptCount val="4"/>
                <c:pt idx="0">
                  <c:v>25</c:v>
                </c:pt>
                <c:pt idx="1">
                  <c:v>26</c:v>
                </c:pt>
                <c:pt idx="2">
                  <c:v>25</c:v>
                </c:pt>
                <c:pt idx="3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F-914A-9CB1-6D71137B98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4628112"/>
        <c:axId val="194628504"/>
      </c:lineChart>
      <c:catAx>
        <c:axId val="1946281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94628504"/>
        <c:crosses val="autoZero"/>
        <c:auto val="1"/>
        <c:lblAlgn val="ctr"/>
        <c:lblOffset val="100"/>
        <c:noMultiLvlLbl val="0"/>
      </c:catAx>
      <c:valAx>
        <c:axId val="1946285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194628112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'FLUENCE cat.'!$K$12</c:f>
              <c:strCache>
                <c:ptCount val="1"/>
                <c:pt idx="0">
                  <c:v>FLU Cat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'FLUENCE cat.'!$L$11:$O$11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 skype</c:v>
                </c:pt>
                <c:pt idx="3">
                  <c:v>Post  2 bis</c:v>
                </c:pt>
              </c:strCache>
            </c:strRef>
          </c:cat>
          <c:val>
            <c:numRef>
              <c:f>'FLUENCE cat.'!$L$12:$O$12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F7-3641-9930-A4DC82D45DE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4629288"/>
        <c:axId val="194629680"/>
      </c:lineChart>
      <c:catAx>
        <c:axId val="1946292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94629680"/>
        <c:crosses val="autoZero"/>
        <c:auto val="1"/>
        <c:lblAlgn val="ctr"/>
        <c:lblOffset val="100"/>
        <c:noMultiLvlLbl val="0"/>
      </c:catAx>
      <c:valAx>
        <c:axId val="1946296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194629288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'FLUENCE verb.'!$M$19</c:f>
              <c:strCache>
                <c:ptCount val="1"/>
                <c:pt idx="0">
                  <c:v>FLU Litt.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'FLUENCE verb.'!$N$18:$Q$18</c:f>
              <c:strCache>
                <c:ptCount val="4"/>
                <c:pt idx="0">
                  <c:v>INC</c:v>
                </c:pt>
                <c:pt idx="1">
                  <c:v>Post 1</c:v>
                </c:pt>
                <c:pt idx="2">
                  <c:v>Post 2 skype</c:v>
                </c:pt>
                <c:pt idx="3">
                  <c:v>Post  2 bis</c:v>
                </c:pt>
              </c:strCache>
            </c:strRef>
          </c:cat>
          <c:val>
            <c:numRef>
              <c:f>'FLUENCE verb.'!$N$19:$Q$19</c:f>
              <c:numCache>
                <c:formatCode>General</c:formatCode>
                <c:ptCount val="4"/>
                <c:pt idx="0">
                  <c:v>7</c:v>
                </c:pt>
                <c:pt idx="1">
                  <c:v>9</c:v>
                </c:pt>
                <c:pt idx="2">
                  <c:v>8</c:v>
                </c:pt>
                <c:pt idx="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55-0543-A33E-B344E35CE0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03202304"/>
        <c:axId val="303202696"/>
      </c:lineChart>
      <c:catAx>
        <c:axId val="3032023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03202696"/>
        <c:crosses val="autoZero"/>
        <c:auto val="1"/>
        <c:lblAlgn val="ctr"/>
        <c:lblOffset val="100"/>
        <c:noMultiLvlLbl val="0"/>
      </c:catAx>
      <c:valAx>
        <c:axId val="3032026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303202304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'DC cat.'!$K$50</c:f>
              <c:strCache>
                <c:ptCount val="1"/>
                <c:pt idx="0">
                  <c:v>DC cat. RT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'DC cat.'!$L$49:$N$49</c:f>
              <c:strCache>
                <c:ptCount val="3"/>
                <c:pt idx="0">
                  <c:v>INC </c:v>
                </c:pt>
                <c:pt idx="1">
                  <c:v>Post 1</c:v>
                </c:pt>
                <c:pt idx="2">
                  <c:v>Post 2 bis</c:v>
                </c:pt>
              </c:strCache>
            </c:strRef>
          </c:cat>
          <c:val>
            <c:numRef>
              <c:f>'DC cat.'!$L$50:$N$50</c:f>
              <c:numCache>
                <c:formatCode>General</c:formatCode>
                <c:ptCount val="3"/>
                <c:pt idx="0">
                  <c:v>1043.4166666666667</c:v>
                </c:pt>
                <c:pt idx="1">
                  <c:v>974.91666666666663</c:v>
                </c:pt>
                <c:pt idx="2">
                  <c:v>1115.9722222222222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7D-704D-B251-5C068BFA1C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37196520"/>
        <c:axId val="237196912"/>
      </c:lineChart>
      <c:catAx>
        <c:axId val="2371965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37196912"/>
        <c:crosses val="autoZero"/>
        <c:auto val="1"/>
        <c:lblAlgn val="ctr"/>
        <c:lblOffset val="100"/>
        <c:noMultiLvlLbl val="0"/>
      </c:catAx>
      <c:valAx>
        <c:axId val="2371969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37196520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'DC cat.'!$C$50</c:f>
              <c:strCache>
                <c:ptCount val="1"/>
                <c:pt idx="0">
                  <c:v>DC cat. / 40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'DC cat.'!$D$49:$G$49</c:f>
              <c:strCache>
                <c:ptCount val="4"/>
                <c:pt idx="0">
                  <c:v>INC </c:v>
                </c:pt>
                <c:pt idx="1">
                  <c:v>Post 1</c:v>
                </c:pt>
                <c:pt idx="2">
                  <c:v>Post 2 skype</c:v>
                </c:pt>
                <c:pt idx="3">
                  <c:v>Post 2 bis</c:v>
                </c:pt>
              </c:strCache>
            </c:strRef>
          </c:cat>
          <c:val>
            <c:numRef>
              <c:f>'DC cat.'!$D$50:$G$50</c:f>
              <c:numCache>
                <c:formatCode>General</c:formatCode>
                <c:ptCount val="4"/>
                <c:pt idx="0">
                  <c:v>36</c:v>
                </c:pt>
                <c:pt idx="1">
                  <c:v>36</c:v>
                </c:pt>
                <c:pt idx="2">
                  <c:v>37</c:v>
                </c:pt>
                <c:pt idx="3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96-4A43-94A7-27B945EF9F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37197696"/>
        <c:axId val="237198088"/>
      </c:lineChart>
      <c:catAx>
        <c:axId val="2371976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37198088"/>
        <c:crosses val="autoZero"/>
        <c:auto val="1"/>
        <c:lblAlgn val="ctr"/>
        <c:lblOffset val="100"/>
        <c:noMultiLvlLbl val="0"/>
      </c:catAx>
      <c:valAx>
        <c:axId val="23719808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37197696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DENO!$B$47</c:f>
              <c:strCache>
                <c:ptCount val="1"/>
                <c:pt idx="0">
                  <c:v>Déno /40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DENO!$C$46:$G$46</c:f>
              <c:strCache>
                <c:ptCount val="5"/>
                <c:pt idx="0">
                  <c:v>INC </c:v>
                </c:pt>
                <c:pt idx="1">
                  <c:v>Post 1</c:v>
                </c:pt>
                <c:pt idx="2">
                  <c:v>Post 2 skype</c:v>
                </c:pt>
                <c:pt idx="3">
                  <c:v>Post 2 bis</c:v>
                </c:pt>
                <c:pt idx="4">
                  <c:v>Post 3</c:v>
                </c:pt>
              </c:strCache>
            </c:strRef>
          </c:cat>
          <c:val>
            <c:numRef>
              <c:f>DENO!$C$47:$G$47</c:f>
              <c:numCache>
                <c:formatCode>General</c:formatCode>
                <c:ptCount val="5"/>
                <c:pt idx="0">
                  <c:v>25</c:v>
                </c:pt>
                <c:pt idx="1">
                  <c:v>26</c:v>
                </c:pt>
                <c:pt idx="2">
                  <c:v>21</c:v>
                </c:pt>
                <c:pt idx="3">
                  <c:v>24</c:v>
                </c:pt>
                <c:pt idx="4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F4-1C43-8D78-424ED53C18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40450912"/>
        <c:axId val="240451304"/>
      </c:lineChart>
      <c:catAx>
        <c:axId val="2404509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40451304"/>
        <c:crosses val="autoZero"/>
        <c:auto val="1"/>
        <c:lblAlgn val="ctr"/>
        <c:lblOffset val="100"/>
        <c:noMultiLvlLbl val="0"/>
      </c:catAx>
      <c:valAx>
        <c:axId val="2404513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40450912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BIP!$C$24</c:f>
              <c:strCache>
                <c:ptCount val="1"/>
                <c:pt idx="0">
                  <c:v>BIP /14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BIP!$D$23:$G$23</c:f>
              <c:strCache>
                <c:ptCount val="4"/>
                <c:pt idx="0">
                  <c:v>INC </c:v>
                </c:pt>
                <c:pt idx="1">
                  <c:v>Post 1</c:v>
                </c:pt>
                <c:pt idx="2">
                  <c:v>Post 2 skype</c:v>
                </c:pt>
                <c:pt idx="3">
                  <c:v>Post 2 bis</c:v>
                </c:pt>
              </c:strCache>
            </c:strRef>
          </c:cat>
          <c:val>
            <c:numRef>
              <c:f>BIP!$D$24:$G$24</c:f>
              <c:numCache>
                <c:formatCode>General</c:formatCode>
                <c:ptCount val="4"/>
                <c:pt idx="0">
                  <c:v>10</c:v>
                </c:pt>
                <c:pt idx="1">
                  <c:v>11</c:v>
                </c:pt>
                <c:pt idx="2">
                  <c:v>9</c:v>
                </c:pt>
                <c:pt idx="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A4-8B4C-9D60-E9604FC57C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40452088"/>
        <c:axId val="240680344"/>
      </c:lineChart>
      <c:catAx>
        <c:axId val="2404520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40680344"/>
        <c:crosses val="autoZero"/>
        <c:auto val="1"/>
        <c:lblAlgn val="ctr"/>
        <c:lblOffset val="100"/>
        <c:noMultiLvlLbl val="0"/>
      </c:catAx>
      <c:valAx>
        <c:axId val="2406803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240452088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398318</xdr:colOff>
      <xdr:row>34</xdr:row>
      <xdr:rowOff>86590</xdr:rowOff>
    </xdr:from>
    <xdr:to>
      <xdr:col>17</xdr:col>
      <xdr:colOff>926522</xdr:colOff>
      <xdr:row>48</xdr:row>
      <xdr:rowOff>164521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54840</xdr:colOff>
      <xdr:row>35</xdr:row>
      <xdr:rowOff>51956</xdr:rowOff>
    </xdr:from>
    <xdr:to>
      <xdr:col>7</xdr:col>
      <xdr:colOff>738908</xdr:colOff>
      <xdr:row>49</xdr:row>
      <xdr:rowOff>135660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152111</xdr:colOff>
      <xdr:row>7</xdr:row>
      <xdr:rowOff>74757</xdr:rowOff>
    </xdr:from>
    <xdr:to>
      <xdr:col>5</xdr:col>
      <xdr:colOff>682625</xdr:colOff>
      <xdr:row>21</xdr:row>
      <xdr:rowOff>127866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774123</xdr:colOff>
      <xdr:row>29</xdr:row>
      <xdr:rowOff>116898</xdr:rowOff>
    </xdr:from>
    <xdr:to>
      <xdr:col>15</xdr:col>
      <xdr:colOff>866</xdr:colOff>
      <xdr:row>44</xdr:row>
      <xdr:rowOff>2598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443056</xdr:colOff>
      <xdr:row>7</xdr:row>
      <xdr:rowOff>51234</xdr:rowOff>
    </xdr:from>
    <xdr:to>
      <xdr:col>26</xdr:col>
      <xdr:colOff>25256</xdr:colOff>
      <xdr:row>20</xdr:row>
      <xdr:rowOff>165243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144679</xdr:colOff>
      <xdr:row>9</xdr:row>
      <xdr:rowOff>176790</xdr:rowOff>
    </xdr:from>
    <xdr:to>
      <xdr:col>5</xdr:col>
      <xdr:colOff>534698</xdr:colOff>
      <xdr:row>23</xdr:row>
      <xdr:rowOff>82982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731166</xdr:colOff>
      <xdr:row>32</xdr:row>
      <xdr:rowOff>136463</xdr:rowOff>
    </xdr:from>
    <xdr:to>
      <xdr:col>17</xdr:col>
      <xdr:colOff>375811</xdr:colOff>
      <xdr:row>47</xdr:row>
      <xdr:rowOff>12516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262853</xdr:colOff>
      <xdr:row>32</xdr:row>
      <xdr:rowOff>26866</xdr:rowOff>
    </xdr:from>
    <xdr:to>
      <xdr:col>7</xdr:col>
      <xdr:colOff>191415</xdr:colOff>
      <xdr:row>46</xdr:row>
      <xdr:rowOff>98304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12</xdr:row>
      <xdr:rowOff>114300</xdr:rowOff>
    </xdr:from>
    <xdr:to>
      <xdr:col>13</xdr:col>
      <xdr:colOff>1057275</xdr:colOff>
      <xdr:row>27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209550</xdr:colOff>
      <xdr:row>23</xdr:row>
      <xdr:rowOff>76200</xdr:rowOff>
    </xdr:from>
    <xdr:to>
      <xdr:col>17</xdr:col>
      <xdr:colOff>600075</xdr:colOff>
      <xdr:row>37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1295400</xdr:colOff>
      <xdr:row>43</xdr:row>
      <xdr:rowOff>28575</xdr:rowOff>
    </xdr:from>
    <xdr:to>
      <xdr:col>15</xdr:col>
      <xdr:colOff>257175</xdr:colOff>
      <xdr:row>57</xdr:row>
      <xdr:rowOff>104775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28575</xdr:colOff>
      <xdr:row>42</xdr:row>
      <xdr:rowOff>161925</xdr:rowOff>
    </xdr:from>
    <xdr:to>
      <xdr:col>9</xdr:col>
      <xdr:colOff>57150</xdr:colOff>
      <xdr:row>57</xdr:row>
      <xdr:rowOff>47625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685800</xdr:colOff>
      <xdr:row>41</xdr:row>
      <xdr:rowOff>19050</xdr:rowOff>
    </xdr:from>
    <xdr:to>
      <xdr:col>9</xdr:col>
      <xdr:colOff>228600</xdr:colOff>
      <xdr:row>55</xdr:row>
      <xdr:rowOff>95250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21</xdr:row>
      <xdr:rowOff>152400</xdr:rowOff>
    </xdr:from>
    <xdr:to>
      <xdr:col>6</xdr:col>
      <xdr:colOff>1981200</xdr:colOff>
      <xdr:row>36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fr.wikipedia.org/wiki/API_%C9%94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D12" sqref="D12"/>
    </sheetView>
  </sheetViews>
  <sheetFormatPr baseColWidth="10" defaultRowHeight="15" x14ac:dyDescent="0.2"/>
  <cols>
    <col min="1" max="1" width="40.5" customWidth="1"/>
    <col min="2" max="2" width="27.83203125" customWidth="1"/>
    <col min="3" max="3" width="34.6640625" customWidth="1"/>
    <col min="4" max="4" width="26.5" customWidth="1"/>
    <col min="5" max="5" width="41.5" customWidth="1"/>
    <col min="6" max="6" width="18.5" customWidth="1"/>
  </cols>
  <sheetData>
    <row r="1" spans="1:6" ht="19" x14ac:dyDescent="0.2">
      <c r="A1" s="30" t="s">
        <v>803</v>
      </c>
      <c r="C1" s="30" t="s">
        <v>804</v>
      </c>
      <c r="E1" s="30" t="s">
        <v>805</v>
      </c>
    </row>
    <row r="2" spans="1:6" ht="16" x14ac:dyDescent="0.2">
      <c r="A2" s="31" t="s">
        <v>806</v>
      </c>
      <c r="B2" s="32" t="s">
        <v>877</v>
      </c>
      <c r="C2" s="32" t="s">
        <v>807</v>
      </c>
      <c r="D2" s="32" t="s">
        <v>884</v>
      </c>
      <c r="E2" s="32" t="s">
        <v>808</v>
      </c>
      <c r="F2">
        <v>4</v>
      </c>
    </row>
    <row r="3" spans="1:6" ht="16" x14ac:dyDescent="0.2">
      <c r="A3" s="31" t="s">
        <v>809</v>
      </c>
      <c r="B3" s="32" t="s">
        <v>879</v>
      </c>
      <c r="C3" s="32" t="s">
        <v>810</v>
      </c>
      <c r="D3" s="32" t="s">
        <v>885</v>
      </c>
      <c r="E3" s="33"/>
    </row>
    <row r="4" spans="1:6" ht="16" x14ac:dyDescent="0.2">
      <c r="A4" s="31" t="s">
        <v>811</v>
      </c>
      <c r="B4" s="32" t="s">
        <v>878</v>
      </c>
      <c r="C4" s="32" t="s">
        <v>812</v>
      </c>
      <c r="D4" s="32" t="s">
        <v>884</v>
      </c>
      <c r="E4" s="32" t="s">
        <v>813</v>
      </c>
      <c r="F4">
        <v>50</v>
      </c>
    </row>
    <row r="5" spans="1:6" ht="16" x14ac:dyDescent="0.2">
      <c r="A5" s="34"/>
      <c r="B5" s="35"/>
      <c r="C5" s="32" t="s">
        <v>814</v>
      </c>
      <c r="D5" s="32" t="s">
        <v>884</v>
      </c>
      <c r="E5" s="32" t="s">
        <v>815</v>
      </c>
      <c r="F5">
        <v>15</v>
      </c>
    </row>
    <row r="6" spans="1:6" ht="16" x14ac:dyDescent="0.2">
      <c r="A6" s="31" t="s">
        <v>816</v>
      </c>
      <c r="B6" s="32" t="s">
        <v>880</v>
      </c>
      <c r="C6" s="32" t="s">
        <v>817</v>
      </c>
      <c r="D6" s="32" t="s">
        <v>884</v>
      </c>
      <c r="E6" s="32" t="s">
        <v>818</v>
      </c>
      <c r="F6">
        <v>0</v>
      </c>
    </row>
    <row r="7" spans="1:6" ht="16" x14ac:dyDescent="0.2">
      <c r="A7" s="31" t="s">
        <v>819</v>
      </c>
      <c r="B7" s="36">
        <v>22882</v>
      </c>
      <c r="C7" s="37"/>
      <c r="D7" s="37"/>
      <c r="E7" s="32" t="s">
        <v>820</v>
      </c>
      <c r="F7">
        <v>15</v>
      </c>
    </row>
    <row r="8" spans="1:6" ht="16" x14ac:dyDescent="0.2">
      <c r="A8" s="31" t="s">
        <v>821</v>
      </c>
      <c r="B8" s="32">
        <v>57</v>
      </c>
      <c r="C8" s="31" t="s">
        <v>822</v>
      </c>
      <c r="D8" s="32"/>
      <c r="E8" s="38"/>
    </row>
    <row r="9" spans="1:6" ht="16" x14ac:dyDescent="0.2">
      <c r="A9" s="34"/>
      <c r="B9" s="35"/>
      <c r="C9" s="32" t="s">
        <v>823</v>
      </c>
      <c r="D9" s="32">
        <v>27</v>
      </c>
      <c r="E9" s="32" t="s">
        <v>824</v>
      </c>
      <c r="F9">
        <v>13</v>
      </c>
    </row>
    <row r="10" spans="1:6" ht="16" x14ac:dyDescent="0.2">
      <c r="A10" s="31" t="s">
        <v>825</v>
      </c>
      <c r="B10" s="36">
        <v>43858</v>
      </c>
      <c r="C10" s="32" t="s">
        <v>826</v>
      </c>
      <c r="D10" s="32">
        <v>9</v>
      </c>
      <c r="E10" s="32" t="s">
        <v>827</v>
      </c>
      <c r="F10">
        <v>7</v>
      </c>
    </row>
    <row r="11" spans="1:6" ht="16" x14ac:dyDescent="0.2">
      <c r="A11" s="31" t="s">
        <v>828</v>
      </c>
      <c r="B11" s="36">
        <v>43886</v>
      </c>
      <c r="C11" s="32" t="s">
        <v>829</v>
      </c>
      <c r="D11" s="32">
        <v>16</v>
      </c>
      <c r="E11" s="32" t="s">
        <v>830</v>
      </c>
      <c r="F11">
        <v>69</v>
      </c>
    </row>
    <row r="12" spans="1:6" ht="16" x14ac:dyDescent="0.2">
      <c r="A12" s="34"/>
      <c r="B12" s="35"/>
      <c r="C12" s="32" t="s">
        <v>831</v>
      </c>
      <c r="D12" s="32">
        <v>126</v>
      </c>
      <c r="E12" s="32" t="s">
        <v>832</v>
      </c>
      <c r="F12">
        <v>15</v>
      </c>
    </row>
    <row r="13" spans="1:6" ht="16" x14ac:dyDescent="0.2">
      <c r="A13" s="31" t="s">
        <v>833</v>
      </c>
      <c r="B13" s="32" t="s">
        <v>881</v>
      </c>
      <c r="C13" s="32" t="s">
        <v>834</v>
      </c>
      <c r="D13" s="32">
        <v>4</v>
      </c>
      <c r="E13" s="32" t="s">
        <v>835</v>
      </c>
      <c r="F13">
        <v>38</v>
      </c>
    </row>
    <row r="14" spans="1:6" ht="16" x14ac:dyDescent="0.2">
      <c r="A14" s="31" t="s">
        <v>836</v>
      </c>
      <c r="B14" s="32" t="s">
        <v>882</v>
      </c>
      <c r="C14" s="32" t="s">
        <v>837</v>
      </c>
      <c r="D14" s="32">
        <v>5</v>
      </c>
      <c r="E14" s="32" t="s">
        <v>838</v>
      </c>
      <c r="F14">
        <v>44</v>
      </c>
    </row>
    <row r="15" spans="1:6" ht="16" x14ac:dyDescent="0.2">
      <c r="A15" s="35"/>
      <c r="B15" s="35"/>
      <c r="C15" s="32" t="s">
        <v>839</v>
      </c>
      <c r="D15" s="32">
        <v>6</v>
      </c>
      <c r="E15" s="32"/>
    </row>
    <row r="16" spans="1:6" ht="16" x14ac:dyDescent="0.2">
      <c r="A16" s="31" t="s">
        <v>840</v>
      </c>
      <c r="B16" s="39">
        <v>42583</v>
      </c>
      <c r="C16" s="32" t="s">
        <v>841</v>
      </c>
      <c r="D16" s="32">
        <v>6</v>
      </c>
      <c r="E16" s="32"/>
    </row>
    <row r="17" spans="1:5" ht="16" x14ac:dyDescent="0.2">
      <c r="A17" s="31" t="s">
        <v>842</v>
      </c>
      <c r="B17" s="39">
        <v>43831</v>
      </c>
      <c r="C17" s="32" t="s">
        <v>843</v>
      </c>
      <c r="D17" s="32">
        <v>26</v>
      </c>
      <c r="E17" s="32"/>
    </row>
    <row r="18" spans="1:5" ht="16" x14ac:dyDescent="0.2">
      <c r="A18" s="31" t="s">
        <v>844</v>
      </c>
      <c r="B18" s="32" t="s">
        <v>883</v>
      </c>
      <c r="C18" s="32" t="s">
        <v>845</v>
      </c>
      <c r="D18" s="32">
        <v>89</v>
      </c>
      <c r="E18" s="32"/>
    </row>
    <row r="19" spans="1:5" ht="16" x14ac:dyDescent="0.2">
      <c r="A19" s="35"/>
      <c r="B19" s="35"/>
      <c r="C19" s="32" t="s">
        <v>846</v>
      </c>
      <c r="D19" s="32">
        <v>12</v>
      </c>
      <c r="E19" s="32"/>
    </row>
    <row r="20" spans="1:5" ht="16" x14ac:dyDescent="0.2">
      <c r="A20" s="31" t="s">
        <v>847</v>
      </c>
      <c r="B20" s="32" t="s">
        <v>883</v>
      </c>
      <c r="C20" s="32" t="s">
        <v>848</v>
      </c>
      <c r="D20" s="32">
        <v>8</v>
      </c>
      <c r="E20" s="32"/>
    </row>
    <row r="21" spans="1:5" ht="16" x14ac:dyDescent="0.2">
      <c r="A21" s="32"/>
      <c r="B21" s="32"/>
      <c r="C21" s="32" t="s">
        <v>849</v>
      </c>
      <c r="D21" s="32">
        <v>18</v>
      </c>
      <c r="E21" s="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33"/>
  <sheetViews>
    <sheetView topLeftCell="AT1" zoomScale="110" zoomScaleNormal="110" workbookViewId="0">
      <selection activeCell="AM29" sqref="AM29"/>
    </sheetView>
  </sheetViews>
  <sheetFormatPr baseColWidth="10" defaultColWidth="9.1640625" defaultRowHeight="15" x14ac:dyDescent="0.2"/>
  <cols>
    <col min="1" max="1" width="18" customWidth="1"/>
    <col min="3" max="3" width="13.1640625" customWidth="1"/>
    <col min="5" max="5" width="16.5" bestFit="1" customWidth="1"/>
    <col min="6" max="6" width="15.6640625" customWidth="1"/>
    <col min="7" max="7" width="18.1640625" customWidth="1"/>
    <col min="8" max="8" width="18.33203125" customWidth="1"/>
    <col min="12" max="12" width="16.5" bestFit="1" customWidth="1"/>
    <col min="16" max="16" width="17.83203125" bestFit="1" customWidth="1"/>
    <col min="17" max="17" width="15.5" bestFit="1" customWidth="1"/>
    <col min="18" max="18" width="18.1640625" bestFit="1" customWidth="1"/>
    <col min="19" max="19" width="16.6640625" bestFit="1" customWidth="1"/>
    <col min="22" max="22" width="15.5" bestFit="1" customWidth="1"/>
    <col min="26" max="26" width="16.6640625" customWidth="1"/>
    <col min="27" max="27" width="16.83203125" customWidth="1"/>
    <col min="28" max="28" width="17.5" bestFit="1" customWidth="1"/>
    <col min="29" max="29" width="16" bestFit="1" customWidth="1"/>
    <col min="32" max="32" width="20" customWidth="1"/>
    <col min="33" max="33" width="13.5" customWidth="1"/>
    <col min="36" max="36" width="13.83203125" customWidth="1"/>
    <col min="37" max="37" width="17.5" customWidth="1"/>
    <col min="38" max="38" width="17.5" bestFit="1" customWidth="1"/>
    <col min="39" max="39" width="16" bestFit="1" customWidth="1"/>
    <col min="44" max="44" width="26.5" customWidth="1"/>
    <col min="49" max="49" width="17.33203125" customWidth="1"/>
    <col min="50" max="50" width="15.5" customWidth="1"/>
    <col min="51" max="51" width="18.5" customWidth="1"/>
  </cols>
  <sheetData>
    <row r="1" spans="1:52" ht="16" x14ac:dyDescent="0.2">
      <c r="A1" s="1" t="s">
        <v>41</v>
      </c>
      <c r="B1" s="2" t="s">
        <v>0</v>
      </c>
      <c r="C1" s="2" t="s">
        <v>1</v>
      </c>
      <c r="D1" s="4" t="s">
        <v>2</v>
      </c>
      <c r="E1" s="2" t="s">
        <v>9</v>
      </c>
      <c r="F1" s="2" t="s">
        <v>12</v>
      </c>
      <c r="G1" s="2" t="s">
        <v>10</v>
      </c>
      <c r="H1" s="2" t="s">
        <v>11</v>
      </c>
      <c r="L1" s="1" t="s">
        <v>41</v>
      </c>
      <c r="M1" s="2" t="s">
        <v>0</v>
      </c>
      <c r="N1" s="2" t="s">
        <v>1</v>
      </c>
      <c r="O1" s="2" t="s">
        <v>2</v>
      </c>
      <c r="P1" s="2" t="s">
        <v>9</v>
      </c>
      <c r="Q1" s="2" t="s">
        <v>214</v>
      </c>
      <c r="R1" s="2" t="s">
        <v>10</v>
      </c>
      <c r="S1" s="2" t="s">
        <v>11</v>
      </c>
      <c r="V1" s="1" t="s">
        <v>41</v>
      </c>
      <c r="W1" s="2" t="s">
        <v>0</v>
      </c>
      <c r="X1" s="2" t="s">
        <v>1</v>
      </c>
      <c r="Y1" s="2" t="s">
        <v>2</v>
      </c>
      <c r="Z1" s="2" t="s">
        <v>9</v>
      </c>
      <c r="AA1" s="2" t="s">
        <v>214</v>
      </c>
      <c r="AB1" s="2" t="s">
        <v>10</v>
      </c>
      <c r="AC1" s="2" t="s">
        <v>11</v>
      </c>
      <c r="AF1" s="1" t="s">
        <v>41</v>
      </c>
      <c r="AG1" s="2" t="s">
        <v>0</v>
      </c>
      <c r="AH1" s="2" t="s">
        <v>1</v>
      </c>
      <c r="AI1" s="2" t="s">
        <v>2</v>
      </c>
      <c r="AJ1" s="2" t="s">
        <v>9</v>
      </c>
      <c r="AK1" s="2" t="s">
        <v>214</v>
      </c>
      <c r="AL1" s="2" t="s">
        <v>10</v>
      </c>
      <c r="AM1" s="24" t="s">
        <v>11</v>
      </c>
      <c r="AN1" s="2" t="s">
        <v>696</v>
      </c>
      <c r="AR1" s="1" t="s">
        <v>41</v>
      </c>
      <c r="AS1" s="2" t="s">
        <v>0</v>
      </c>
      <c r="AT1" s="2" t="s">
        <v>1</v>
      </c>
      <c r="AU1" s="2" t="s">
        <v>2</v>
      </c>
      <c r="AV1" s="2" t="s">
        <v>694</v>
      </c>
      <c r="AW1" s="2" t="s">
        <v>693</v>
      </c>
      <c r="AX1" s="2" t="s">
        <v>10</v>
      </c>
      <c r="AY1" s="24" t="s">
        <v>11</v>
      </c>
      <c r="AZ1" s="2" t="s">
        <v>696</v>
      </c>
    </row>
    <row r="2" spans="1:52" ht="16" x14ac:dyDescent="0.2">
      <c r="A2" s="3" t="s">
        <v>7</v>
      </c>
      <c r="B2">
        <v>2</v>
      </c>
      <c r="C2">
        <v>1</v>
      </c>
      <c r="D2">
        <v>1</v>
      </c>
      <c r="E2" t="s">
        <v>45</v>
      </c>
      <c r="F2" t="s">
        <v>43</v>
      </c>
      <c r="G2">
        <v>1</v>
      </c>
      <c r="H2">
        <v>5664</v>
      </c>
      <c r="L2" s="3" t="s">
        <v>215</v>
      </c>
      <c r="M2">
        <v>2</v>
      </c>
      <c r="N2">
        <v>2</v>
      </c>
      <c r="O2">
        <v>1</v>
      </c>
      <c r="P2" t="s">
        <v>55</v>
      </c>
      <c r="Q2" t="s">
        <v>43</v>
      </c>
      <c r="R2">
        <v>1</v>
      </c>
      <c r="S2">
        <v>4557</v>
      </c>
      <c r="V2" s="3" t="s">
        <v>216</v>
      </c>
      <c r="W2">
        <v>1</v>
      </c>
      <c r="X2">
        <v>3</v>
      </c>
      <c r="Y2">
        <v>1</v>
      </c>
      <c r="Z2" t="s">
        <v>434</v>
      </c>
      <c r="AA2" t="s">
        <v>44</v>
      </c>
      <c r="AB2">
        <v>1</v>
      </c>
      <c r="AF2" s="3" t="s">
        <v>751</v>
      </c>
      <c r="AG2">
        <v>1</v>
      </c>
      <c r="AH2">
        <v>4</v>
      </c>
      <c r="AI2">
        <v>1</v>
      </c>
      <c r="AJ2" t="s">
        <v>454</v>
      </c>
      <c r="AK2" t="s">
        <v>43</v>
      </c>
      <c r="AL2" s="12">
        <v>1</v>
      </c>
      <c r="AM2" s="12">
        <v>7393</v>
      </c>
      <c r="AN2" s="12">
        <v>7393</v>
      </c>
      <c r="AR2" s="3" t="s">
        <v>217</v>
      </c>
      <c r="AS2">
        <v>1</v>
      </c>
      <c r="AT2">
        <v>4</v>
      </c>
      <c r="AU2">
        <v>1</v>
      </c>
      <c r="AV2" t="s">
        <v>445</v>
      </c>
      <c r="AW2" t="s">
        <v>44</v>
      </c>
      <c r="AX2">
        <v>1</v>
      </c>
      <c r="AY2">
        <v>3456</v>
      </c>
      <c r="AZ2">
        <v>3456</v>
      </c>
    </row>
    <row r="3" spans="1:52" ht="16" x14ac:dyDescent="0.2">
      <c r="A3" s="1" t="s">
        <v>8</v>
      </c>
      <c r="D3">
        <v>2</v>
      </c>
      <c r="E3" t="s">
        <v>46</v>
      </c>
      <c r="F3" t="s">
        <v>43</v>
      </c>
      <c r="G3">
        <v>1</v>
      </c>
      <c r="H3">
        <v>5798</v>
      </c>
      <c r="L3" s="1" t="s">
        <v>8</v>
      </c>
      <c r="O3">
        <v>2</v>
      </c>
      <c r="P3" t="s">
        <v>47</v>
      </c>
      <c r="Q3" t="s">
        <v>44</v>
      </c>
      <c r="R3">
        <v>1</v>
      </c>
      <c r="S3">
        <v>4544</v>
      </c>
      <c r="V3" s="1" t="s">
        <v>8</v>
      </c>
      <c r="Y3">
        <v>2</v>
      </c>
      <c r="Z3" t="s">
        <v>435</v>
      </c>
      <c r="AA3" t="s">
        <v>43</v>
      </c>
      <c r="AB3" s="5">
        <v>1</v>
      </c>
      <c r="AC3" s="5"/>
      <c r="AF3" s="1" t="s">
        <v>8</v>
      </c>
      <c r="AI3">
        <v>2</v>
      </c>
      <c r="AJ3" t="s">
        <v>457</v>
      </c>
      <c r="AK3" t="s">
        <v>43</v>
      </c>
      <c r="AL3" s="12">
        <v>1</v>
      </c>
      <c r="AM3" s="12">
        <v>7685</v>
      </c>
      <c r="AN3" s="12">
        <v>7685</v>
      </c>
      <c r="AR3" s="1" t="s">
        <v>8</v>
      </c>
      <c r="AU3">
        <v>2</v>
      </c>
      <c r="AV3" t="s">
        <v>453</v>
      </c>
      <c r="AW3" t="s">
        <v>44</v>
      </c>
      <c r="AX3" s="5">
        <v>0</v>
      </c>
      <c r="AY3" s="5">
        <v>3842</v>
      </c>
      <c r="AZ3" s="5"/>
    </row>
    <row r="4" spans="1:52" ht="16" x14ac:dyDescent="0.2">
      <c r="A4" s="1" t="s">
        <v>42</v>
      </c>
      <c r="D4">
        <v>3</v>
      </c>
      <c r="E4" t="s">
        <v>47</v>
      </c>
      <c r="F4" t="s">
        <v>44</v>
      </c>
      <c r="G4">
        <v>1</v>
      </c>
      <c r="H4">
        <v>5455</v>
      </c>
      <c r="L4" s="15">
        <v>43906</v>
      </c>
      <c r="O4">
        <v>3</v>
      </c>
      <c r="P4" t="s">
        <v>49</v>
      </c>
      <c r="Q4" t="s">
        <v>43</v>
      </c>
      <c r="R4" s="5">
        <v>0</v>
      </c>
      <c r="S4" s="5">
        <v>6747</v>
      </c>
      <c r="V4" s="15">
        <v>43916</v>
      </c>
      <c r="Y4">
        <v>3</v>
      </c>
      <c r="Z4" t="s">
        <v>436</v>
      </c>
      <c r="AA4" t="s">
        <v>43</v>
      </c>
      <c r="AB4" s="5">
        <v>0</v>
      </c>
      <c r="AC4" s="5"/>
      <c r="AF4" s="15">
        <v>43971</v>
      </c>
      <c r="AI4">
        <v>3</v>
      </c>
      <c r="AJ4" t="s">
        <v>436</v>
      </c>
      <c r="AK4" t="s">
        <v>43</v>
      </c>
      <c r="AL4" s="12">
        <v>1</v>
      </c>
      <c r="AM4" s="12">
        <v>4508</v>
      </c>
      <c r="AN4" s="12">
        <v>4508</v>
      </c>
      <c r="AR4" s="15">
        <v>44027</v>
      </c>
      <c r="AU4">
        <v>3</v>
      </c>
      <c r="AV4" t="s">
        <v>442</v>
      </c>
      <c r="AW4" t="s">
        <v>43</v>
      </c>
      <c r="AX4">
        <v>1</v>
      </c>
      <c r="AY4">
        <v>2892</v>
      </c>
      <c r="AZ4">
        <v>2892</v>
      </c>
    </row>
    <row r="5" spans="1:52" x14ac:dyDescent="0.2">
      <c r="D5">
        <v>4</v>
      </c>
      <c r="E5" t="s">
        <v>48</v>
      </c>
      <c r="F5" t="s">
        <v>44</v>
      </c>
      <c r="G5">
        <v>1</v>
      </c>
      <c r="H5">
        <v>5449</v>
      </c>
      <c r="O5">
        <v>4</v>
      </c>
      <c r="P5" t="s">
        <v>48</v>
      </c>
      <c r="Q5" t="s">
        <v>44</v>
      </c>
      <c r="R5">
        <v>1</v>
      </c>
      <c r="S5">
        <v>2681</v>
      </c>
      <c r="V5" s="5" t="s">
        <v>433</v>
      </c>
      <c r="Y5">
        <v>4</v>
      </c>
      <c r="Z5" t="s">
        <v>437</v>
      </c>
      <c r="AA5" t="s">
        <v>43</v>
      </c>
      <c r="AB5">
        <v>0</v>
      </c>
      <c r="AI5">
        <v>4</v>
      </c>
      <c r="AJ5" t="s">
        <v>458</v>
      </c>
      <c r="AK5" t="s">
        <v>43</v>
      </c>
      <c r="AL5" s="12">
        <v>1</v>
      </c>
      <c r="AM5" s="12">
        <v>3936</v>
      </c>
      <c r="AN5" s="12">
        <v>3936</v>
      </c>
      <c r="AU5">
        <v>4</v>
      </c>
      <c r="AV5" t="s">
        <v>443</v>
      </c>
      <c r="AW5" t="s">
        <v>43</v>
      </c>
      <c r="AX5">
        <v>1</v>
      </c>
      <c r="AY5">
        <v>3372</v>
      </c>
      <c r="AZ5">
        <v>3372</v>
      </c>
    </row>
    <row r="6" spans="1:52" x14ac:dyDescent="0.2">
      <c r="D6">
        <v>5</v>
      </c>
      <c r="E6" t="s">
        <v>49</v>
      </c>
      <c r="F6" t="s">
        <v>43</v>
      </c>
      <c r="G6" s="5">
        <v>0</v>
      </c>
      <c r="H6" s="5">
        <v>6829</v>
      </c>
      <c r="O6">
        <v>5</v>
      </c>
      <c r="P6" t="s">
        <v>63</v>
      </c>
      <c r="Q6" t="s">
        <v>44</v>
      </c>
      <c r="R6">
        <v>1</v>
      </c>
      <c r="S6">
        <v>5252</v>
      </c>
      <c r="V6" s="17" t="s">
        <v>673</v>
      </c>
      <c r="Y6">
        <v>5</v>
      </c>
      <c r="Z6" t="s">
        <v>438</v>
      </c>
      <c r="AA6" t="s">
        <v>43</v>
      </c>
      <c r="AB6">
        <v>1</v>
      </c>
      <c r="AI6">
        <v>5</v>
      </c>
      <c r="AJ6" t="s">
        <v>441</v>
      </c>
      <c r="AK6" t="s">
        <v>43</v>
      </c>
      <c r="AL6" s="12">
        <v>1</v>
      </c>
      <c r="AM6" s="12">
        <v>7004</v>
      </c>
      <c r="AN6" s="12">
        <v>7004</v>
      </c>
      <c r="AU6">
        <v>5</v>
      </c>
      <c r="AV6" t="s">
        <v>440</v>
      </c>
      <c r="AW6" t="s">
        <v>43</v>
      </c>
      <c r="AX6">
        <v>1</v>
      </c>
      <c r="AY6">
        <v>3654</v>
      </c>
      <c r="AZ6">
        <v>3654</v>
      </c>
    </row>
    <row r="7" spans="1:52" x14ac:dyDescent="0.2">
      <c r="D7">
        <v>6</v>
      </c>
      <c r="E7" t="s">
        <v>50</v>
      </c>
      <c r="F7" t="s">
        <v>44</v>
      </c>
      <c r="G7">
        <v>1</v>
      </c>
      <c r="H7">
        <v>5550</v>
      </c>
      <c r="O7">
        <v>6</v>
      </c>
      <c r="P7" t="s">
        <v>62</v>
      </c>
      <c r="Q7" t="s">
        <v>44</v>
      </c>
      <c r="R7">
        <v>1</v>
      </c>
      <c r="S7">
        <v>6194</v>
      </c>
      <c r="Y7">
        <v>6</v>
      </c>
      <c r="Z7" t="s">
        <v>439</v>
      </c>
      <c r="AA7" t="s">
        <v>44</v>
      </c>
      <c r="AB7">
        <v>0</v>
      </c>
      <c r="AI7">
        <v>6</v>
      </c>
      <c r="AJ7" t="s">
        <v>448</v>
      </c>
      <c r="AK7" t="s">
        <v>44</v>
      </c>
      <c r="AL7" s="12">
        <v>1</v>
      </c>
      <c r="AM7" s="12">
        <v>2906</v>
      </c>
      <c r="AN7" s="12">
        <v>2906</v>
      </c>
      <c r="AU7">
        <v>6</v>
      </c>
      <c r="AV7" t="s">
        <v>447</v>
      </c>
      <c r="AW7" t="s">
        <v>43</v>
      </c>
      <c r="AX7">
        <v>1</v>
      </c>
      <c r="AY7">
        <v>3354</v>
      </c>
      <c r="AZ7">
        <v>3354</v>
      </c>
    </row>
    <row r="8" spans="1:52" x14ac:dyDescent="0.2">
      <c r="D8">
        <v>7</v>
      </c>
      <c r="E8" t="s">
        <v>51</v>
      </c>
      <c r="F8" t="s">
        <v>43</v>
      </c>
      <c r="G8">
        <v>1</v>
      </c>
      <c r="H8">
        <v>2807</v>
      </c>
      <c r="O8">
        <v>7</v>
      </c>
      <c r="P8" t="s">
        <v>50</v>
      </c>
      <c r="Q8" t="s">
        <v>44</v>
      </c>
      <c r="R8">
        <v>1</v>
      </c>
      <c r="S8">
        <v>4237</v>
      </c>
      <c r="Y8">
        <v>7</v>
      </c>
      <c r="Z8" t="s">
        <v>440</v>
      </c>
      <c r="AA8" t="s">
        <v>43</v>
      </c>
      <c r="AB8">
        <v>1</v>
      </c>
      <c r="AI8">
        <v>7</v>
      </c>
      <c r="AJ8" t="s">
        <v>446</v>
      </c>
      <c r="AK8" t="s">
        <v>44</v>
      </c>
      <c r="AL8" s="12">
        <v>1</v>
      </c>
      <c r="AM8" s="12">
        <v>3821</v>
      </c>
      <c r="AN8" s="12">
        <v>3821</v>
      </c>
      <c r="AU8">
        <v>7</v>
      </c>
      <c r="AV8" t="s">
        <v>457</v>
      </c>
      <c r="AW8" t="s">
        <v>43</v>
      </c>
      <c r="AX8">
        <v>1</v>
      </c>
      <c r="AY8">
        <v>3792</v>
      </c>
      <c r="AZ8">
        <v>3792</v>
      </c>
    </row>
    <row r="9" spans="1:52" x14ac:dyDescent="0.2">
      <c r="D9">
        <v>8</v>
      </c>
      <c r="E9" t="s">
        <v>52</v>
      </c>
      <c r="F9" t="s">
        <v>43</v>
      </c>
      <c r="G9">
        <v>1</v>
      </c>
      <c r="H9">
        <v>4681</v>
      </c>
      <c r="O9">
        <v>8</v>
      </c>
      <c r="P9" t="s">
        <v>65</v>
      </c>
      <c r="Q9" t="s">
        <v>44</v>
      </c>
      <c r="R9" s="5">
        <v>0</v>
      </c>
      <c r="S9" s="5">
        <v>0</v>
      </c>
      <c r="Y9">
        <v>8</v>
      </c>
      <c r="Z9" t="s">
        <v>68</v>
      </c>
      <c r="AA9" t="s">
        <v>44</v>
      </c>
      <c r="AB9">
        <v>1</v>
      </c>
      <c r="AI9">
        <v>8</v>
      </c>
      <c r="AJ9" t="s">
        <v>450</v>
      </c>
      <c r="AK9" t="s">
        <v>44</v>
      </c>
      <c r="AL9" s="12">
        <v>1</v>
      </c>
      <c r="AM9" s="12">
        <v>4758</v>
      </c>
      <c r="AN9" s="12">
        <v>4758</v>
      </c>
      <c r="AU9">
        <v>8</v>
      </c>
      <c r="AV9" t="s">
        <v>448</v>
      </c>
      <c r="AW9" t="s">
        <v>44</v>
      </c>
      <c r="AX9">
        <v>1</v>
      </c>
      <c r="AY9">
        <v>3906</v>
      </c>
      <c r="AZ9">
        <v>3906</v>
      </c>
    </row>
    <row r="10" spans="1:52" x14ac:dyDescent="0.2">
      <c r="D10">
        <v>9</v>
      </c>
      <c r="E10" t="s">
        <v>53</v>
      </c>
      <c r="F10" t="s">
        <v>44</v>
      </c>
      <c r="G10">
        <v>1</v>
      </c>
      <c r="H10">
        <v>3786</v>
      </c>
      <c r="O10">
        <v>9</v>
      </c>
      <c r="P10" t="s">
        <v>57</v>
      </c>
      <c r="Q10" t="s">
        <v>44</v>
      </c>
      <c r="R10" s="5">
        <v>0</v>
      </c>
      <c r="S10" s="5">
        <v>5651</v>
      </c>
      <c r="Y10">
        <v>9</v>
      </c>
      <c r="Z10" t="s">
        <v>441</v>
      </c>
      <c r="AA10" t="s">
        <v>43</v>
      </c>
      <c r="AB10">
        <v>0</v>
      </c>
      <c r="AI10">
        <v>9</v>
      </c>
      <c r="AJ10" t="s">
        <v>445</v>
      </c>
      <c r="AK10" t="s">
        <v>44</v>
      </c>
      <c r="AL10" s="12">
        <v>1</v>
      </c>
      <c r="AM10" s="12">
        <v>2580</v>
      </c>
      <c r="AN10" s="12">
        <v>2580</v>
      </c>
      <c r="AU10">
        <v>9</v>
      </c>
      <c r="AV10" t="s">
        <v>436</v>
      </c>
      <c r="AW10" t="s">
        <v>43</v>
      </c>
      <c r="AX10">
        <v>1</v>
      </c>
      <c r="AY10">
        <v>5464</v>
      </c>
      <c r="AZ10">
        <v>5464</v>
      </c>
    </row>
    <row r="11" spans="1:52" x14ac:dyDescent="0.2">
      <c r="D11">
        <v>10</v>
      </c>
      <c r="E11" t="s">
        <v>54</v>
      </c>
      <c r="F11" t="s">
        <v>44</v>
      </c>
      <c r="G11">
        <v>1</v>
      </c>
      <c r="H11">
        <v>4058</v>
      </c>
      <c r="O11">
        <v>10</v>
      </c>
      <c r="P11" t="s">
        <v>60</v>
      </c>
      <c r="Q11" t="s">
        <v>43</v>
      </c>
      <c r="R11">
        <v>1</v>
      </c>
      <c r="S11">
        <v>4555</v>
      </c>
      <c r="Y11">
        <v>10</v>
      </c>
      <c r="Z11" t="s">
        <v>442</v>
      </c>
      <c r="AA11" t="s">
        <v>43</v>
      </c>
      <c r="AB11">
        <v>1</v>
      </c>
      <c r="AI11">
        <v>10</v>
      </c>
      <c r="AJ11" t="s">
        <v>451</v>
      </c>
      <c r="AK11" t="s">
        <v>44</v>
      </c>
      <c r="AL11" s="12">
        <v>1</v>
      </c>
      <c r="AM11" s="12">
        <v>6936</v>
      </c>
      <c r="AN11" s="12">
        <v>6936</v>
      </c>
      <c r="AU11">
        <v>10</v>
      </c>
      <c r="AV11" t="s">
        <v>450</v>
      </c>
      <c r="AW11" t="s">
        <v>44</v>
      </c>
      <c r="AX11">
        <v>1</v>
      </c>
      <c r="AY11">
        <v>2520</v>
      </c>
      <c r="AZ11">
        <v>2520</v>
      </c>
    </row>
    <row r="12" spans="1:52" x14ac:dyDescent="0.2">
      <c r="D12">
        <v>11</v>
      </c>
      <c r="E12" t="s">
        <v>55</v>
      </c>
      <c r="F12" t="s">
        <v>43</v>
      </c>
      <c r="G12">
        <v>1</v>
      </c>
      <c r="H12">
        <v>3579</v>
      </c>
      <c r="O12">
        <v>11</v>
      </c>
      <c r="P12" t="s">
        <v>61</v>
      </c>
      <c r="Q12" t="s">
        <v>43</v>
      </c>
      <c r="R12">
        <v>1</v>
      </c>
      <c r="S12">
        <v>5636</v>
      </c>
      <c r="Y12">
        <v>11</v>
      </c>
      <c r="Z12" t="s">
        <v>443</v>
      </c>
      <c r="AA12" t="s">
        <v>43</v>
      </c>
      <c r="AB12">
        <v>0</v>
      </c>
      <c r="AI12">
        <v>11</v>
      </c>
      <c r="AJ12" t="s">
        <v>435</v>
      </c>
      <c r="AK12" t="s">
        <v>43</v>
      </c>
      <c r="AL12" s="12">
        <v>1</v>
      </c>
      <c r="AM12" s="12">
        <v>4776</v>
      </c>
      <c r="AN12" s="12">
        <v>4776</v>
      </c>
      <c r="AU12">
        <v>11</v>
      </c>
      <c r="AV12" t="s">
        <v>437</v>
      </c>
      <c r="AW12" t="s">
        <v>43</v>
      </c>
      <c r="AX12">
        <v>1</v>
      </c>
      <c r="AY12">
        <v>4430</v>
      </c>
      <c r="AZ12">
        <v>4430</v>
      </c>
    </row>
    <row r="13" spans="1:52" x14ac:dyDescent="0.2">
      <c r="D13">
        <v>12</v>
      </c>
      <c r="E13" t="s">
        <v>56</v>
      </c>
      <c r="F13" t="s">
        <v>44</v>
      </c>
      <c r="G13" s="5">
        <v>0</v>
      </c>
      <c r="H13" s="5">
        <v>5891</v>
      </c>
      <c r="O13">
        <v>12</v>
      </c>
      <c r="P13" t="s">
        <v>69</v>
      </c>
      <c r="Q13" t="s">
        <v>44</v>
      </c>
      <c r="R13" s="5">
        <v>0</v>
      </c>
      <c r="S13" s="5">
        <v>5773</v>
      </c>
      <c r="Y13">
        <v>12</v>
      </c>
      <c r="Z13" t="s">
        <v>444</v>
      </c>
      <c r="AA13" t="s">
        <v>44</v>
      </c>
      <c r="AB13">
        <v>0</v>
      </c>
      <c r="AI13">
        <v>12</v>
      </c>
      <c r="AJ13" t="s">
        <v>434</v>
      </c>
      <c r="AK13" t="s">
        <v>44</v>
      </c>
      <c r="AL13" s="12">
        <v>1</v>
      </c>
      <c r="AM13" s="12">
        <v>2144</v>
      </c>
      <c r="AN13" s="12">
        <v>2144</v>
      </c>
      <c r="AU13">
        <v>12</v>
      </c>
      <c r="AV13" t="s">
        <v>435</v>
      </c>
      <c r="AW13" t="s">
        <v>43</v>
      </c>
      <c r="AX13">
        <v>1</v>
      </c>
      <c r="AY13">
        <v>4160</v>
      </c>
      <c r="AZ13">
        <v>4160</v>
      </c>
    </row>
    <row r="14" spans="1:52" x14ac:dyDescent="0.2">
      <c r="D14">
        <v>13</v>
      </c>
      <c r="E14" t="s">
        <v>57</v>
      </c>
      <c r="F14" t="s">
        <v>44</v>
      </c>
      <c r="G14">
        <v>1</v>
      </c>
      <c r="H14">
        <v>6620</v>
      </c>
      <c r="O14">
        <v>13</v>
      </c>
      <c r="P14" t="s">
        <v>46</v>
      </c>
      <c r="Q14" t="s">
        <v>43</v>
      </c>
      <c r="R14">
        <v>1</v>
      </c>
      <c r="S14">
        <v>4560</v>
      </c>
      <c r="Y14">
        <v>13</v>
      </c>
      <c r="Z14" t="s">
        <v>445</v>
      </c>
      <c r="AA14" t="s">
        <v>44</v>
      </c>
      <c r="AB14">
        <v>1</v>
      </c>
      <c r="AI14">
        <v>13</v>
      </c>
      <c r="AJ14" t="s">
        <v>455</v>
      </c>
      <c r="AK14" t="s">
        <v>44</v>
      </c>
      <c r="AL14" s="5">
        <v>0</v>
      </c>
      <c r="AM14" s="5">
        <v>2752</v>
      </c>
      <c r="AN14" s="5"/>
      <c r="AU14">
        <v>13</v>
      </c>
      <c r="AV14" t="s">
        <v>441</v>
      </c>
      <c r="AW14" t="s">
        <v>43</v>
      </c>
      <c r="AX14" s="5">
        <v>0</v>
      </c>
      <c r="AY14" s="5">
        <v>3393</v>
      </c>
      <c r="AZ14" s="5"/>
    </row>
    <row r="15" spans="1:52" x14ac:dyDescent="0.2">
      <c r="D15">
        <v>14</v>
      </c>
      <c r="E15" t="s">
        <v>58</v>
      </c>
      <c r="F15" t="s">
        <v>43</v>
      </c>
      <c r="G15">
        <v>1</v>
      </c>
      <c r="H15">
        <v>3918</v>
      </c>
      <c r="O15">
        <v>14</v>
      </c>
      <c r="P15" t="s">
        <v>53</v>
      </c>
      <c r="Q15" t="s">
        <v>44</v>
      </c>
      <c r="R15">
        <v>1</v>
      </c>
      <c r="S15">
        <v>5015</v>
      </c>
      <c r="Y15">
        <v>14</v>
      </c>
      <c r="Z15" t="s">
        <v>446</v>
      </c>
      <c r="AA15" t="s">
        <v>44</v>
      </c>
      <c r="AB15">
        <v>0</v>
      </c>
      <c r="AI15">
        <v>14</v>
      </c>
      <c r="AJ15" t="s">
        <v>438</v>
      </c>
      <c r="AK15" t="s">
        <v>43</v>
      </c>
      <c r="AL15" s="12">
        <v>1</v>
      </c>
      <c r="AM15" s="12">
        <v>4210</v>
      </c>
      <c r="AN15" s="12">
        <v>4210</v>
      </c>
      <c r="AU15">
        <v>14</v>
      </c>
      <c r="AV15" t="s">
        <v>451</v>
      </c>
      <c r="AW15" t="s">
        <v>44</v>
      </c>
      <c r="AX15" s="5">
        <v>0</v>
      </c>
      <c r="AY15" s="5">
        <v>2705</v>
      </c>
      <c r="AZ15" s="5"/>
    </row>
    <row r="16" spans="1:52" x14ac:dyDescent="0.2">
      <c r="D16">
        <v>15</v>
      </c>
      <c r="E16" t="s">
        <v>59</v>
      </c>
      <c r="F16" t="s">
        <v>44</v>
      </c>
      <c r="G16">
        <v>1</v>
      </c>
      <c r="H16">
        <v>5896</v>
      </c>
      <c r="O16">
        <v>15</v>
      </c>
      <c r="P16" t="s">
        <v>59</v>
      </c>
      <c r="Q16" t="s">
        <v>44</v>
      </c>
      <c r="R16">
        <v>1</v>
      </c>
      <c r="S16">
        <v>3398</v>
      </c>
      <c r="Y16">
        <v>15</v>
      </c>
      <c r="Z16" t="s">
        <v>447</v>
      </c>
      <c r="AA16" t="s">
        <v>43</v>
      </c>
      <c r="AB16">
        <v>1</v>
      </c>
      <c r="AI16">
        <v>15</v>
      </c>
      <c r="AJ16" t="s">
        <v>440</v>
      </c>
      <c r="AK16" t="s">
        <v>43</v>
      </c>
      <c r="AL16" s="12">
        <v>1</v>
      </c>
      <c r="AM16" s="12">
        <v>5124</v>
      </c>
      <c r="AN16" s="12">
        <v>5124</v>
      </c>
      <c r="AU16">
        <v>15</v>
      </c>
      <c r="AV16" t="s">
        <v>456</v>
      </c>
      <c r="AW16" t="s">
        <v>44</v>
      </c>
      <c r="AX16" s="5">
        <v>0</v>
      </c>
      <c r="AY16" s="5">
        <v>4851</v>
      </c>
      <c r="AZ16" s="5"/>
    </row>
    <row r="17" spans="4:53" x14ac:dyDescent="0.2">
      <c r="D17">
        <v>16</v>
      </c>
      <c r="E17" t="s">
        <v>60</v>
      </c>
      <c r="F17" t="s">
        <v>43</v>
      </c>
      <c r="G17">
        <v>1</v>
      </c>
      <c r="H17">
        <v>3677</v>
      </c>
      <c r="O17">
        <v>16</v>
      </c>
      <c r="P17" t="s">
        <v>51</v>
      </c>
      <c r="Q17" t="s">
        <v>43</v>
      </c>
      <c r="R17">
        <v>1</v>
      </c>
      <c r="S17">
        <v>6128</v>
      </c>
      <c r="Y17">
        <v>16</v>
      </c>
      <c r="Z17" t="s">
        <v>448</v>
      </c>
      <c r="AA17" t="s">
        <v>44</v>
      </c>
      <c r="AB17">
        <v>1</v>
      </c>
      <c r="AI17">
        <v>16</v>
      </c>
      <c r="AJ17" t="s">
        <v>453</v>
      </c>
      <c r="AK17" t="s">
        <v>44</v>
      </c>
      <c r="AL17" s="5">
        <v>0</v>
      </c>
      <c r="AM17" s="5">
        <v>2891</v>
      </c>
      <c r="AN17" s="5"/>
      <c r="AU17">
        <v>16</v>
      </c>
      <c r="AV17" t="s">
        <v>439</v>
      </c>
      <c r="AW17" t="s">
        <v>44</v>
      </c>
      <c r="AX17" s="5">
        <v>0</v>
      </c>
      <c r="AY17" s="5">
        <v>3883</v>
      </c>
      <c r="AZ17" s="5"/>
    </row>
    <row r="18" spans="4:53" x14ac:dyDescent="0.2">
      <c r="D18">
        <v>17</v>
      </c>
      <c r="E18" t="s">
        <v>61</v>
      </c>
      <c r="F18" t="s">
        <v>43</v>
      </c>
      <c r="G18">
        <v>1</v>
      </c>
      <c r="H18">
        <v>5374</v>
      </c>
      <c r="O18">
        <v>17</v>
      </c>
      <c r="P18" t="s">
        <v>58</v>
      </c>
      <c r="Q18" t="s">
        <v>43</v>
      </c>
      <c r="R18">
        <v>1</v>
      </c>
      <c r="S18">
        <v>5611</v>
      </c>
      <c r="Y18">
        <v>17</v>
      </c>
      <c r="Z18" t="s">
        <v>449</v>
      </c>
      <c r="AA18" t="s">
        <v>43</v>
      </c>
      <c r="AB18">
        <v>0</v>
      </c>
      <c r="AI18">
        <v>17</v>
      </c>
      <c r="AJ18" t="s">
        <v>439</v>
      </c>
      <c r="AK18" t="s">
        <v>44</v>
      </c>
      <c r="AL18" s="5">
        <v>0</v>
      </c>
      <c r="AM18" s="5">
        <v>2812</v>
      </c>
      <c r="AN18" s="5"/>
      <c r="AU18">
        <v>17</v>
      </c>
      <c r="AV18" t="s">
        <v>455</v>
      </c>
      <c r="AW18" t="s">
        <v>44</v>
      </c>
      <c r="AX18" s="5">
        <v>0</v>
      </c>
      <c r="AY18" s="5">
        <v>5208</v>
      </c>
      <c r="AZ18" s="5"/>
    </row>
    <row r="19" spans="4:53" x14ac:dyDescent="0.2">
      <c r="D19">
        <v>18</v>
      </c>
      <c r="E19" t="s">
        <v>62</v>
      </c>
      <c r="F19" t="s">
        <v>44</v>
      </c>
      <c r="G19">
        <v>1</v>
      </c>
      <c r="H19">
        <v>4107</v>
      </c>
      <c r="O19">
        <v>18</v>
      </c>
      <c r="P19" t="s">
        <v>45</v>
      </c>
      <c r="Q19" t="s">
        <v>43</v>
      </c>
      <c r="R19">
        <v>1</v>
      </c>
      <c r="S19">
        <v>3628</v>
      </c>
      <c r="Y19">
        <v>18</v>
      </c>
      <c r="Z19" t="s">
        <v>450</v>
      </c>
      <c r="AA19" t="s">
        <v>44</v>
      </c>
      <c r="AB19">
        <v>0</v>
      </c>
      <c r="AI19">
        <v>18</v>
      </c>
      <c r="AJ19" t="s">
        <v>456</v>
      </c>
      <c r="AK19" t="s">
        <v>44</v>
      </c>
      <c r="AL19" s="12">
        <v>1</v>
      </c>
      <c r="AM19" s="12">
        <v>4720</v>
      </c>
      <c r="AN19" s="12">
        <v>4720</v>
      </c>
      <c r="AU19">
        <v>18</v>
      </c>
      <c r="AV19" t="s">
        <v>444</v>
      </c>
      <c r="AW19" t="s">
        <v>44</v>
      </c>
      <c r="AX19">
        <v>1</v>
      </c>
      <c r="AY19">
        <v>4730</v>
      </c>
      <c r="AZ19">
        <v>4730</v>
      </c>
    </row>
    <row r="20" spans="4:53" x14ac:dyDescent="0.2">
      <c r="D20">
        <v>19</v>
      </c>
      <c r="E20" t="s">
        <v>63</v>
      </c>
      <c r="F20" t="s">
        <v>44</v>
      </c>
      <c r="G20">
        <v>1</v>
      </c>
      <c r="H20">
        <v>5560</v>
      </c>
      <c r="O20">
        <v>19</v>
      </c>
      <c r="P20" t="s">
        <v>68</v>
      </c>
      <c r="Q20" t="s">
        <v>44</v>
      </c>
      <c r="R20">
        <v>1</v>
      </c>
      <c r="S20">
        <v>6123</v>
      </c>
      <c r="Y20">
        <v>19</v>
      </c>
      <c r="Z20" t="s">
        <v>451</v>
      </c>
      <c r="AA20" t="s">
        <v>44</v>
      </c>
      <c r="AB20">
        <v>0</v>
      </c>
      <c r="AI20">
        <v>19</v>
      </c>
      <c r="AJ20" t="s">
        <v>442</v>
      </c>
      <c r="AK20" t="s">
        <v>43</v>
      </c>
      <c r="AL20" s="5">
        <v>0</v>
      </c>
      <c r="AM20" s="5">
        <v>4183</v>
      </c>
      <c r="AN20" s="5"/>
      <c r="AU20">
        <v>19</v>
      </c>
      <c r="AV20" t="s">
        <v>446</v>
      </c>
      <c r="AW20" t="s">
        <v>44</v>
      </c>
      <c r="AX20" s="5">
        <v>0</v>
      </c>
      <c r="AY20" s="5">
        <v>3628</v>
      </c>
      <c r="AZ20" s="5"/>
    </row>
    <row r="21" spans="4:53" x14ac:dyDescent="0.2">
      <c r="D21">
        <v>20</v>
      </c>
      <c r="E21" t="s">
        <v>64</v>
      </c>
      <c r="F21" t="s">
        <v>43</v>
      </c>
      <c r="G21" s="5">
        <v>0</v>
      </c>
      <c r="H21" s="5">
        <v>5078</v>
      </c>
      <c r="O21">
        <v>20</v>
      </c>
      <c r="P21" t="s">
        <v>52</v>
      </c>
      <c r="Q21" t="s">
        <v>43</v>
      </c>
      <c r="R21">
        <v>1</v>
      </c>
      <c r="S21">
        <v>4264</v>
      </c>
      <c r="Y21">
        <v>20</v>
      </c>
      <c r="Z21" t="s">
        <v>452</v>
      </c>
      <c r="AA21" t="s">
        <v>44</v>
      </c>
      <c r="AB21">
        <v>1</v>
      </c>
      <c r="AI21">
        <v>20</v>
      </c>
      <c r="AJ21" t="s">
        <v>695</v>
      </c>
      <c r="AK21" t="s">
        <v>44</v>
      </c>
      <c r="AL21" s="12">
        <v>1</v>
      </c>
      <c r="AM21" s="12">
        <v>4179</v>
      </c>
      <c r="AN21" s="12">
        <v>4179</v>
      </c>
      <c r="AU21">
        <v>20</v>
      </c>
      <c r="AV21" t="s">
        <v>452</v>
      </c>
      <c r="AW21" t="s">
        <v>44</v>
      </c>
      <c r="AX21">
        <v>1</v>
      </c>
      <c r="AY21">
        <v>4313</v>
      </c>
      <c r="AZ21">
        <v>4313</v>
      </c>
    </row>
    <row r="22" spans="4:53" x14ac:dyDescent="0.2">
      <c r="D22">
        <v>21</v>
      </c>
      <c r="E22" t="s">
        <v>65</v>
      </c>
      <c r="F22" t="s">
        <v>44</v>
      </c>
      <c r="G22">
        <v>1</v>
      </c>
      <c r="H22">
        <v>7929</v>
      </c>
      <c r="O22">
        <v>21</v>
      </c>
      <c r="P22" t="s">
        <v>70</v>
      </c>
      <c r="Q22" t="s">
        <v>43</v>
      </c>
      <c r="R22">
        <v>1</v>
      </c>
      <c r="S22">
        <v>5096</v>
      </c>
      <c r="Y22">
        <v>21</v>
      </c>
      <c r="Z22" t="s">
        <v>453</v>
      </c>
      <c r="AA22" t="s">
        <v>44</v>
      </c>
      <c r="AB22">
        <v>0</v>
      </c>
      <c r="AI22">
        <v>21</v>
      </c>
      <c r="AJ22" t="s">
        <v>444</v>
      </c>
      <c r="AK22" t="s">
        <v>44</v>
      </c>
      <c r="AL22" s="5">
        <v>0</v>
      </c>
      <c r="AM22" s="5">
        <v>6156</v>
      </c>
      <c r="AN22" s="5"/>
      <c r="AU22">
        <v>21</v>
      </c>
      <c r="AV22" t="s">
        <v>434</v>
      </c>
      <c r="AW22" t="s">
        <v>44</v>
      </c>
      <c r="AX22">
        <v>1</v>
      </c>
      <c r="AY22">
        <v>3613</v>
      </c>
      <c r="AZ22">
        <v>3613</v>
      </c>
    </row>
    <row r="23" spans="4:53" x14ac:dyDescent="0.2">
      <c r="D23">
        <v>22</v>
      </c>
      <c r="E23" t="s">
        <v>66</v>
      </c>
      <c r="F23" t="s">
        <v>43</v>
      </c>
      <c r="G23">
        <v>1</v>
      </c>
      <c r="H23">
        <v>5971</v>
      </c>
      <c r="O23">
        <v>22</v>
      </c>
      <c r="P23" t="s">
        <v>64</v>
      </c>
      <c r="Q23" t="s">
        <v>43</v>
      </c>
      <c r="R23">
        <v>1</v>
      </c>
      <c r="S23">
        <v>7327</v>
      </c>
      <c r="Y23">
        <v>22</v>
      </c>
      <c r="Z23" t="s">
        <v>454</v>
      </c>
      <c r="AA23" t="s">
        <v>43</v>
      </c>
      <c r="AB23">
        <v>0</v>
      </c>
      <c r="AI23">
        <v>22</v>
      </c>
      <c r="AJ23" t="s">
        <v>437</v>
      </c>
      <c r="AK23" t="s">
        <v>43</v>
      </c>
      <c r="AL23" s="5">
        <v>0</v>
      </c>
      <c r="AM23" s="5">
        <v>5338</v>
      </c>
      <c r="AN23" s="5"/>
      <c r="AU23">
        <v>22</v>
      </c>
      <c r="AV23" t="s">
        <v>458</v>
      </c>
      <c r="AW23" t="s">
        <v>43</v>
      </c>
      <c r="AX23">
        <v>1</v>
      </c>
      <c r="AY23">
        <v>3487</v>
      </c>
      <c r="AZ23">
        <v>3487</v>
      </c>
    </row>
    <row r="24" spans="4:53" x14ac:dyDescent="0.2">
      <c r="D24">
        <v>23</v>
      </c>
      <c r="E24" t="s">
        <v>67</v>
      </c>
      <c r="F24" t="s">
        <v>43</v>
      </c>
      <c r="G24">
        <v>1</v>
      </c>
      <c r="H24">
        <v>4435</v>
      </c>
      <c r="O24">
        <v>23</v>
      </c>
      <c r="P24" t="s">
        <v>54</v>
      </c>
      <c r="Q24" t="s">
        <v>44</v>
      </c>
      <c r="R24">
        <v>1</v>
      </c>
      <c r="S24">
        <v>1897</v>
      </c>
      <c r="Y24">
        <v>23</v>
      </c>
      <c r="Z24" t="s">
        <v>455</v>
      </c>
      <c r="AA24" t="s">
        <v>44</v>
      </c>
      <c r="AB24">
        <v>0</v>
      </c>
      <c r="AI24">
        <v>23</v>
      </c>
      <c r="AJ24" t="s">
        <v>452</v>
      </c>
      <c r="AK24" t="s">
        <v>44</v>
      </c>
      <c r="AL24" s="12">
        <v>1</v>
      </c>
      <c r="AM24" s="12">
        <v>2577</v>
      </c>
      <c r="AN24" s="12">
        <v>2577</v>
      </c>
      <c r="AU24">
        <v>23</v>
      </c>
      <c r="AV24" t="s">
        <v>449</v>
      </c>
      <c r="AW24" t="s">
        <v>43</v>
      </c>
      <c r="AX24" s="5">
        <v>0</v>
      </c>
      <c r="AY24" s="5">
        <v>3713</v>
      </c>
      <c r="AZ24" s="5"/>
    </row>
    <row r="25" spans="4:53" x14ac:dyDescent="0.2">
      <c r="D25">
        <v>24</v>
      </c>
      <c r="E25" t="s">
        <v>68</v>
      </c>
      <c r="F25" t="s">
        <v>44</v>
      </c>
      <c r="G25">
        <v>1</v>
      </c>
      <c r="H25">
        <v>4898</v>
      </c>
      <c r="O25">
        <v>24</v>
      </c>
      <c r="P25" t="s">
        <v>56</v>
      </c>
      <c r="Q25" t="s">
        <v>44</v>
      </c>
      <c r="R25">
        <v>1</v>
      </c>
      <c r="S25">
        <v>4831</v>
      </c>
      <c r="Y25">
        <v>24</v>
      </c>
      <c r="Z25" t="s">
        <v>456</v>
      </c>
      <c r="AA25" t="s">
        <v>44</v>
      </c>
      <c r="AB25">
        <v>1</v>
      </c>
      <c r="AI25">
        <v>24</v>
      </c>
      <c r="AJ25" t="s">
        <v>443</v>
      </c>
      <c r="AK25" t="s">
        <v>43</v>
      </c>
      <c r="AL25" s="12">
        <v>1</v>
      </c>
      <c r="AM25" s="12">
        <v>4654</v>
      </c>
      <c r="AN25" s="12">
        <v>4654</v>
      </c>
      <c r="AU25">
        <v>24</v>
      </c>
      <c r="AV25" t="s">
        <v>438</v>
      </c>
      <c r="AW25" t="s">
        <v>43</v>
      </c>
      <c r="AX25">
        <v>1</v>
      </c>
      <c r="AY25">
        <v>2678</v>
      </c>
      <c r="AZ25">
        <v>2678</v>
      </c>
    </row>
    <row r="26" spans="4:53" x14ac:dyDescent="0.2">
      <c r="D26">
        <v>25</v>
      </c>
      <c r="E26" t="s">
        <v>69</v>
      </c>
      <c r="F26" t="s">
        <v>44</v>
      </c>
      <c r="G26" s="5">
        <v>0</v>
      </c>
      <c r="H26" s="5">
        <v>6314</v>
      </c>
      <c r="O26">
        <v>25</v>
      </c>
      <c r="P26" t="s">
        <v>67</v>
      </c>
      <c r="Q26" t="s">
        <v>43</v>
      </c>
      <c r="R26">
        <v>1</v>
      </c>
      <c r="S26">
        <v>3272</v>
      </c>
      <c r="Y26">
        <v>25</v>
      </c>
      <c r="Z26" t="s">
        <v>457</v>
      </c>
      <c r="AA26" t="s">
        <v>43</v>
      </c>
      <c r="AB26">
        <v>1</v>
      </c>
      <c r="AI26">
        <v>25</v>
      </c>
      <c r="AJ26" t="s">
        <v>449</v>
      </c>
      <c r="AK26" t="s">
        <v>43</v>
      </c>
      <c r="AL26" s="5">
        <v>0</v>
      </c>
      <c r="AM26" s="5">
        <v>6180</v>
      </c>
      <c r="AN26" s="5"/>
      <c r="AU26">
        <v>25</v>
      </c>
      <c r="AV26" t="s">
        <v>695</v>
      </c>
      <c r="AW26" t="s">
        <v>44</v>
      </c>
      <c r="AX26">
        <v>1</v>
      </c>
      <c r="AY26">
        <v>3811</v>
      </c>
      <c r="AZ26">
        <v>3811</v>
      </c>
    </row>
    <row r="27" spans="4:53" x14ac:dyDescent="0.2">
      <c r="D27">
        <v>26</v>
      </c>
      <c r="E27" t="s">
        <v>70</v>
      </c>
      <c r="F27" t="s">
        <v>43</v>
      </c>
      <c r="G27">
        <v>1</v>
      </c>
      <c r="H27">
        <v>7718</v>
      </c>
      <c r="O27">
        <v>26</v>
      </c>
      <c r="P27" t="s">
        <v>66</v>
      </c>
      <c r="Q27" t="s">
        <v>43</v>
      </c>
      <c r="R27">
        <v>1</v>
      </c>
      <c r="S27">
        <v>5353</v>
      </c>
      <c r="Y27">
        <v>26</v>
      </c>
      <c r="Z27" t="s">
        <v>458</v>
      </c>
      <c r="AA27" t="s">
        <v>43</v>
      </c>
      <c r="AB27">
        <v>1</v>
      </c>
      <c r="AI27">
        <v>26</v>
      </c>
      <c r="AJ27" t="s">
        <v>447</v>
      </c>
      <c r="AK27" t="s">
        <v>43</v>
      </c>
      <c r="AL27" s="12">
        <v>1</v>
      </c>
      <c r="AM27" s="12">
        <v>5176</v>
      </c>
      <c r="AN27" s="12">
        <v>5176</v>
      </c>
      <c r="AU27">
        <v>26</v>
      </c>
      <c r="AV27" t="s">
        <v>454</v>
      </c>
      <c r="AW27" t="s">
        <v>43</v>
      </c>
      <c r="AX27" s="5">
        <v>0</v>
      </c>
      <c r="AY27" s="5">
        <v>4922</v>
      </c>
      <c r="AZ27" s="5"/>
    </row>
    <row r="28" spans="4:53" x14ac:dyDescent="0.2">
      <c r="AB28" s="18">
        <f>SUM(AB2:AB27)</f>
        <v>13</v>
      </c>
      <c r="AL28" s="18">
        <f>SUM(AL2:AL27)</f>
        <v>19</v>
      </c>
      <c r="AN28">
        <f>SUM(AN2:AN27)</f>
        <v>89087</v>
      </c>
      <c r="AX28" s="13">
        <f>SUM(AX2:AX27)</f>
        <v>17</v>
      </c>
      <c r="AZ28">
        <f>SUM(AZ2:AZ27)</f>
        <v>63632</v>
      </c>
      <c r="BA28">
        <v>17</v>
      </c>
    </row>
    <row r="29" spans="4:53" x14ac:dyDescent="0.2">
      <c r="G29" s="2">
        <f>SUM(G2:G27)</f>
        <v>22</v>
      </c>
      <c r="H29" s="2">
        <f>AVERAGE(H2:H5,H7:H12,H14:H20,H22:H25,H27)</f>
        <v>5133.181818181818</v>
      </c>
      <c r="R29" s="2">
        <f>SUM(R2:R27)</f>
        <v>22</v>
      </c>
      <c r="S29" s="2">
        <f>AVERAGE(S2:S3,S5:S8,S11:S12,S14:S27)</f>
        <v>4734.5</v>
      </c>
      <c r="AM29" s="2">
        <f>AN28/AL28</f>
        <v>4688.7894736842109</v>
      </c>
      <c r="AZ29" s="13">
        <f>AZ28/BA28</f>
        <v>3743.0588235294117</v>
      </c>
    </row>
    <row r="32" spans="4:53" x14ac:dyDescent="0.2">
      <c r="D32" t="s">
        <v>749</v>
      </c>
      <c r="E32" t="s">
        <v>215</v>
      </c>
      <c r="F32" t="s">
        <v>750</v>
      </c>
      <c r="G32" t="s">
        <v>751</v>
      </c>
      <c r="M32" t="s">
        <v>749</v>
      </c>
      <c r="N32" t="s">
        <v>215</v>
      </c>
      <c r="O32" t="s">
        <v>751</v>
      </c>
    </row>
    <row r="33" spans="3:15" x14ac:dyDescent="0.2">
      <c r="C33" t="s">
        <v>752</v>
      </c>
      <c r="D33">
        <v>22</v>
      </c>
      <c r="E33">
        <v>22</v>
      </c>
      <c r="F33">
        <v>13</v>
      </c>
      <c r="G33">
        <v>19</v>
      </c>
      <c r="L33" t="s">
        <v>755</v>
      </c>
      <c r="M33">
        <v>5133.181818181818</v>
      </c>
      <c r="N33">
        <v>4734.5</v>
      </c>
      <c r="O33">
        <v>4688.7894736842109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34"/>
  <sheetViews>
    <sheetView topLeftCell="AM2" zoomScale="110" zoomScaleNormal="110" workbookViewId="0">
      <selection activeCell="AU29" sqref="AU29"/>
    </sheetView>
  </sheetViews>
  <sheetFormatPr baseColWidth="10" defaultColWidth="11.5" defaultRowHeight="15" x14ac:dyDescent="0.2"/>
  <cols>
    <col min="1" max="1" width="16.6640625" customWidth="1"/>
    <col min="6" max="6" width="16.1640625" customWidth="1"/>
    <col min="7" max="7" width="17.5" customWidth="1"/>
    <col min="8" max="8" width="17.33203125" customWidth="1"/>
    <col min="10" max="10" width="16.5" bestFit="1" customWidth="1"/>
    <col min="14" max="14" width="13.5" bestFit="1" customWidth="1"/>
    <col min="15" max="15" width="15.5" bestFit="1" customWidth="1"/>
    <col min="16" max="16" width="18.1640625" bestFit="1" customWidth="1"/>
    <col min="17" max="17" width="16.6640625" bestFit="1" customWidth="1"/>
    <col min="19" max="19" width="16.5" bestFit="1" customWidth="1"/>
    <col min="24" max="24" width="14.6640625" bestFit="1" customWidth="1"/>
    <col min="25" max="25" width="17.5" bestFit="1" customWidth="1"/>
    <col min="26" max="26" width="16" bestFit="1" customWidth="1"/>
    <col min="28" max="28" width="67.33203125" customWidth="1"/>
    <col min="33" max="33" width="14.6640625" bestFit="1" customWidth="1"/>
    <col min="34" max="34" width="17.5" bestFit="1" customWidth="1"/>
    <col min="35" max="35" width="16" bestFit="1" customWidth="1"/>
    <col min="39" max="39" width="22" customWidth="1"/>
    <col min="40" max="40" width="10.6640625" customWidth="1"/>
    <col min="41" max="41" width="14.5" customWidth="1"/>
    <col min="45" max="45" width="18" customWidth="1"/>
    <col min="46" max="46" width="19.6640625" customWidth="1"/>
  </cols>
  <sheetData>
    <row r="1" spans="1:47" ht="16" x14ac:dyDescent="0.2">
      <c r="A1" s="1" t="s">
        <v>41</v>
      </c>
      <c r="B1" s="2" t="s">
        <v>0</v>
      </c>
      <c r="C1" s="2" t="s">
        <v>1</v>
      </c>
      <c r="D1" s="2" t="s">
        <v>2</v>
      </c>
      <c r="E1" s="2" t="s">
        <v>9</v>
      </c>
      <c r="F1" s="2" t="s">
        <v>12</v>
      </c>
      <c r="G1" s="2" t="s">
        <v>10</v>
      </c>
      <c r="H1" s="2" t="s">
        <v>11</v>
      </c>
      <c r="J1" s="1" t="s">
        <v>41</v>
      </c>
      <c r="K1" s="2" t="s">
        <v>0</v>
      </c>
      <c r="L1" s="2" t="s">
        <v>1</v>
      </c>
      <c r="M1" s="2" t="s">
        <v>2</v>
      </c>
      <c r="N1" s="2" t="s">
        <v>9</v>
      </c>
      <c r="O1" s="2" t="s">
        <v>214</v>
      </c>
      <c r="P1" s="2" t="s">
        <v>10</v>
      </c>
      <c r="Q1" s="2" t="s">
        <v>11</v>
      </c>
      <c r="S1" s="1" t="s">
        <v>41</v>
      </c>
      <c r="T1" s="2" t="s">
        <v>0</v>
      </c>
      <c r="U1" s="2" t="s">
        <v>1</v>
      </c>
      <c r="V1" s="2" t="s">
        <v>2</v>
      </c>
      <c r="W1" s="2" t="s">
        <v>9</v>
      </c>
      <c r="X1" s="2" t="s">
        <v>214</v>
      </c>
      <c r="Y1" s="2" t="s">
        <v>10</v>
      </c>
      <c r="Z1" s="2" t="s">
        <v>11</v>
      </c>
      <c r="AB1" s="1" t="s">
        <v>41</v>
      </c>
      <c r="AC1" s="2" t="s">
        <v>0</v>
      </c>
      <c r="AD1" s="2" t="s">
        <v>1</v>
      </c>
      <c r="AE1" s="2" t="s">
        <v>2</v>
      </c>
      <c r="AF1" s="2" t="s">
        <v>9</v>
      </c>
      <c r="AG1" s="2" t="s">
        <v>693</v>
      </c>
      <c r="AH1" t="s">
        <v>10</v>
      </c>
      <c r="AI1" t="s">
        <v>697</v>
      </c>
      <c r="AM1" s="1" t="s">
        <v>41</v>
      </c>
      <c r="AN1" s="2" t="s">
        <v>0</v>
      </c>
      <c r="AO1" s="2" t="s">
        <v>1</v>
      </c>
      <c r="AP1" s="2" t="s">
        <v>2</v>
      </c>
      <c r="AQ1" s="2" t="s">
        <v>694</v>
      </c>
      <c r="AR1" s="2" t="s">
        <v>693</v>
      </c>
      <c r="AS1" s="2" t="s">
        <v>10</v>
      </c>
      <c r="AT1" s="2" t="s">
        <v>11</v>
      </c>
      <c r="AU1" s="2" t="s">
        <v>696</v>
      </c>
    </row>
    <row r="2" spans="1:47" ht="16" x14ac:dyDescent="0.2">
      <c r="A2" s="3" t="s">
        <v>7</v>
      </c>
      <c r="B2">
        <v>2</v>
      </c>
      <c r="C2">
        <v>1</v>
      </c>
      <c r="D2">
        <v>1</v>
      </c>
      <c r="E2" t="s">
        <v>72</v>
      </c>
      <c r="F2" t="s">
        <v>43</v>
      </c>
      <c r="G2">
        <v>1</v>
      </c>
      <c r="H2">
        <v>4782</v>
      </c>
      <c r="J2" s="3" t="s">
        <v>218</v>
      </c>
      <c r="K2">
        <v>2</v>
      </c>
      <c r="L2">
        <v>2</v>
      </c>
      <c r="M2">
        <v>1</v>
      </c>
      <c r="N2" t="s">
        <v>72</v>
      </c>
      <c r="O2" t="s">
        <v>43</v>
      </c>
      <c r="P2">
        <v>1</v>
      </c>
      <c r="Q2">
        <v>5210</v>
      </c>
      <c r="S2" s="3" t="s">
        <v>219</v>
      </c>
      <c r="V2">
        <v>1</v>
      </c>
      <c r="W2" t="s">
        <v>459</v>
      </c>
      <c r="X2" t="s">
        <v>44</v>
      </c>
      <c r="Y2">
        <v>1</v>
      </c>
      <c r="AB2" s="3" t="s">
        <v>751</v>
      </c>
      <c r="AC2">
        <v>2</v>
      </c>
      <c r="AD2">
        <v>3</v>
      </c>
      <c r="AE2">
        <v>1</v>
      </c>
      <c r="AF2" t="s">
        <v>82</v>
      </c>
      <c r="AG2" t="s">
        <v>44</v>
      </c>
      <c r="AH2">
        <v>1</v>
      </c>
      <c r="AI2">
        <v>3043</v>
      </c>
      <c r="AM2" s="3" t="s">
        <v>800</v>
      </c>
      <c r="AN2">
        <v>1</v>
      </c>
      <c r="AO2">
        <v>4</v>
      </c>
      <c r="AP2">
        <v>1</v>
      </c>
      <c r="AQ2" t="s">
        <v>462</v>
      </c>
      <c r="AR2" t="s">
        <v>44</v>
      </c>
      <c r="AS2">
        <v>1</v>
      </c>
      <c r="AT2">
        <v>3311</v>
      </c>
      <c r="AU2">
        <v>3311</v>
      </c>
    </row>
    <row r="3" spans="1:47" ht="16" x14ac:dyDescent="0.2">
      <c r="A3" s="1" t="s">
        <v>14</v>
      </c>
      <c r="D3">
        <v>2</v>
      </c>
      <c r="E3" t="s">
        <v>73</v>
      </c>
      <c r="F3" t="s">
        <v>43</v>
      </c>
      <c r="G3">
        <v>1</v>
      </c>
      <c r="H3">
        <v>5395</v>
      </c>
      <c r="J3" s="1" t="s">
        <v>14</v>
      </c>
      <c r="M3">
        <v>2</v>
      </c>
      <c r="N3" t="s">
        <v>77</v>
      </c>
      <c r="O3" t="s">
        <v>44</v>
      </c>
      <c r="P3">
        <v>1</v>
      </c>
      <c r="Q3">
        <v>4314</v>
      </c>
      <c r="S3" s="1" t="s">
        <v>14</v>
      </c>
      <c r="V3">
        <v>2</v>
      </c>
      <c r="W3" t="s">
        <v>460</v>
      </c>
      <c r="X3" t="s">
        <v>43</v>
      </c>
      <c r="Y3">
        <v>1</v>
      </c>
      <c r="AB3" s="1" t="s">
        <v>14</v>
      </c>
      <c r="AE3">
        <v>2</v>
      </c>
      <c r="AF3" t="s">
        <v>93</v>
      </c>
      <c r="AG3" t="s">
        <v>43</v>
      </c>
      <c r="AH3">
        <v>1</v>
      </c>
      <c r="AI3">
        <v>4061</v>
      </c>
      <c r="AM3" s="1" t="s">
        <v>14</v>
      </c>
      <c r="AP3">
        <v>2</v>
      </c>
      <c r="AQ3" t="s">
        <v>461</v>
      </c>
      <c r="AR3" t="s">
        <v>43</v>
      </c>
      <c r="AS3">
        <v>1</v>
      </c>
      <c r="AT3">
        <v>2206</v>
      </c>
      <c r="AU3">
        <v>2206</v>
      </c>
    </row>
    <row r="4" spans="1:47" ht="16" x14ac:dyDescent="0.2">
      <c r="A4" s="1" t="s">
        <v>71</v>
      </c>
      <c r="D4">
        <v>3</v>
      </c>
      <c r="E4" t="s">
        <v>74</v>
      </c>
      <c r="F4" t="s">
        <v>43</v>
      </c>
      <c r="G4">
        <v>1</v>
      </c>
      <c r="H4">
        <v>6403</v>
      </c>
      <c r="J4" s="15">
        <v>43906</v>
      </c>
      <c r="M4">
        <v>3</v>
      </c>
      <c r="N4" t="s">
        <v>84</v>
      </c>
      <c r="O4" t="s">
        <v>44</v>
      </c>
      <c r="P4">
        <v>1</v>
      </c>
      <c r="Q4">
        <v>2225</v>
      </c>
      <c r="S4" s="15">
        <v>43916</v>
      </c>
      <c r="V4">
        <v>3</v>
      </c>
      <c r="W4" t="s">
        <v>461</v>
      </c>
      <c r="X4" t="s">
        <v>43</v>
      </c>
      <c r="Y4">
        <v>1</v>
      </c>
      <c r="AB4" s="26">
        <v>43971</v>
      </c>
      <c r="AE4">
        <v>3</v>
      </c>
      <c r="AF4" t="s">
        <v>83</v>
      </c>
      <c r="AG4" t="s">
        <v>44</v>
      </c>
      <c r="AH4">
        <v>1</v>
      </c>
      <c r="AI4">
        <v>3174</v>
      </c>
      <c r="AM4" s="15">
        <v>44027</v>
      </c>
      <c r="AP4">
        <v>3</v>
      </c>
      <c r="AQ4" t="s">
        <v>474</v>
      </c>
      <c r="AR4" t="s">
        <v>44</v>
      </c>
      <c r="AS4">
        <v>1</v>
      </c>
      <c r="AT4">
        <v>2498</v>
      </c>
      <c r="AU4">
        <v>2498</v>
      </c>
    </row>
    <row r="5" spans="1:47" ht="16" x14ac:dyDescent="0.2">
      <c r="D5">
        <v>4</v>
      </c>
      <c r="E5" t="s">
        <v>75</v>
      </c>
      <c r="F5" t="s">
        <v>44</v>
      </c>
      <c r="G5">
        <v>1</v>
      </c>
      <c r="H5">
        <v>2701</v>
      </c>
      <c r="M5">
        <v>4</v>
      </c>
      <c r="N5" t="s">
        <v>73</v>
      </c>
      <c r="O5" t="s">
        <v>43</v>
      </c>
      <c r="P5">
        <v>1</v>
      </c>
      <c r="Q5">
        <v>3107</v>
      </c>
      <c r="S5" s="5" t="s">
        <v>432</v>
      </c>
      <c r="V5">
        <v>4</v>
      </c>
      <c r="W5" t="s">
        <v>462</v>
      </c>
      <c r="X5" t="s">
        <v>44</v>
      </c>
      <c r="Y5" s="12">
        <v>1</v>
      </c>
      <c r="Z5" s="5"/>
      <c r="AB5" s="1" t="s">
        <v>698</v>
      </c>
      <c r="AE5">
        <v>4</v>
      </c>
      <c r="AF5" t="s">
        <v>77</v>
      </c>
      <c r="AG5" t="s">
        <v>44</v>
      </c>
      <c r="AH5">
        <v>1</v>
      </c>
      <c r="AI5">
        <v>2687</v>
      </c>
      <c r="AM5" s="5" t="s">
        <v>432</v>
      </c>
      <c r="AP5">
        <v>4</v>
      </c>
      <c r="AQ5" t="s">
        <v>463</v>
      </c>
      <c r="AR5" t="s">
        <v>43</v>
      </c>
      <c r="AS5">
        <v>1</v>
      </c>
      <c r="AT5">
        <v>2645</v>
      </c>
      <c r="AU5">
        <v>2645</v>
      </c>
    </row>
    <row r="6" spans="1:47" ht="16" x14ac:dyDescent="0.2">
      <c r="D6">
        <v>5</v>
      </c>
      <c r="E6" t="s">
        <v>76</v>
      </c>
      <c r="F6" t="s">
        <v>43</v>
      </c>
      <c r="G6">
        <v>1</v>
      </c>
      <c r="H6">
        <v>1275</v>
      </c>
      <c r="M6">
        <v>5</v>
      </c>
      <c r="N6" t="s">
        <v>90</v>
      </c>
      <c r="O6" t="s">
        <v>44</v>
      </c>
      <c r="P6">
        <v>1</v>
      </c>
      <c r="Q6">
        <v>3108</v>
      </c>
      <c r="S6" s="18" t="s">
        <v>673</v>
      </c>
      <c r="V6">
        <v>5</v>
      </c>
      <c r="W6" t="s">
        <v>463</v>
      </c>
      <c r="X6" t="s">
        <v>43</v>
      </c>
      <c r="Y6">
        <v>1</v>
      </c>
      <c r="AB6" s="1" t="s">
        <v>699</v>
      </c>
      <c r="AE6">
        <v>5</v>
      </c>
      <c r="AF6" t="s">
        <v>74</v>
      </c>
      <c r="AG6" t="s">
        <v>43</v>
      </c>
      <c r="AH6">
        <v>1</v>
      </c>
      <c r="AI6">
        <v>3605</v>
      </c>
      <c r="AM6" s="18"/>
      <c r="AP6">
        <v>5</v>
      </c>
      <c r="AQ6" t="s">
        <v>477</v>
      </c>
      <c r="AR6" t="s">
        <v>44</v>
      </c>
      <c r="AS6" s="5">
        <v>0</v>
      </c>
      <c r="AT6" s="5">
        <v>2395</v>
      </c>
      <c r="AU6" s="5"/>
    </row>
    <row r="7" spans="1:47" ht="16" x14ac:dyDescent="0.2">
      <c r="D7">
        <v>6</v>
      </c>
      <c r="E7" t="s">
        <v>77</v>
      </c>
      <c r="F7" t="s">
        <v>44</v>
      </c>
      <c r="G7">
        <v>1</v>
      </c>
      <c r="H7">
        <v>2642</v>
      </c>
      <c r="M7">
        <v>6</v>
      </c>
      <c r="N7" t="s">
        <v>79</v>
      </c>
      <c r="O7" t="s">
        <v>43</v>
      </c>
      <c r="P7">
        <v>1</v>
      </c>
      <c r="Q7">
        <v>2001</v>
      </c>
      <c r="V7">
        <v>6</v>
      </c>
      <c r="W7" t="s">
        <v>464</v>
      </c>
      <c r="X7" t="s">
        <v>44</v>
      </c>
      <c r="Y7">
        <v>1</v>
      </c>
      <c r="AB7" s="1" t="s">
        <v>700</v>
      </c>
      <c r="AE7">
        <v>6</v>
      </c>
      <c r="AF7" t="s">
        <v>76</v>
      </c>
      <c r="AG7" t="s">
        <v>43</v>
      </c>
      <c r="AH7">
        <v>1</v>
      </c>
      <c r="AI7">
        <v>1593</v>
      </c>
      <c r="AP7">
        <v>6</v>
      </c>
      <c r="AQ7" t="s">
        <v>469</v>
      </c>
      <c r="AR7" t="s">
        <v>43</v>
      </c>
      <c r="AS7">
        <v>1</v>
      </c>
      <c r="AT7">
        <v>3263</v>
      </c>
      <c r="AU7">
        <v>3263</v>
      </c>
    </row>
    <row r="8" spans="1:47" ht="16" x14ac:dyDescent="0.2">
      <c r="D8">
        <v>7</v>
      </c>
      <c r="E8" t="s">
        <v>78</v>
      </c>
      <c r="F8" t="s">
        <v>44</v>
      </c>
      <c r="G8">
        <v>1</v>
      </c>
      <c r="H8">
        <v>5680</v>
      </c>
      <c r="M8">
        <v>7</v>
      </c>
      <c r="N8" t="s">
        <v>78</v>
      </c>
      <c r="O8" t="s">
        <v>44</v>
      </c>
      <c r="P8" s="5">
        <v>0</v>
      </c>
      <c r="Q8" s="5">
        <v>2868</v>
      </c>
      <c r="V8">
        <v>7</v>
      </c>
      <c r="W8" t="s">
        <v>465</v>
      </c>
      <c r="X8" t="s">
        <v>43</v>
      </c>
      <c r="Y8">
        <v>1</v>
      </c>
      <c r="AB8" s="1" t="s">
        <v>701</v>
      </c>
      <c r="AE8">
        <v>7</v>
      </c>
      <c r="AF8" t="s">
        <v>79</v>
      </c>
      <c r="AG8" t="s">
        <v>43</v>
      </c>
      <c r="AH8">
        <v>1</v>
      </c>
      <c r="AI8">
        <v>2095</v>
      </c>
      <c r="AP8">
        <v>7</v>
      </c>
      <c r="AQ8" t="s">
        <v>465</v>
      </c>
      <c r="AR8" t="s">
        <v>43</v>
      </c>
      <c r="AS8">
        <v>1</v>
      </c>
      <c r="AT8">
        <v>3799</v>
      </c>
      <c r="AU8">
        <v>3799</v>
      </c>
    </row>
    <row r="9" spans="1:47" x14ac:dyDescent="0.2">
      <c r="D9">
        <v>8</v>
      </c>
      <c r="E9" t="s">
        <v>79</v>
      </c>
      <c r="F9" t="s">
        <v>43</v>
      </c>
      <c r="G9">
        <v>1</v>
      </c>
      <c r="H9">
        <v>2629</v>
      </c>
      <c r="M9">
        <v>8</v>
      </c>
      <c r="N9" t="s">
        <v>87</v>
      </c>
      <c r="O9" t="s">
        <v>44</v>
      </c>
      <c r="P9">
        <v>1</v>
      </c>
      <c r="Q9">
        <v>2339</v>
      </c>
      <c r="V9">
        <v>8</v>
      </c>
      <c r="W9" t="s">
        <v>466</v>
      </c>
      <c r="X9" t="s">
        <v>43</v>
      </c>
      <c r="Y9">
        <v>1</v>
      </c>
      <c r="AE9">
        <v>8</v>
      </c>
      <c r="AF9" t="s">
        <v>78</v>
      </c>
      <c r="AG9" t="s">
        <v>44</v>
      </c>
      <c r="AH9" s="25">
        <v>0</v>
      </c>
      <c r="AI9" s="25"/>
      <c r="AP9">
        <v>8</v>
      </c>
      <c r="AQ9" t="s">
        <v>472</v>
      </c>
      <c r="AR9" t="s">
        <v>44</v>
      </c>
      <c r="AS9">
        <v>1</v>
      </c>
      <c r="AT9">
        <v>2665</v>
      </c>
      <c r="AU9">
        <v>2665</v>
      </c>
    </row>
    <row r="10" spans="1:47" ht="16" x14ac:dyDescent="0.2">
      <c r="D10">
        <v>9</v>
      </c>
      <c r="E10" t="s">
        <v>80</v>
      </c>
      <c r="F10" t="s">
        <v>43</v>
      </c>
      <c r="G10">
        <v>1</v>
      </c>
      <c r="H10">
        <v>3502</v>
      </c>
      <c r="M10">
        <v>9</v>
      </c>
      <c r="N10" t="s">
        <v>83</v>
      </c>
      <c r="O10" t="s">
        <v>44</v>
      </c>
      <c r="P10">
        <v>1</v>
      </c>
      <c r="Q10">
        <v>2794</v>
      </c>
      <c r="V10">
        <v>9</v>
      </c>
      <c r="W10" t="s">
        <v>467</v>
      </c>
      <c r="X10" t="s">
        <v>43</v>
      </c>
      <c r="Y10">
        <v>1</v>
      </c>
      <c r="AB10" s="1" t="s">
        <v>702</v>
      </c>
      <c r="AE10">
        <v>9</v>
      </c>
      <c r="AF10" t="s">
        <v>81</v>
      </c>
      <c r="AG10" t="s">
        <v>44</v>
      </c>
      <c r="AH10">
        <v>1</v>
      </c>
      <c r="AI10">
        <v>2351</v>
      </c>
      <c r="AP10">
        <v>9</v>
      </c>
      <c r="AQ10" t="s">
        <v>479</v>
      </c>
      <c r="AR10" t="s">
        <v>43</v>
      </c>
      <c r="AS10">
        <v>1</v>
      </c>
      <c r="AT10">
        <v>1461</v>
      </c>
      <c r="AU10">
        <v>1461</v>
      </c>
    </row>
    <row r="11" spans="1:47" x14ac:dyDescent="0.2">
      <c r="D11">
        <v>10</v>
      </c>
      <c r="E11" t="s">
        <v>81</v>
      </c>
      <c r="F11" t="s">
        <v>44</v>
      </c>
      <c r="G11">
        <v>1</v>
      </c>
      <c r="H11">
        <v>2510</v>
      </c>
      <c r="M11">
        <v>10</v>
      </c>
      <c r="N11" t="s">
        <v>95</v>
      </c>
      <c r="O11" t="s">
        <v>43</v>
      </c>
      <c r="P11">
        <v>1</v>
      </c>
      <c r="Q11">
        <v>2174</v>
      </c>
      <c r="V11">
        <v>10</v>
      </c>
      <c r="W11" t="s">
        <v>468</v>
      </c>
      <c r="X11" t="s">
        <v>43</v>
      </c>
      <c r="Y11">
        <v>1</v>
      </c>
      <c r="AE11">
        <v>10</v>
      </c>
      <c r="AF11" t="s">
        <v>90</v>
      </c>
      <c r="AG11" t="s">
        <v>44</v>
      </c>
      <c r="AH11">
        <v>1</v>
      </c>
      <c r="AI11">
        <v>3742</v>
      </c>
      <c r="AP11">
        <v>10</v>
      </c>
      <c r="AQ11" t="s">
        <v>459</v>
      </c>
      <c r="AR11" t="s">
        <v>44</v>
      </c>
      <c r="AS11">
        <v>1</v>
      </c>
      <c r="AT11">
        <v>1784</v>
      </c>
      <c r="AU11">
        <v>1784</v>
      </c>
    </row>
    <row r="12" spans="1:47" x14ac:dyDescent="0.2">
      <c r="D12">
        <v>11</v>
      </c>
      <c r="E12" t="s">
        <v>82</v>
      </c>
      <c r="F12" t="s">
        <v>44</v>
      </c>
      <c r="G12">
        <v>1</v>
      </c>
      <c r="H12">
        <v>1799</v>
      </c>
      <c r="M12">
        <v>11</v>
      </c>
      <c r="N12" t="s">
        <v>86</v>
      </c>
      <c r="O12" t="s">
        <v>43</v>
      </c>
      <c r="P12">
        <v>1</v>
      </c>
      <c r="Q12">
        <v>2891</v>
      </c>
      <c r="V12">
        <v>11</v>
      </c>
      <c r="W12" t="s">
        <v>469</v>
      </c>
      <c r="X12" t="s">
        <v>43</v>
      </c>
      <c r="Y12" s="5">
        <v>0</v>
      </c>
      <c r="AE12">
        <v>11</v>
      </c>
      <c r="AF12" t="s">
        <v>85</v>
      </c>
      <c r="AG12" t="s">
        <v>43</v>
      </c>
      <c r="AH12">
        <v>1</v>
      </c>
      <c r="AI12">
        <v>1907</v>
      </c>
      <c r="AP12">
        <v>11</v>
      </c>
      <c r="AQ12" t="s">
        <v>473</v>
      </c>
      <c r="AR12" t="s">
        <v>44</v>
      </c>
      <c r="AS12">
        <v>1</v>
      </c>
      <c r="AT12">
        <v>3052</v>
      </c>
      <c r="AU12">
        <v>3052</v>
      </c>
    </row>
    <row r="13" spans="1:47" x14ac:dyDescent="0.2">
      <c r="D13">
        <v>12</v>
      </c>
      <c r="E13" t="s">
        <v>83</v>
      </c>
      <c r="F13" t="s">
        <v>44</v>
      </c>
      <c r="G13">
        <v>1</v>
      </c>
      <c r="H13">
        <v>2569</v>
      </c>
      <c r="M13">
        <v>12</v>
      </c>
      <c r="N13" t="s">
        <v>74</v>
      </c>
      <c r="O13" t="s">
        <v>43</v>
      </c>
      <c r="P13">
        <v>1</v>
      </c>
      <c r="Q13">
        <v>4309</v>
      </c>
      <c r="V13">
        <v>12</v>
      </c>
      <c r="W13" t="s">
        <v>470</v>
      </c>
      <c r="X13" t="s">
        <v>44</v>
      </c>
      <c r="Y13">
        <v>1</v>
      </c>
      <c r="AE13">
        <v>12</v>
      </c>
      <c r="AF13" t="s">
        <v>88</v>
      </c>
      <c r="AG13" t="s">
        <v>44</v>
      </c>
      <c r="AH13">
        <v>1</v>
      </c>
      <c r="AI13">
        <v>3310</v>
      </c>
      <c r="AP13">
        <v>12</v>
      </c>
      <c r="AQ13" t="s">
        <v>478</v>
      </c>
      <c r="AR13" t="s">
        <v>44</v>
      </c>
      <c r="AS13">
        <v>1</v>
      </c>
      <c r="AT13">
        <v>2573</v>
      </c>
      <c r="AU13">
        <v>2573</v>
      </c>
    </row>
    <row r="14" spans="1:47" x14ac:dyDescent="0.2">
      <c r="D14">
        <v>13</v>
      </c>
      <c r="E14" t="s">
        <v>84</v>
      </c>
      <c r="F14" t="s">
        <v>44</v>
      </c>
      <c r="G14">
        <v>1</v>
      </c>
      <c r="H14">
        <v>1699</v>
      </c>
      <c r="M14">
        <v>13</v>
      </c>
      <c r="N14" t="s">
        <v>80</v>
      </c>
      <c r="O14" t="s">
        <v>43</v>
      </c>
      <c r="P14">
        <v>1</v>
      </c>
      <c r="Q14">
        <v>2813</v>
      </c>
      <c r="V14">
        <v>13</v>
      </c>
      <c r="W14" t="s">
        <v>471</v>
      </c>
      <c r="X14" t="s">
        <v>43</v>
      </c>
      <c r="Y14">
        <v>1</v>
      </c>
      <c r="AE14">
        <v>13</v>
      </c>
      <c r="AF14" t="s">
        <v>97</v>
      </c>
      <c r="AG14" t="s">
        <v>44</v>
      </c>
      <c r="AH14">
        <v>1</v>
      </c>
      <c r="AI14">
        <v>2456</v>
      </c>
      <c r="AP14">
        <v>13</v>
      </c>
      <c r="AQ14" t="s">
        <v>464</v>
      </c>
      <c r="AR14" t="s">
        <v>44</v>
      </c>
      <c r="AS14">
        <v>1</v>
      </c>
      <c r="AT14">
        <v>2436</v>
      </c>
      <c r="AU14">
        <v>2436</v>
      </c>
    </row>
    <row r="15" spans="1:47" x14ac:dyDescent="0.2">
      <c r="D15">
        <v>14</v>
      </c>
      <c r="E15" t="s">
        <v>85</v>
      </c>
      <c r="F15" t="s">
        <v>43</v>
      </c>
      <c r="G15">
        <v>1</v>
      </c>
      <c r="H15">
        <v>1427</v>
      </c>
      <c r="M15">
        <v>14</v>
      </c>
      <c r="N15" t="s">
        <v>75</v>
      </c>
      <c r="O15" t="s">
        <v>44</v>
      </c>
      <c r="P15" s="5">
        <v>0</v>
      </c>
      <c r="Q15" s="5">
        <v>4080</v>
      </c>
      <c r="V15">
        <v>14</v>
      </c>
      <c r="W15" t="s">
        <v>472</v>
      </c>
      <c r="X15" t="s">
        <v>44</v>
      </c>
      <c r="Y15">
        <v>1</v>
      </c>
      <c r="AE15">
        <v>14</v>
      </c>
      <c r="AF15" t="s">
        <v>75</v>
      </c>
      <c r="AG15" t="s">
        <v>44</v>
      </c>
      <c r="AH15" s="25">
        <v>0</v>
      </c>
      <c r="AI15" s="25"/>
      <c r="AP15">
        <v>14</v>
      </c>
      <c r="AQ15" t="s">
        <v>475</v>
      </c>
      <c r="AR15" t="s">
        <v>43</v>
      </c>
      <c r="AS15">
        <v>1</v>
      </c>
      <c r="AT15">
        <v>1761</v>
      </c>
      <c r="AU15">
        <v>1761</v>
      </c>
    </row>
    <row r="16" spans="1:47" x14ac:dyDescent="0.2">
      <c r="D16">
        <v>15</v>
      </c>
      <c r="E16" t="s">
        <v>86</v>
      </c>
      <c r="F16" t="s">
        <v>43</v>
      </c>
      <c r="G16">
        <v>1</v>
      </c>
      <c r="H16">
        <v>4170</v>
      </c>
      <c r="M16">
        <v>15</v>
      </c>
      <c r="N16" t="s">
        <v>81</v>
      </c>
      <c r="O16" t="s">
        <v>44</v>
      </c>
      <c r="P16">
        <v>1</v>
      </c>
      <c r="Q16">
        <v>3067</v>
      </c>
      <c r="V16">
        <v>15</v>
      </c>
      <c r="W16" t="s">
        <v>473</v>
      </c>
      <c r="X16" t="s">
        <v>44</v>
      </c>
      <c r="Y16">
        <v>1</v>
      </c>
      <c r="AE16">
        <v>15</v>
      </c>
      <c r="AF16" t="s">
        <v>96</v>
      </c>
      <c r="AG16" t="s">
        <v>44</v>
      </c>
      <c r="AH16">
        <v>1</v>
      </c>
      <c r="AI16">
        <v>3258</v>
      </c>
      <c r="AP16">
        <v>15</v>
      </c>
      <c r="AQ16" t="s">
        <v>460</v>
      </c>
      <c r="AR16" t="s">
        <v>43</v>
      </c>
      <c r="AS16">
        <v>1</v>
      </c>
      <c r="AT16">
        <v>2066</v>
      </c>
      <c r="AU16">
        <v>2066</v>
      </c>
    </row>
    <row r="17" spans="4:48" x14ac:dyDescent="0.2">
      <c r="D17">
        <v>16</v>
      </c>
      <c r="E17" t="s">
        <v>87</v>
      </c>
      <c r="F17" t="s">
        <v>44</v>
      </c>
      <c r="G17">
        <v>1</v>
      </c>
      <c r="H17">
        <v>2965</v>
      </c>
      <c r="M17">
        <v>16</v>
      </c>
      <c r="N17" t="s">
        <v>91</v>
      </c>
      <c r="O17" t="s">
        <v>43</v>
      </c>
      <c r="P17">
        <v>1</v>
      </c>
      <c r="Q17">
        <v>1853</v>
      </c>
      <c r="V17">
        <v>16</v>
      </c>
      <c r="W17" t="s">
        <v>474</v>
      </c>
      <c r="X17" t="s">
        <v>44</v>
      </c>
      <c r="Y17" s="5">
        <v>0</v>
      </c>
      <c r="AE17">
        <v>16</v>
      </c>
      <c r="AF17" t="s">
        <v>91</v>
      </c>
      <c r="AG17" t="s">
        <v>43</v>
      </c>
      <c r="AH17">
        <v>1</v>
      </c>
      <c r="AI17">
        <v>1800</v>
      </c>
      <c r="AP17">
        <v>16</v>
      </c>
      <c r="AQ17" t="s">
        <v>470</v>
      </c>
      <c r="AR17" t="s">
        <v>44</v>
      </c>
      <c r="AS17">
        <v>1</v>
      </c>
      <c r="AT17">
        <v>3740</v>
      </c>
      <c r="AU17">
        <v>3740</v>
      </c>
    </row>
    <row r="18" spans="4:48" x14ac:dyDescent="0.2">
      <c r="D18">
        <v>17</v>
      </c>
      <c r="E18" t="s">
        <v>88</v>
      </c>
      <c r="F18" t="s">
        <v>44</v>
      </c>
      <c r="G18">
        <v>1</v>
      </c>
      <c r="H18">
        <v>2863</v>
      </c>
      <c r="M18">
        <v>17</v>
      </c>
      <c r="N18" t="s">
        <v>76</v>
      </c>
      <c r="O18" t="s">
        <v>43</v>
      </c>
      <c r="P18">
        <v>1</v>
      </c>
      <c r="Q18">
        <v>1230</v>
      </c>
      <c r="V18">
        <v>17</v>
      </c>
      <c r="W18" t="s">
        <v>475</v>
      </c>
      <c r="X18" t="s">
        <v>43</v>
      </c>
      <c r="Y18">
        <v>1</v>
      </c>
      <c r="AE18">
        <v>17</v>
      </c>
      <c r="AF18" t="s">
        <v>92</v>
      </c>
      <c r="AG18" t="s">
        <v>44</v>
      </c>
      <c r="AH18">
        <v>1</v>
      </c>
      <c r="AI18">
        <v>2209</v>
      </c>
      <c r="AP18">
        <v>17</v>
      </c>
      <c r="AQ18" t="s">
        <v>481</v>
      </c>
      <c r="AR18" t="s">
        <v>44</v>
      </c>
      <c r="AS18" s="5">
        <v>0</v>
      </c>
      <c r="AT18" s="5">
        <v>3451</v>
      </c>
      <c r="AU18" s="5"/>
    </row>
    <row r="19" spans="4:48" x14ac:dyDescent="0.2">
      <c r="D19">
        <v>18</v>
      </c>
      <c r="E19" t="s">
        <v>89</v>
      </c>
      <c r="F19" t="s">
        <v>43</v>
      </c>
      <c r="G19">
        <v>1</v>
      </c>
      <c r="H19">
        <v>2159</v>
      </c>
      <c r="M19">
        <v>18</v>
      </c>
      <c r="N19" t="s">
        <v>96</v>
      </c>
      <c r="O19" t="s">
        <v>44</v>
      </c>
      <c r="P19">
        <v>1</v>
      </c>
      <c r="Q19">
        <v>2068</v>
      </c>
      <c r="V19">
        <v>18</v>
      </c>
      <c r="W19" t="s">
        <v>476</v>
      </c>
      <c r="X19" t="s">
        <v>44</v>
      </c>
      <c r="Y19" s="5">
        <v>0</v>
      </c>
      <c r="AE19">
        <v>18</v>
      </c>
      <c r="AF19" t="s">
        <v>84</v>
      </c>
      <c r="AG19" t="s">
        <v>44</v>
      </c>
      <c r="AH19">
        <v>1</v>
      </c>
      <c r="AI19">
        <v>1893</v>
      </c>
      <c r="AP19">
        <v>18</v>
      </c>
      <c r="AQ19" t="s">
        <v>483</v>
      </c>
      <c r="AR19" t="s">
        <v>44</v>
      </c>
      <c r="AS19">
        <v>1</v>
      </c>
      <c r="AT19">
        <v>2838</v>
      </c>
      <c r="AU19">
        <v>2838</v>
      </c>
    </row>
    <row r="20" spans="4:48" x14ac:dyDescent="0.2">
      <c r="D20">
        <v>19</v>
      </c>
      <c r="E20" t="s">
        <v>90</v>
      </c>
      <c r="F20" t="s">
        <v>44</v>
      </c>
      <c r="G20">
        <v>1</v>
      </c>
      <c r="H20">
        <v>3026</v>
      </c>
      <c r="M20">
        <v>19</v>
      </c>
      <c r="N20" t="s">
        <v>94</v>
      </c>
      <c r="O20" t="s">
        <v>43</v>
      </c>
      <c r="P20">
        <v>1</v>
      </c>
      <c r="Q20">
        <v>3196</v>
      </c>
      <c r="V20">
        <v>19</v>
      </c>
      <c r="W20" t="s">
        <v>477</v>
      </c>
      <c r="X20" t="s">
        <v>44</v>
      </c>
      <c r="Y20">
        <v>1</v>
      </c>
      <c r="AE20">
        <v>19</v>
      </c>
      <c r="AF20" t="s">
        <v>94</v>
      </c>
      <c r="AG20" t="s">
        <v>43</v>
      </c>
      <c r="AH20">
        <v>1</v>
      </c>
      <c r="AI20">
        <v>1830</v>
      </c>
      <c r="AP20">
        <v>19</v>
      </c>
      <c r="AQ20" t="s">
        <v>471</v>
      </c>
      <c r="AR20" t="s">
        <v>43</v>
      </c>
      <c r="AS20">
        <v>1</v>
      </c>
      <c r="AT20">
        <v>1888</v>
      </c>
      <c r="AU20">
        <v>1888</v>
      </c>
    </row>
    <row r="21" spans="4:48" x14ac:dyDescent="0.2">
      <c r="D21">
        <v>20</v>
      </c>
      <c r="E21" t="s">
        <v>91</v>
      </c>
      <c r="F21" t="s">
        <v>43</v>
      </c>
      <c r="G21">
        <v>1</v>
      </c>
      <c r="H21">
        <v>2455</v>
      </c>
      <c r="M21">
        <v>20</v>
      </c>
      <c r="N21" t="s">
        <v>92</v>
      </c>
      <c r="O21" t="s">
        <v>44</v>
      </c>
      <c r="P21">
        <v>1</v>
      </c>
      <c r="Q21">
        <v>1880</v>
      </c>
      <c r="V21">
        <v>20</v>
      </c>
      <c r="W21" t="s">
        <v>478</v>
      </c>
      <c r="X21" t="s">
        <v>44</v>
      </c>
      <c r="Y21">
        <v>1</v>
      </c>
      <c r="AE21">
        <v>20</v>
      </c>
      <c r="AF21" t="s">
        <v>87</v>
      </c>
      <c r="AG21" t="s">
        <v>44</v>
      </c>
      <c r="AH21">
        <v>1</v>
      </c>
      <c r="AI21">
        <v>2084</v>
      </c>
      <c r="AP21">
        <v>20</v>
      </c>
      <c r="AQ21" t="s">
        <v>482</v>
      </c>
      <c r="AR21" t="s">
        <v>43</v>
      </c>
      <c r="AS21">
        <v>1</v>
      </c>
      <c r="AT21">
        <v>4510</v>
      </c>
      <c r="AU21">
        <v>4510</v>
      </c>
    </row>
    <row r="22" spans="4:48" x14ac:dyDescent="0.2">
      <c r="D22">
        <v>21</v>
      </c>
      <c r="E22" t="s">
        <v>92</v>
      </c>
      <c r="F22" t="s">
        <v>44</v>
      </c>
      <c r="G22">
        <v>1</v>
      </c>
      <c r="H22">
        <v>2420</v>
      </c>
      <c r="M22">
        <v>21</v>
      </c>
      <c r="N22" t="s">
        <v>97</v>
      </c>
      <c r="O22" t="s">
        <v>44</v>
      </c>
      <c r="P22">
        <v>1</v>
      </c>
      <c r="Q22">
        <v>3332</v>
      </c>
      <c r="V22">
        <v>21</v>
      </c>
      <c r="W22" t="s">
        <v>479</v>
      </c>
      <c r="X22" t="s">
        <v>43</v>
      </c>
      <c r="Y22">
        <v>1</v>
      </c>
      <c r="AE22">
        <v>21</v>
      </c>
      <c r="AF22" t="s">
        <v>95</v>
      </c>
      <c r="AG22" t="s">
        <v>43</v>
      </c>
      <c r="AH22">
        <v>1</v>
      </c>
      <c r="AI22">
        <v>1697</v>
      </c>
      <c r="AP22">
        <v>21</v>
      </c>
      <c r="AQ22" t="s">
        <v>466</v>
      </c>
      <c r="AR22" t="s">
        <v>43</v>
      </c>
      <c r="AS22">
        <v>1</v>
      </c>
      <c r="AT22">
        <v>2533</v>
      </c>
      <c r="AU22">
        <v>2533</v>
      </c>
    </row>
    <row r="23" spans="4:48" x14ac:dyDescent="0.2">
      <c r="D23">
        <v>22</v>
      </c>
      <c r="E23" t="s">
        <v>93</v>
      </c>
      <c r="F23" t="s">
        <v>43</v>
      </c>
      <c r="G23" s="5">
        <v>0</v>
      </c>
      <c r="H23" s="5">
        <v>5582</v>
      </c>
      <c r="M23">
        <v>22</v>
      </c>
      <c r="N23" t="s">
        <v>82</v>
      </c>
      <c r="O23" t="s">
        <v>44</v>
      </c>
      <c r="P23">
        <v>1</v>
      </c>
      <c r="Q23">
        <v>1568</v>
      </c>
      <c r="V23">
        <v>22</v>
      </c>
      <c r="W23" t="s">
        <v>480</v>
      </c>
      <c r="X23" t="s">
        <v>44</v>
      </c>
      <c r="Y23">
        <v>1</v>
      </c>
      <c r="AE23">
        <v>22</v>
      </c>
      <c r="AF23" t="s">
        <v>86</v>
      </c>
      <c r="AG23" t="s">
        <v>43</v>
      </c>
      <c r="AH23">
        <v>1</v>
      </c>
      <c r="AI23">
        <v>2189</v>
      </c>
      <c r="AP23">
        <v>22</v>
      </c>
      <c r="AQ23" t="s">
        <v>484</v>
      </c>
      <c r="AR23" t="s">
        <v>43</v>
      </c>
      <c r="AS23">
        <v>1</v>
      </c>
      <c r="AT23">
        <v>2398</v>
      </c>
      <c r="AU23">
        <v>2398</v>
      </c>
    </row>
    <row r="24" spans="4:48" x14ac:dyDescent="0.2">
      <c r="D24">
        <v>23</v>
      </c>
      <c r="E24" t="s">
        <v>94</v>
      </c>
      <c r="F24" t="s">
        <v>43</v>
      </c>
      <c r="G24">
        <v>1</v>
      </c>
      <c r="H24">
        <v>2663</v>
      </c>
      <c r="M24">
        <v>23</v>
      </c>
      <c r="N24" t="s">
        <v>88</v>
      </c>
      <c r="O24" t="s">
        <v>44</v>
      </c>
      <c r="P24">
        <v>1</v>
      </c>
      <c r="Q24">
        <v>4130</v>
      </c>
      <c r="V24">
        <v>23</v>
      </c>
      <c r="W24" t="s">
        <v>481</v>
      </c>
      <c r="X24" t="s">
        <v>44</v>
      </c>
      <c r="Y24">
        <v>1</v>
      </c>
      <c r="AE24">
        <v>23</v>
      </c>
      <c r="AF24" t="s">
        <v>89</v>
      </c>
      <c r="AG24" t="s">
        <v>43</v>
      </c>
      <c r="AH24">
        <v>1</v>
      </c>
      <c r="AI24">
        <v>1826</v>
      </c>
      <c r="AP24">
        <v>23</v>
      </c>
      <c r="AQ24" t="s">
        <v>476</v>
      </c>
      <c r="AR24" t="s">
        <v>44</v>
      </c>
      <c r="AS24">
        <v>1</v>
      </c>
      <c r="AT24">
        <v>3629</v>
      </c>
      <c r="AU24">
        <v>3629</v>
      </c>
    </row>
    <row r="25" spans="4:48" x14ac:dyDescent="0.2">
      <c r="D25">
        <v>24</v>
      </c>
      <c r="E25" t="s">
        <v>95</v>
      </c>
      <c r="F25" t="s">
        <v>43</v>
      </c>
      <c r="G25">
        <v>1</v>
      </c>
      <c r="H25">
        <v>1488</v>
      </c>
      <c r="M25">
        <v>24</v>
      </c>
      <c r="N25" t="s">
        <v>85</v>
      </c>
      <c r="O25" t="s">
        <v>43</v>
      </c>
      <c r="P25">
        <v>1</v>
      </c>
      <c r="Q25">
        <v>1445</v>
      </c>
      <c r="V25">
        <v>24</v>
      </c>
      <c r="W25" t="s">
        <v>482</v>
      </c>
      <c r="X25" t="s">
        <v>43</v>
      </c>
      <c r="Y25" s="5">
        <v>0</v>
      </c>
      <c r="AE25">
        <v>24</v>
      </c>
      <c r="AF25" t="s">
        <v>72</v>
      </c>
      <c r="AG25" t="s">
        <v>43</v>
      </c>
      <c r="AH25">
        <v>1</v>
      </c>
      <c r="AI25">
        <v>2220</v>
      </c>
      <c r="AP25">
        <v>24</v>
      </c>
      <c r="AQ25" t="s">
        <v>468</v>
      </c>
      <c r="AR25" t="s">
        <v>43</v>
      </c>
      <c r="AS25">
        <v>1</v>
      </c>
      <c r="AT25">
        <v>1771</v>
      </c>
      <c r="AU25">
        <v>1771</v>
      </c>
    </row>
    <row r="26" spans="4:48" x14ac:dyDescent="0.2">
      <c r="D26">
        <v>25</v>
      </c>
      <c r="E26" t="s">
        <v>96</v>
      </c>
      <c r="F26" t="s">
        <v>44</v>
      </c>
      <c r="G26">
        <v>1</v>
      </c>
      <c r="H26">
        <v>5082</v>
      </c>
      <c r="M26">
        <v>25</v>
      </c>
      <c r="N26" t="s">
        <v>89</v>
      </c>
      <c r="O26" t="s">
        <v>43</v>
      </c>
      <c r="P26">
        <v>1</v>
      </c>
      <c r="Q26">
        <v>2019</v>
      </c>
      <c r="V26">
        <v>25</v>
      </c>
      <c r="W26" t="s">
        <v>483</v>
      </c>
      <c r="X26" t="s">
        <v>44</v>
      </c>
      <c r="Y26">
        <v>1</v>
      </c>
      <c r="AE26">
        <v>25</v>
      </c>
      <c r="AF26" t="s">
        <v>73</v>
      </c>
      <c r="AG26" t="s">
        <v>43</v>
      </c>
      <c r="AH26">
        <v>1</v>
      </c>
      <c r="AI26">
        <v>4881</v>
      </c>
      <c r="AP26">
        <v>25</v>
      </c>
      <c r="AQ26" t="s">
        <v>467</v>
      </c>
      <c r="AR26" t="s">
        <v>43</v>
      </c>
      <c r="AS26">
        <v>1</v>
      </c>
      <c r="AT26">
        <v>1951</v>
      </c>
      <c r="AU26">
        <v>1951</v>
      </c>
    </row>
    <row r="27" spans="4:48" x14ac:dyDescent="0.2">
      <c r="D27">
        <v>26</v>
      </c>
      <c r="E27" t="s">
        <v>97</v>
      </c>
      <c r="F27" t="s">
        <v>44</v>
      </c>
      <c r="G27">
        <v>1</v>
      </c>
      <c r="H27">
        <v>2131</v>
      </c>
      <c r="M27">
        <v>26</v>
      </c>
      <c r="N27" t="s">
        <v>93</v>
      </c>
      <c r="O27" t="s">
        <v>43</v>
      </c>
      <c r="P27">
        <v>1</v>
      </c>
      <c r="Q27">
        <v>6906</v>
      </c>
      <c r="V27">
        <v>26</v>
      </c>
      <c r="W27" t="s">
        <v>484</v>
      </c>
      <c r="X27" t="s">
        <v>43</v>
      </c>
      <c r="Y27">
        <v>1</v>
      </c>
      <c r="AE27">
        <v>26</v>
      </c>
      <c r="AF27" t="s">
        <v>80</v>
      </c>
      <c r="AG27" t="s">
        <v>43</v>
      </c>
      <c r="AH27" s="25">
        <v>0</v>
      </c>
      <c r="AI27" s="25"/>
      <c r="AP27">
        <v>26</v>
      </c>
      <c r="AQ27" t="s">
        <v>480</v>
      </c>
      <c r="AR27" t="s">
        <v>44</v>
      </c>
      <c r="AS27">
        <v>1</v>
      </c>
      <c r="AT27">
        <v>2268</v>
      </c>
      <c r="AU27">
        <v>2268</v>
      </c>
    </row>
    <row r="28" spans="4:48" x14ac:dyDescent="0.2">
      <c r="Y28" s="18">
        <f>SUM(Y2:Y27)</f>
        <v>22</v>
      </c>
      <c r="AH28">
        <f>SUM(AH2:AH27)</f>
        <v>23</v>
      </c>
      <c r="AI28">
        <f>SUM(AI2:AI27)</f>
        <v>59911</v>
      </c>
      <c r="AS28">
        <f>SUM(AS2:AS27)</f>
        <v>24</v>
      </c>
      <c r="AU28">
        <f>SUM(AU2:AU27)</f>
        <v>63046</v>
      </c>
      <c r="AV28">
        <v>24</v>
      </c>
    </row>
    <row r="29" spans="4:48" x14ac:dyDescent="0.2">
      <c r="G29" s="2">
        <f>SUM(G2:G27)</f>
        <v>25</v>
      </c>
      <c r="H29" s="2">
        <f>AVERAGE(H2:H22,H24:H27)</f>
        <v>3057.4</v>
      </c>
      <c r="P29" s="2">
        <f>SUM(P2:P27)</f>
        <v>24</v>
      </c>
      <c r="Q29" s="2">
        <f>AVERAGE(Q2:Q7,Q9:Q14,Q16:Q27)</f>
        <v>2915.7916666666665</v>
      </c>
      <c r="AU29" s="13">
        <f>AU28/AV28</f>
        <v>2626.9166666666665</v>
      </c>
    </row>
    <row r="30" spans="4:48" x14ac:dyDescent="0.2">
      <c r="AI30">
        <f>AI28/AH28</f>
        <v>2604.8260869565215</v>
      </c>
    </row>
    <row r="33" spans="3:14" x14ac:dyDescent="0.2">
      <c r="D33" t="s">
        <v>749</v>
      </c>
      <c r="E33" t="s">
        <v>215</v>
      </c>
      <c r="F33" t="s">
        <v>750</v>
      </c>
      <c r="G33" t="s">
        <v>751</v>
      </c>
      <c r="L33" t="s">
        <v>749</v>
      </c>
      <c r="M33" t="s">
        <v>215</v>
      </c>
      <c r="N33" t="s">
        <v>751</v>
      </c>
    </row>
    <row r="34" spans="3:14" x14ac:dyDescent="0.2">
      <c r="C34" t="s">
        <v>753</v>
      </c>
      <c r="D34">
        <v>25</v>
      </c>
      <c r="E34">
        <v>24</v>
      </c>
      <c r="F34">
        <v>22</v>
      </c>
      <c r="G34">
        <v>23</v>
      </c>
      <c r="K34" t="s">
        <v>772</v>
      </c>
      <c r="L34">
        <v>3057.4</v>
      </c>
      <c r="M34">
        <v>2915.7916666666665</v>
      </c>
      <c r="N34">
        <v>2604.8260869565215</v>
      </c>
    </row>
  </sheetData>
  <pageMargins left="0.7" right="0.7" top="0.75" bottom="0.75" header="0.3" footer="0.3"/>
  <pageSetup paperSize="9" orientation="portrait" horizontalDpi="4294967294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34"/>
  <sheetViews>
    <sheetView topLeftCell="AH8" zoomScale="110" zoomScaleNormal="110" workbookViewId="0">
      <selection activeCell="AO29" sqref="AO29"/>
    </sheetView>
  </sheetViews>
  <sheetFormatPr baseColWidth="10" defaultColWidth="11.5" defaultRowHeight="15" x14ac:dyDescent="0.2"/>
  <cols>
    <col min="1" max="1" width="17.33203125" customWidth="1"/>
    <col min="6" max="6" width="19.1640625" customWidth="1"/>
    <col min="7" max="7" width="18.5" customWidth="1"/>
    <col min="9" max="9" width="16.5" bestFit="1" customWidth="1"/>
    <col min="14" max="14" width="17.5" bestFit="1" customWidth="1"/>
    <col min="15" max="15" width="16" bestFit="1" customWidth="1"/>
    <col min="17" max="17" width="16.5" bestFit="1" customWidth="1"/>
    <col min="22" max="22" width="17.5" bestFit="1" customWidth="1"/>
    <col min="23" max="23" width="16" bestFit="1" customWidth="1"/>
    <col min="26" max="26" width="16.5" bestFit="1" customWidth="1"/>
    <col min="31" max="31" width="17.5" bestFit="1" customWidth="1"/>
    <col min="32" max="32" width="16" bestFit="1" customWidth="1"/>
    <col min="35" max="35" width="19.83203125" customWidth="1"/>
    <col min="40" max="40" width="14.83203125" customWidth="1"/>
    <col min="41" max="41" width="16.83203125" customWidth="1"/>
  </cols>
  <sheetData>
    <row r="1" spans="1:42" s="6" customFormat="1" ht="16" x14ac:dyDescent="0.2">
      <c r="A1" s="1" t="s">
        <v>41</v>
      </c>
      <c r="B1" s="1" t="s">
        <v>0</v>
      </c>
      <c r="C1" s="1" t="s">
        <v>1</v>
      </c>
      <c r="D1" s="1" t="s">
        <v>2</v>
      </c>
      <c r="E1" s="1" t="s">
        <v>9</v>
      </c>
      <c r="F1" s="1" t="s">
        <v>10</v>
      </c>
      <c r="G1" s="1" t="s">
        <v>11</v>
      </c>
      <c r="I1" s="1" t="s">
        <v>41</v>
      </c>
      <c r="J1" s="1" t="s">
        <v>0</v>
      </c>
      <c r="K1" s="1" t="s">
        <v>1</v>
      </c>
      <c r="L1" s="1" t="s">
        <v>2</v>
      </c>
      <c r="M1" s="1" t="s">
        <v>9</v>
      </c>
      <c r="N1" s="1" t="s">
        <v>10</v>
      </c>
      <c r="O1" s="1" t="s">
        <v>11</v>
      </c>
      <c r="Q1" s="1" t="s">
        <v>41</v>
      </c>
      <c r="R1" s="1" t="s">
        <v>0</v>
      </c>
      <c r="S1" s="1" t="s">
        <v>1</v>
      </c>
      <c r="T1" s="1" t="s">
        <v>2</v>
      </c>
      <c r="U1" s="1" t="s">
        <v>9</v>
      </c>
      <c r="V1" s="1" t="s">
        <v>10</v>
      </c>
      <c r="W1" s="1" t="s">
        <v>11</v>
      </c>
      <c r="Z1" s="1" t="s">
        <v>41</v>
      </c>
      <c r="AA1" s="1" t="s">
        <v>0</v>
      </c>
      <c r="AB1" s="1" t="s">
        <v>1</v>
      </c>
      <c r="AC1" s="1" t="s">
        <v>2</v>
      </c>
      <c r="AD1" s="1" t="s">
        <v>694</v>
      </c>
      <c r="AE1" s="1" t="s">
        <v>10</v>
      </c>
      <c r="AF1" s="1" t="s">
        <v>11</v>
      </c>
      <c r="AI1" s="1" t="s">
        <v>41</v>
      </c>
      <c r="AJ1" s="1" t="s">
        <v>0</v>
      </c>
      <c r="AK1" s="1" t="s">
        <v>1</v>
      </c>
      <c r="AL1" s="1" t="s">
        <v>2</v>
      </c>
      <c r="AM1" s="1" t="s">
        <v>694</v>
      </c>
      <c r="AN1" s="1" t="s">
        <v>10</v>
      </c>
      <c r="AO1" s="1" t="s">
        <v>11</v>
      </c>
      <c r="AP1" s="1" t="s">
        <v>696</v>
      </c>
    </row>
    <row r="2" spans="1:42" s="6" customFormat="1" ht="16" x14ac:dyDescent="0.2">
      <c r="A2" s="3" t="s">
        <v>7</v>
      </c>
      <c r="B2" s="6">
        <v>2</v>
      </c>
      <c r="C2" s="6">
        <v>1</v>
      </c>
      <c r="D2" s="6">
        <v>1</v>
      </c>
      <c r="E2" s="6" t="s">
        <v>98</v>
      </c>
      <c r="F2" s="6">
        <v>1</v>
      </c>
      <c r="G2" s="6">
        <v>2739</v>
      </c>
      <c r="I2" s="3" t="s">
        <v>215</v>
      </c>
      <c r="J2" s="6">
        <v>2</v>
      </c>
      <c r="K2" s="6">
        <v>2</v>
      </c>
      <c r="L2" s="6">
        <v>1</v>
      </c>
      <c r="M2" s="6" t="s">
        <v>101</v>
      </c>
      <c r="N2" s="6">
        <v>1</v>
      </c>
      <c r="O2" s="6">
        <v>1842</v>
      </c>
      <c r="Q2" s="3" t="s">
        <v>216</v>
      </c>
      <c r="T2" s="6">
        <v>1</v>
      </c>
      <c r="U2" s="6" t="s">
        <v>485</v>
      </c>
      <c r="V2" s="6">
        <v>1</v>
      </c>
      <c r="W2" s="9"/>
      <c r="Z2" s="3" t="s">
        <v>751</v>
      </c>
      <c r="AC2" s="6">
        <v>1</v>
      </c>
      <c r="AD2" s="6" t="s">
        <v>510</v>
      </c>
      <c r="AE2" s="6">
        <v>1</v>
      </c>
      <c r="AF2" s="6">
        <v>4848</v>
      </c>
      <c r="AI2" s="3" t="s">
        <v>217</v>
      </c>
      <c r="AJ2" s="6">
        <v>1</v>
      </c>
      <c r="AK2" s="6">
        <v>4</v>
      </c>
      <c r="AL2" s="6">
        <v>1</v>
      </c>
      <c r="AM2" s="6" t="s">
        <v>510</v>
      </c>
      <c r="AN2" s="6">
        <v>1</v>
      </c>
      <c r="AO2" s="6">
        <v>2329</v>
      </c>
    </row>
    <row r="3" spans="1:42" s="6" customFormat="1" ht="16" x14ac:dyDescent="0.2">
      <c r="A3" s="1" t="s">
        <v>15</v>
      </c>
      <c r="D3" s="6">
        <v>2</v>
      </c>
      <c r="E3" s="6" t="s">
        <v>99</v>
      </c>
      <c r="F3" s="6">
        <v>1</v>
      </c>
      <c r="G3" s="6">
        <v>1781</v>
      </c>
      <c r="I3" s="1" t="s">
        <v>15</v>
      </c>
      <c r="L3" s="6">
        <v>2</v>
      </c>
      <c r="M3" s="6" t="s">
        <v>120</v>
      </c>
      <c r="N3" s="6">
        <v>1</v>
      </c>
      <c r="O3" s="6">
        <v>2969</v>
      </c>
      <c r="Q3" s="1" t="s">
        <v>220</v>
      </c>
      <c r="T3" s="6">
        <v>2</v>
      </c>
      <c r="U3" s="6" t="s">
        <v>486</v>
      </c>
      <c r="V3" s="6">
        <v>1</v>
      </c>
      <c r="W3" s="9"/>
      <c r="Z3" s="1" t="s">
        <v>220</v>
      </c>
      <c r="AC3" s="6">
        <v>2</v>
      </c>
      <c r="AD3" s="6" t="s">
        <v>487</v>
      </c>
      <c r="AE3" s="6">
        <v>1</v>
      </c>
      <c r="AF3" s="6">
        <v>3192</v>
      </c>
      <c r="AI3" s="1" t="s">
        <v>220</v>
      </c>
      <c r="AL3" s="6">
        <v>2</v>
      </c>
      <c r="AM3" s="6" t="s">
        <v>506</v>
      </c>
      <c r="AN3" s="6">
        <v>1</v>
      </c>
      <c r="AO3" s="6">
        <v>1193</v>
      </c>
    </row>
    <row r="4" spans="1:42" s="6" customFormat="1" ht="16" x14ac:dyDescent="0.2">
      <c r="A4" s="1" t="s">
        <v>42</v>
      </c>
      <c r="D4" s="6">
        <v>3</v>
      </c>
      <c r="E4" s="6" t="s">
        <v>100</v>
      </c>
      <c r="F4" s="6">
        <v>1</v>
      </c>
      <c r="G4" s="6">
        <v>1382</v>
      </c>
      <c r="I4" s="15">
        <v>43906</v>
      </c>
      <c r="L4" s="6">
        <v>3</v>
      </c>
      <c r="M4" s="6" t="s">
        <v>103</v>
      </c>
      <c r="N4" s="6">
        <v>1</v>
      </c>
      <c r="O4" s="6">
        <v>2262</v>
      </c>
      <c r="Q4" s="15">
        <v>43916</v>
      </c>
      <c r="T4" s="6">
        <v>3</v>
      </c>
      <c r="U4" s="6" t="s">
        <v>487</v>
      </c>
      <c r="V4" s="6">
        <v>1</v>
      </c>
      <c r="W4" s="9"/>
      <c r="Z4" s="15">
        <v>43971</v>
      </c>
      <c r="AC4" s="6">
        <v>3</v>
      </c>
      <c r="AD4" s="6" t="s">
        <v>492</v>
      </c>
      <c r="AE4" s="6">
        <v>1</v>
      </c>
      <c r="AF4" s="6">
        <v>3217</v>
      </c>
      <c r="AI4" s="15">
        <v>43971</v>
      </c>
      <c r="AL4" s="6">
        <v>3</v>
      </c>
      <c r="AM4" s="6" t="s">
        <v>496</v>
      </c>
      <c r="AN4" s="6">
        <v>1</v>
      </c>
      <c r="AO4" s="6">
        <v>2032</v>
      </c>
    </row>
    <row r="5" spans="1:42" s="6" customFormat="1" ht="16" x14ac:dyDescent="0.2">
      <c r="D5" s="6">
        <v>4</v>
      </c>
      <c r="E5" s="6" t="s">
        <v>101</v>
      </c>
      <c r="F5" s="6">
        <v>1</v>
      </c>
      <c r="G5" s="6">
        <v>1087</v>
      </c>
      <c r="L5" s="6">
        <v>4</v>
      </c>
      <c r="M5" s="6" t="s">
        <v>100</v>
      </c>
      <c r="N5" s="6">
        <v>1</v>
      </c>
      <c r="O5" s="6">
        <v>3393</v>
      </c>
      <c r="Q5" s="7" t="s">
        <v>431</v>
      </c>
      <c r="T5" s="6">
        <v>4</v>
      </c>
      <c r="U5" s="6" t="s">
        <v>488</v>
      </c>
      <c r="V5" s="6">
        <v>1</v>
      </c>
      <c r="W5" s="9"/>
      <c r="AC5" s="6">
        <v>4</v>
      </c>
      <c r="AD5" s="6" t="s">
        <v>494</v>
      </c>
      <c r="AE5" s="6">
        <v>1</v>
      </c>
      <c r="AF5" s="6">
        <v>3456</v>
      </c>
      <c r="AL5" s="6">
        <v>4</v>
      </c>
      <c r="AM5" s="6" t="s">
        <v>503</v>
      </c>
      <c r="AN5" s="6">
        <v>1</v>
      </c>
      <c r="AO5" s="6">
        <v>1882</v>
      </c>
    </row>
    <row r="6" spans="1:42" s="6" customFormat="1" ht="16" x14ac:dyDescent="0.2">
      <c r="D6" s="6">
        <v>5</v>
      </c>
      <c r="E6" s="6" t="s">
        <v>102</v>
      </c>
      <c r="F6" s="6">
        <v>1</v>
      </c>
      <c r="G6" s="6">
        <v>1888</v>
      </c>
      <c r="L6" s="6">
        <v>5</v>
      </c>
      <c r="M6" s="6" t="s">
        <v>99</v>
      </c>
      <c r="N6" s="6">
        <v>1</v>
      </c>
      <c r="O6" s="6">
        <v>1333</v>
      </c>
      <c r="Q6" s="10" t="s">
        <v>673</v>
      </c>
      <c r="T6" s="6">
        <v>5</v>
      </c>
      <c r="U6" s="6" t="s">
        <v>489</v>
      </c>
      <c r="V6" s="6">
        <v>1</v>
      </c>
      <c r="AC6" s="6">
        <v>5</v>
      </c>
      <c r="AD6" s="6" t="s">
        <v>503</v>
      </c>
      <c r="AE6" s="6">
        <v>1</v>
      </c>
      <c r="AF6" s="6">
        <v>3528</v>
      </c>
      <c r="AL6" s="6">
        <v>5</v>
      </c>
      <c r="AM6" s="6" t="s">
        <v>485</v>
      </c>
      <c r="AN6" s="6">
        <v>1</v>
      </c>
      <c r="AO6" s="6">
        <v>1492</v>
      </c>
    </row>
    <row r="7" spans="1:42" s="6" customFormat="1" ht="16" x14ac:dyDescent="0.2">
      <c r="D7" s="6">
        <v>6</v>
      </c>
      <c r="E7" s="6" t="s">
        <v>103</v>
      </c>
      <c r="F7" s="6">
        <v>1</v>
      </c>
      <c r="G7" s="6">
        <v>1639</v>
      </c>
      <c r="L7" s="6">
        <v>6</v>
      </c>
      <c r="M7" s="6" t="s">
        <v>123</v>
      </c>
      <c r="N7" s="6">
        <v>1</v>
      </c>
      <c r="O7" s="6">
        <v>3397</v>
      </c>
      <c r="T7" s="6">
        <v>6</v>
      </c>
      <c r="U7" s="6" t="s">
        <v>490</v>
      </c>
      <c r="V7" s="6">
        <v>1</v>
      </c>
      <c r="AC7" s="6">
        <v>6</v>
      </c>
      <c r="AD7" s="6" t="s">
        <v>489</v>
      </c>
      <c r="AE7" s="6">
        <v>1</v>
      </c>
      <c r="AF7" s="6">
        <v>2971</v>
      </c>
      <c r="AL7" s="6">
        <v>6</v>
      </c>
      <c r="AM7" s="6" t="s">
        <v>494</v>
      </c>
      <c r="AN7" s="6">
        <v>1</v>
      </c>
      <c r="AO7" s="6">
        <v>1783</v>
      </c>
    </row>
    <row r="8" spans="1:42" s="6" customFormat="1" ht="16" x14ac:dyDescent="0.2">
      <c r="D8" s="6">
        <v>7</v>
      </c>
      <c r="E8" s="6" t="s">
        <v>104</v>
      </c>
      <c r="F8" s="6">
        <v>1</v>
      </c>
      <c r="G8" s="6">
        <v>1813</v>
      </c>
      <c r="L8" s="6">
        <v>7</v>
      </c>
      <c r="M8" s="6" t="s">
        <v>111</v>
      </c>
      <c r="N8" s="6">
        <v>1</v>
      </c>
      <c r="O8" s="6">
        <v>2819</v>
      </c>
      <c r="T8" s="6">
        <v>7</v>
      </c>
      <c r="U8" s="6" t="s">
        <v>491</v>
      </c>
      <c r="V8" s="6">
        <v>1</v>
      </c>
      <c r="AC8" s="6">
        <v>7</v>
      </c>
      <c r="AD8" s="6" t="s">
        <v>505</v>
      </c>
      <c r="AE8" s="6">
        <v>1</v>
      </c>
      <c r="AF8" s="6">
        <v>2170</v>
      </c>
      <c r="AL8" s="6">
        <v>7</v>
      </c>
      <c r="AM8" s="6" t="s">
        <v>498</v>
      </c>
      <c r="AN8" s="6">
        <v>1</v>
      </c>
      <c r="AO8" s="6">
        <v>2523</v>
      </c>
    </row>
    <row r="9" spans="1:42" s="6" customFormat="1" ht="16" x14ac:dyDescent="0.2">
      <c r="D9" s="6">
        <v>8</v>
      </c>
      <c r="E9" s="6" t="s">
        <v>105</v>
      </c>
      <c r="F9" s="6">
        <v>1</v>
      </c>
      <c r="G9" s="6">
        <v>2115</v>
      </c>
      <c r="L9" s="6">
        <v>8</v>
      </c>
      <c r="M9" s="6" t="s">
        <v>115</v>
      </c>
      <c r="N9" s="6">
        <v>1</v>
      </c>
      <c r="O9" s="6">
        <v>3011</v>
      </c>
      <c r="T9" s="6">
        <v>8</v>
      </c>
      <c r="U9" s="6" t="s">
        <v>492</v>
      </c>
      <c r="V9" s="6">
        <v>1</v>
      </c>
      <c r="AC9" s="6">
        <v>8</v>
      </c>
      <c r="AD9" s="6" t="s">
        <v>502</v>
      </c>
      <c r="AE9" s="6">
        <v>1</v>
      </c>
      <c r="AF9" s="6">
        <v>2106</v>
      </c>
      <c r="AL9" s="6">
        <v>8</v>
      </c>
      <c r="AM9" s="6" t="s">
        <v>502</v>
      </c>
      <c r="AN9" s="6">
        <v>1</v>
      </c>
      <c r="AO9" s="6">
        <v>2249</v>
      </c>
    </row>
    <row r="10" spans="1:42" s="6" customFormat="1" ht="16" x14ac:dyDescent="0.2">
      <c r="D10" s="6">
        <v>9</v>
      </c>
      <c r="E10" s="6" t="s">
        <v>106</v>
      </c>
      <c r="F10" s="6">
        <v>1</v>
      </c>
      <c r="G10" s="6">
        <v>1976</v>
      </c>
      <c r="L10" s="6">
        <v>9</v>
      </c>
      <c r="M10" s="6" t="s">
        <v>98</v>
      </c>
      <c r="N10" s="6">
        <v>1</v>
      </c>
      <c r="O10" s="6">
        <v>2347</v>
      </c>
      <c r="T10" s="6">
        <v>9</v>
      </c>
      <c r="U10" s="6" t="s">
        <v>493</v>
      </c>
      <c r="V10" s="6">
        <v>1</v>
      </c>
      <c r="AC10" s="6">
        <v>9</v>
      </c>
      <c r="AD10" s="6" t="s">
        <v>490</v>
      </c>
      <c r="AE10" s="6">
        <v>1</v>
      </c>
      <c r="AF10" s="6">
        <v>1874</v>
      </c>
      <c r="AL10" s="6">
        <v>9</v>
      </c>
      <c r="AM10" s="6" t="s">
        <v>500</v>
      </c>
      <c r="AN10" s="6">
        <v>1</v>
      </c>
      <c r="AO10" s="6">
        <v>2306</v>
      </c>
    </row>
    <row r="11" spans="1:42" s="6" customFormat="1" ht="16" x14ac:dyDescent="0.2">
      <c r="D11" s="6">
        <v>10</v>
      </c>
      <c r="E11" s="6" t="s">
        <v>107</v>
      </c>
      <c r="F11" s="6">
        <v>1</v>
      </c>
      <c r="G11" s="6">
        <v>3920</v>
      </c>
      <c r="L11" s="6">
        <v>10</v>
      </c>
      <c r="M11" s="6" t="s">
        <v>122</v>
      </c>
      <c r="N11" s="6">
        <v>1</v>
      </c>
      <c r="O11" s="6">
        <v>2210</v>
      </c>
      <c r="T11" s="6">
        <v>10</v>
      </c>
      <c r="U11" s="6" t="s">
        <v>494</v>
      </c>
      <c r="V11" s="6">
        <v>1</v>
      </c>
      <c r="AC11" s="6">
        <v>10</v>
      </c>
      <c r="AD11" s="6" t="s">
        <v>486</v>
      </c>
      <c r="AE11" s="6">
        <v>1</v>
      </c>
      <c r="AF11" s="6">
        <v>1903</v>
      </c>
      <c r="AL11" s="6">
        <v>10</v>
      </c>
      <c r="AM11" s="6" t="s">
        <v>488</v>
      </c>
      <c r="AN11" s="6">
        <v>1</v>
      </c>
      <c r="AO11" s="6">
        <v>1811</v>
      </c>
    </row>
    <row r="12" spans="1:42" s="6" customFormat="1" ht="16" x14ac:dyDescent="0.2">
      <c r="D12" s="6">
        <v>11</v>
      </c>
      <c r="E12" s="6" t="s">
        <v>108</v>
      </c>
      <c r="F12" s="6">
        <v>1</v>
      </c>
      <c r="G12" s="6">
        <v>2935</v>
      </c>
      <c r="L12" s="6">
        <v>11</v>
      </c>
      <c r="M12" s="6" t="s">
        <v>119</v>
      </c>
      <c r="N12" s="6">
        <v>1</v>
      </c>
      <c r="O12" s="6">
        <v>2517</v>
      </c>
      <c r="T12" s="6">
        <v>11</v>
      </c>
      <c r="U12" s="6" t="s">
        <v>495</v>
      </c>
      <c r="V12" s="6">
        <v>1</v>
      </c>
      <c r="AC12" s="6">
        <v>11</v>
      </c>
      <c r="AD12" s="6" t="s">
        <v>507</v>
      </c>
      <c r="AE12" s="6">
        <v>1</v>
      </c>
      <c r="AF12" s="6">
        <v>2588</v>
      </c>
      <c r="AL12" s="6">
        <v>11</v>
      </c>
      <c r="AM12" s="6" t="s">
        <v>492</v>
      </c>
      <c r="AN12" s="6">
        <v>1</v>
      </c>
      <c r="AO12" s="6">
        <v>2159</v>
      </c>
    </row>
    <row r="13" spans="1:42" s="6" customFormat="1" ht="16" x14ac:dyDescent="0.2">
      <c r="D13" s="6">
        <v>12</v>
      </c>
      <c r="E13" s="6" t="s">
        <v>109</v>
      </c>
      <c r="F13" s="6">
        <v>1</v>
      </c>
      <c r="G13" s="6">
        <v>2106</v>
      </c>
      <c r="L13" s="6">
        <v>12</v>
      </c>
      <c r="M13" s="6" t="s">
        <v>110</v>
      </c>
      <c r="N13" s="6">
        <v>1</v>
      </c>
      <c r="O13" s="6">
        <v>1932</v>
      </c>
      <c r="T13" s="6">
        <v>12</v>
      </c>
      <c r="U13" s="6" t="s">
        <v>496</v>
      </c>
      <c r="V13" s="6">
        <v>1</v>
      </c>
      <c r="AC13" s="6">
        <v>12</v>
      </c>
      <c r="AD13" s="6" t="s">
        <v>497</v>
      </c>
      <c r="AE13" s="6">
        <v>1</v>
      </c>
      <c r="AF13" s="6">
        <v>2340</v>
      </c>
      <c r="AL13" s="6">
        <v>12</v>
      </c>
      <c r="AM13" s="6" t="s">
        <v>495</v>
      </c>
      <c r="AN13" s="6">
        <v>1</v>
      </c>
      <c r="AO13" s="6">
        <v>1830</v>
      </c>
    </row>
    <row r="14" spans="1:42" s="6" customFormat="1" ht="16" x14ac:dyDescent="0.2">
      <c r="D14" s="6">
        <v>13</v>
      </c>
      <c r="E14" s="6" t="s">
        <v>110</v>
      </c>
      <c r="F14" s="6">
        <v>1</v>
      </c>
      <c r="G14" s="6">
        <v>2171</v>
      </c>
      <c r="L14" s="6">
        <v>13</v>
      </c>
      <c r="M14" s="6" t="s">
        <v>114</v>
      </c>
      <c r="N14" s="6">
        <v>1</v>
      </c>
      <c r="O14" s="6">
        <v>2414</v>
      </c>
      <c r="T14" s="6">
        <v>13</v>
      </c>
      <c r="U14" s="6" t="s">
        <v>497</v>
      </c>
      <c r="V14" s="6">
        <v>1</v>
      </c>
      <c r="AC14" s="6">
        <v>13</v>
      </c>
      <c r="AD14" s="6" t="s">
        <v>508</v>
      </c>
      <c r="AE14" s="6">
        <v>1</v>
      </c>
      <c r="AF14" s="6">
        <v>2186</v>
      </c>
      <c r="AL14" s="6">
        <v>13</v>
      </c>
      <c r="AM14" s="6" t="s">
        <v>491</v>
      </c>
      <c r="AN14" s="6">
        <v>1</v>
      </c>
      <c r="AO14" s="6">
        <v>2161</v>
      </c>
    </row>
    <row r="15" spans="1:42" s="6" customFormat="1" ht="16" x14ac:dyDescent="0.2">
      <c r="D15" s="6">
        <v>14</v>
      </c>
      <c r="E15" s="6" t="s">
        <v>111</v>
      </c>
      <c r="F15" s="6">
        <v>1</v>
      </c>
      <c r="G15" s="6">
        <v>1904</v>
      </c>
      <c r="L15" s="6">
        <v>14</v>
      </c>
      <c r="M15" s="6" t="s">
        <v>112</v>
      </c>
      <c r="N15" s="6">
        <v>1</v>
      </c>
      <c r="O15" s="6">
        <v>2413</v>
      </c>
      <c r="T15" s="6">
        <v>14</v>
      </c>
      <c r="U15" s="6" t="s">
        <v>498</v>
      </c>
      <c r="V15" s="6">
        <v>1</v>
      </c>
      <c r="AC15" s="6">
        <v>14</v>
      </c>
      <c r="AD15" s="6" t="s">
        <v>500</v>
      </c>
      <c r="AE15" s="6">
        <v>1</v>
      </c>
      <c r="AF15" s="6">
        <v>2025</v>
      </c>
      <c r="AL15" s="6">
        <v>14</v>
      </c>
      <c r="AM15" s="6" t="s">
        <v>487</v>
      </c>
      <c r="AN15" s="6">
        <v>1</v>
      </c>
      <c r="AO15" s="6">
        <v>2003</v>
      </c>
    </row>
    <row r="16" spans="1:42" s="6" customFormat="1" ht="16" x14ac:dyDescent="0.2">
      <c r="D16" s="6">
        <v>15</v>
      </c>
      <c r="E16" s="6" t="s">
        <v>112</v>
      </c>
      <c r="F16" s="6">
        <v>1</v>
      </c>
      <c r="G16" s="6">
        <v>2482</v>
      </c>
      <c r="L16" s="6">
        <v>15</v>
      </c>
      <c r="M16" s="6" t="s">
        <v>109</v>
      </c>
      <c r="N16" s="6">
        <v>1</v>
      </c>
      <c r="O16" s="6">
        <v>2224</v>
      </c>
      <c r="T16" s="6">
        <v>15</v>
      </c>
      <c r="U16" s="6" t="s">
        <v>499</v>
      </c>
      <c r="V16" s="6">
        <v>1</v>
      </c>
      <c r="AC16" s="6">
        <v>15</v>
      </c>
      <c r="AD16" s="6" t="s">
        <v>501</v>
      </c>
      <c r="AE16" s="6">
        <v>1</v>
      </c>
      <c r="AF16" s="6">
        <v>2281</v>
      </c>
      <c r="AL16" s="6">
        <v>15</v>
      </c>
      <c r="AM16" s="6" t="s">
        <v>505</v>
      </c>
      <c r="AN16" s="6">
        <v>1</v>
      </c>
      <c r="AO16" s="6">
        <v>2370</v>
      </c>
    </row>
    <row r="17" spans="4:41" s="6" customFormat="1" ht="16" x14ac:dyDescent="0.2">
      <c r="D17" s="6">
        <v>16</v>
      </c>
      <c r="E17" s="6" t="s">
        <v>113</v>
      </c>
      <c r="F17" s="6">
        <v>1</v>
      </c>
      <c r="G17" s="6">
        <v>1338</v>
      </c>
      <c r="L17" s="6">
        <v>16</v>
      </c>
      <c r="M17" s="6" t="s">
        <v>116</v>
      </c>
      <c r="N17" s="7">
        <v>0</v>
      </c>
      <c r="O17" s="7">
        <v>2126</v>
      </c>
      <c r="T17" s="6">
        <v>16</v>
      </c>
      <c r="U17" s="6" t="s">
        <v>500</v>
      </c>
      <c r="V17" s="6">
        <v>1</v>
      </c>
      <c r="AC17" s="6">
        <v>16</v>
      </c>
      <c r="AD17" s="6" t="s">
        <v>499</v>
      </c>
      <c r="AE17" s="6">
        <v>1</v>
      </c>
      <c r="AF17" s="6">
        <v>2536</v>
      </c>
      <c r="AL17" s="6">
        <v>16</v>
      </c>
      <c r="AM17" s="6" t="s">
        <v>508</v>
      </c>
      <c r="AN17" s="6">
        <v>1</v>
      </c>
      <c r="AO17" s="6">
        <v>1373</v>
      </c>
    </row>
    <row r="18" spans="4:41" s="6" customFormat="1" ht="16" x14ac:dyDescent="0.2">
      <c r="D18" s="6">
        <v>17</v>
      </c>
      <c r="E18" s="6" t="s">
        <v>114</v>
      </c>
      <c r="F18" s="6">
        <v>1</v>
      </c>
      <c r="G18" s="6">
        <v>2559</v>
      </c>
      <c r="L18" s="6">
        <v>17</v>
      </c>
      <c r="M18" s="6" t="s">
        <v>108</v>
      </c>
      <c r="N18" s="6">
        <v>1</v>
      </c>
      <c r="O18" s="6">
        <v>2797</v>
      </c>
      <c r="T18" s="6">
        <v>17</v>
      </c>
      <c r="U18" s="6" t="s">
        <v>501</v>
      </c>
      <c r="V18" s="6">
        <v>1</v>
      </c>
      <c r="AC18" s="6">
        <v>17</v>
      </c>
      <c r="AD18" s="6" t="s">
        <v>498</v>
      </c>
      <c r="AE18" s="6">
        <v>1</v>
      </c>
      <c r="AF18" s="6">
        <v>2401</v>
      </c>
      <c r="AL18" s="6">
        <v>17</v>
      </c>
      <c r="AM18" s="6" t="s">
        <v>509</v>
      </c>
      <c r="AN18" s="6">
        <v>1</v>
      </c>
      <c r="AO18" s="6">
        <v>1531</v>
      </c>
    </row>
    <row r="19" spans="4:41" s="6" customFormat="1" ht="16" x14ac:dyDescent="0.2">
      <c r="D19" s="6">
        <v>18</v>
      </c>
      <c r="E19" s="6" t="s">
        <v>115</v>
      </c>
      <c r="F19" s="6">
        <v>1</v>
      </c>
      <c r="G19" s="6">
        <v>2612</v>
      </c>
      <c r="L19" s="6">
        <v>18</v>
      </c>
      <c r="M19" s="6" t="s">
        <v>121</v>
      </c>
      <c r="N19" s="6">
        <v>1</v>
      </c>
      <c r="O19" s="6">
        <v>2164</v>
      </c>
      <c r="T19" s="6">
        <v>18</v>
      </c>
      <c r="U19" s="6" t="s">
        <v>502</v>
      </c>
      <c r="V19" s="6">
        <v>1</v>
      </c>
      <c r="AC19" s="6">
        <v>18</v>
      </c>
      <c r="AD19" s="6" t="s">
        <v>493</v>
      </c>
      <c r="AE19" s="6">
        <v>1</v>
      </c>
      <c r="AF19" s="6">
        <v>2400</v>
      </c>
      <c r="AL19" s="6">
        <v>18</v>
      </c>
      <c r="AM19" s="6" t="s">
        <v>501</v>
      </c>
      <c r="AN19" s="6">
        <v>1</v>
      </c>
      <c r="AO19" s="6">
        <v>1616</v>
      </c>
    </row>
    <row r="20" spans="4:41" s="6" customFormat="1" ht="16" x14ac:dyDescent="0.2">
      <c r="D20" s="6">
        <v>19</v>
      </c>
      <c r="E20" s="6" t="s">
        <v>116</v>
      </c>
      <c r="F20" s="6">
        <v>1</v>
      </c>
      <c r="G20" s="6">
        <v>2738</v>
      </c>
      <c r="L20" s="6">
        <v>19</v>
      </c>
      <c r="M20" s="6" t="s">
        <v>118</v>
      </c>
      <c r="N20" s="7">
        <v>0</v>
      </c>
      <c r="O20" s="7">
        <v>2053</v>
      </c>
      <c r="T20" s="6">
        <v>19</v>
      </c>
      <c r="U20" s="6" t="s">
        <v>503</v>
      </c>
      <c r="V20" s="6">
        <v>1</v>
      </c>
      <c r="AC20" s="6">
        <v>19</v>
      </c>
      <c r="AD20" s="6" t="s">
        <v>509</v>
      </c>
      <c r="AE20" s="6">
        <v>1</v>
      </c>
      <c r="AF20" s="6">
        <v>1588</v>
      </c>
      <c r="AL20" s="6">
        <v>19</v>
      </c>
      <c r="AM20" s="6" t="s">
        <v>490</v>
      </c>
      <c r="AN20" s="6">
        <v>1</v>
      </c>
      <c r="AO20" s="6">
        <v>1728</v>
      </c>
    </row>
    <row r="21" spans="4:41" s="6" customFormat="1" ht="16" x14ac:dyDescent="0.2">
      <c r="D21" s="6">
        <v>20</v>
      </c>
      <c r="E21" s="6" t="s">
        <v>117</v>
      </c>
      <c r="F21" s="6">
        <v>1</v>
      </c>
      <c r="G21" s="6">
        <v>2311</v>
      </c>
      <c r="L21" s="6">
        <v>20</v>
      </c>
      <c r="M21" s="6" t="s">
        <v>117</v>
      </c>
      <c r="N21" s="6">
        <v>1</v>
      </c>
      <c r="O21" s="6">
        <v>3744</v>
      </c>
      <c r="T21" s="6">
        <v>20</v>
      </c>
      <c r="U21" s="6" t="s">
        <v>504</v>
      </c>
      <c r="V21" s="6">
        <v>1</v>
      </c>
      <c r="AC21" s="6">
        <v>20</v>
      </c>
      <c r="AD21" s="6" t="s">
        <v>488</v>
      </c>
      <c r="AE21" s="6">
        <v>1</v>
      </c>
      <c r="AF21" s="6">
        <v>2417</v>
      </c>
      <c r="AL21" s="6">
        <v>20</v>
      </c>
      <c r="AM21" s="6" t="s">
        <v>497</v>
      </c>
      <c r="AN21" s="6">
        <v>1</v>
      </c>
      <c r="AO21" s="6">
        <v>2408</v>
      </c>
    </row>
    <row r="22" spans="4:41" s="6" customFormat="1" ht="16" x14ac:dyDescent="0.2">
      <c r="D22" s="6">
        <v>21</v>
      </c>
      <c r="E22" s="6" t="s">
        <v>118</v>
      </c>
      <c r="F22" s="6">
        <v>1</v>
      </c>
      <c r="G22" s="6">
        <v>1895</v>
      </c>
      <c r="L22" s="6">
        <v>21</v>
      </c>
      <c r="M22" s="6" t="s">
        <v>104</v>
      </c>
      <c r="N22" s="6">
        <v>1</v>
      </c>
      <c r="O22" s="6">
        <v>2223</v>
      </c>
      <c r="T22" s="6">
        <v>21</v>
      </c>
      <c r="U22" s="6" t="s">
        <v>505</v>
      </c>
      <c r="V22" s="6">
        <v>1</v>
      </c>
      <c r="AC22" s="6">
        <v>21</v>
      </c>
      <c r="AD22" s="6" t="s">
        <v>496</v>
      </c>
      <c r="AE22" s="6">
        <v>1</v>
      </c>
      <c r="AF22" s="6">
        <v>2228</v>
      </c>
      <c r="AL22" s="6">
        <v>21</v>
      </c>
      <c r="AM22" s="6" t="s">
        <v>499</v>
      </c>
      <c r="AN22" s="6">
        <v>1</v>
      </c>
      <c r="AO22" s="6">
        <v>2313</v>
      </c>
    </row>
    <row r="23" spans="4:41" s="6" customFormat="1" ht="16" x14ac:dyDescent="0.2">
      <c r="D23" s="6">
        <v>22</v>
      </c>
      <c r="E23" s="6" t="s">
        <v>119</v>
      </c>
      <c r="F23" s="6">
        <v>1</v>
      </c>
      <c r="G23" s="6">
        <v>2612</v>
      </c>
      <c r="L23" s="6">
        <v>22</v>
      </c>
      <c r="M23" s="6" t="s">
        <v>102</v>
      </c>
      <c r="N23" s="6">
        <v>1</v>
      </c>
      <c r="O23" s="6">
        <v>2359</v>
      </c>
      <c r="T23" s="6">
        <v>22</v>
      </c>
      <c r="U23" s="6" t="s">
        <v>506</v>
      </c>
      <c r="V23" s="6">
        <v>1</v>
      </c>
      <c r="AC23" s="6">
        <v>22</v>
      </c>
      <c r="AD23" s="6" t="s">
        <v>495</v>
      </c>
      <c r="AE23" s="6">
        <v>1</v>
      </c>
      <c r="AF23" s="6">
        <v>2389</v>
      </c>
      <c r="AL23" s="6">
        <v>22</v>
      </c>
      <c r="AM23" s="6" t="s">
        <v>486</v>
      </c>
      <c r="AN23" s="6">
        <v>1</v>
      </c>
      <c r="AO23" s="6">
        <v>2099</v>
      </c>
    </row>
    <row r="24" spans="4:41" s="6" customFormat="1" ht="16" x14ac:dyDescent="0.2">
      <c r="D24" s="6">
        <v>23</v>
      </c>
      <c r="E24" s="6" t="s">
        <v>120</v>
      </c>
      <c r="F24" s="6">
        <v>1</v>
      </c>
      <c r="G24" s="6">
        <v>2084</v>
      </c>
      <c r="L24" s="6">
        <v>23</v>
      </c>
      <c r="M24" s="6" t="s">
        <v>106</v>
      </c>
      <c r="N24" s="6">
        <v>1</v>
      </c>
      <c r="O24" s="6">
        <v>2471</v>
      </c>
      <c r="T24" s="6">
        <v>23</v>
      </c>
      <c r="U24" s="6" t="s">
        <v>507</v>
      </c>
      <c r="V24" s="6">
        <v>1</v>
      </c>
      <c r="AC24" s="6">
        <v>23</v>
      </c>
      <c r="AD24" s="6" t="s">
        <v>491</v>
      </c>
      <c r="AE24" s="6">
        <v>1</v>
      </c>
      <c r="AF24" s="6">
        <v>2732</v>
      </c>
      <c r="AL24" s="6">
        <v>23</v>
      </c>
      <c r="AM24" s="6" t="s">
        <v>507</v>
      </c>
      <c r="AN24" s="6">
        <v>1</v>
      </c>
      <c r="AO24" s="6">
        <v>2210</v>
      </c>
    </row>
    <row r="25" spans="4:41" s="6" customFormat="1" ht="16" x14ac:dyDescent="0.2">
      <c r="D25" s="6">
        <v>24</v>
      </c>
      <c r="E25" s="6" t="s">
        <v>121</v>
      </c>
      <c r="F25" s="6">
        <v>1</v>
      </c>
      <c r="G25" s="6">
        <v>2524</v>
      </c>
      <c r="L25" s="6">
        <v>24</v>
      </c>
      <c r="M25" s="6" t="s">
        <v>113</v>
      </c>
      <c r="N25" s="6">
        <v>1</v>
      </c>
      <c r="O25" s="6">
        <v>2621</v>
      </c>
      <c r="T25" s="6">
        <v>24</v>
      </c>
      <c r="U25" s="6" t="s">
        <v>508</v>
      </c>
      <c r="V25" s="6">
        <v>1</v>
      </c>
      <c r="AC25" s="6">
        <v>24</v>
      </c>
      <c r="AD25" s="6" t="s">
        <v>504</v>
      </c>
      <c r="AE25" s="6">
        <v>1</v>
      </c>
      <c r="AF25" s="6">
        <v>2539</v>
      </c>
      <c r="AL25" s="6">
        <v>24</v>
      </c>
      <c r="AM25" s="6" t="s">
        <v>493</v>
      </c>
      <c r="AN25" s="6">
        <v>1</v>
      </c>
      <c r="AO25" s="6">
        <v>1550</v>
      </c>
    </row>
    <row r="26" spans="4:41" s="6" customFormat="1" ht="16" x14ac:dyDescent="0.2">
      <c r="D26" s="6">
        <v>25</v>
      </c>
      <c r="E26" s="6" t="s">
        <v>122</v>
      </c>
      <c r="F26" s="6">
        <v>1</v>
      </c>
      <c r="G26" s="6">
        <v>2579</v>
      </c>
      <c r="L26" s="6">
        <v>25</v>
      </c>
      <c r="M26" s="6" t="s">
        <v>105</v>
      </c>
      <c r="N26" s="6">
        <v>1</v>
      </c>
      <c r="O26" s="6">
        <v>2623</v>
      </c>
      <c r="T26" s="6">
        <v>25</v>
      </c>
      <c r="U26" s="6" t="s">
        <v>509</v>
      </c>
      <c r="V26" s="6">
        <v>1</v>
      </c>
      <c r="AC26" s="6">
        <v>25</v>
      </c>
      <c r="AD26" s="6" t="s">
        <v>485</v>
      </c>
      <c r="AE26" s="6">
        <v>1</v>
      </c>
      <c r="AF26" s="6">
        <v>1842</v>
      </c>
      <c r="AL26" s="6">
        <v>25</v>
      </c>
      <c r="AM26" s="6" t="s">
        <v>489</v>
      </c>
      <c r="AN26" s="6">
        <v>1</v>
      </c>
      <c r="AO26" s="6">
        <v>2273</v>
      </c>
    </row>
    <row r="27" spans="4:41" s="6" customFormat="1" ht="16" x14ac:dyDescent="0.2">
      <c r="D27" s="6">
        <v>26</v>
      </c>
      <c r="E27" s="6" t="s">
        <v>123</v>
      </c>
      <c r="F27" s="6">
        <v>1</v>
      </c>
      <c r="G27" s="6">
        <v>2380</v>
      </c>
      <c r="L27" s="6">
        <v>26</v>
      </c>
      <c r="M27" s="6" t="s">
        <v>107</v>
      </c>
      <c r="N27" s="6">
        <v>1</v>
      </c>
      <c r="O27" s="6">
        <v>3077</v>
      </c>
      <c r="T27" s="6">
        <v>26</v>
      </c>
      <c r="U27" s="6" t="s">
        <v>510</v>
      </c>
      <c r="V27" s="6">
        <v>1</v>
      </c>
      <c r="AC27" s="6">
        <v>26</v>
      </c>
      <c r="AD27" s="6" t="s">
        <v>506</v>
      </c>
      <c r="AE27" s="6">
        <v>1</v>
      </c>
      <c r="AF27" s="6">
        <v>2518</v>
      </c>
      <c r="AL27" s="6">
        <v>26</v>
      </c>
      <c r="AM27" s="6" t="s">
        <v>504</v>
      </c>
      <c r="AN27" s="6">
        <v>1</v>
      </c>
      <c r="AO27" s="6">
        <v>2140</v>
      </c>
    </row>
    <row r="28" spans="4:41" s="6" customFormat="1" ht="16" x14ac:dyDescent="0.2">
      <c r="V28" s="21"/>
      <c r="AN28" s="6">
        <f>SUM(AN2:AN27)</f>
        <v>26</v>
      </c>
      <c r="AO28" s="6">
        <f>SUM(AO2:AO27)</f>
        <v>51364</v>
      </c>
    </row>
    <row r="29" spans="4:41" s="6" customFormat="1" ht="16" x14ac:dyDescent="0.2">
      <c r="F29" s="1">
        <f>SUM(F2:F27)</f>
        <v>26</v>
      </c>
      <c r="G29" s="1">
        <f>AVERAGE(G2:G27)</f>
        <v>2214.2307692307691</v>
      </c>
      <c r="N29" s="1">
        <f>SUM(N2:N27)</f>
        <v>24</v>
      </c>
      <c r="O29" s="1">
        <f>AVERAGE(O2:O16,O18:O19,O21:O27)</f>
        <v>2548.4166666666665</v>
      </c>
      <c r="V29" s="1">
        <f>SUM(V2:V28)</f>
        <v>26</v>
      </c>
      <c r="AE29" s="6">
        <f>SUM(AE2:AE28)</f>
        <v>26</v>
      </c>
      <c r="AF29" s="6">
        <f>SUM(AF2:AF28)</f>
        <v>66275</v>
      </c>
      <c r="AO29" s="11">
        <f>AO28/AN28</f>
        <v>1975.5384615384614</v>
      </c>
    </row>
    <row r="30" spans="4:41" s="6" customFormat="1" ht="16" x14ac:dyDescent="0.2"/>
    <row r="31" spans="4:41" x14ac:dyDescent="0.2">
      <c r="AF31">
        <f>AF29/AE29</f>
        <v>2549.0384615384614</v>
      </c>
    </row>
    <row r="33" spans="4:15" x14ac:dyDescent="0.2">
      <c r="E33" t="s">
        <v>749</v>
      </c>
      <c r="F33" t="s">
        <v>215</v>
      </c>
      <c r="G33" t="s">
        <v>754</v>
      </c>
      <c r="H33" t="s">
        <v>751</v>
      </c>
      <c r="M33" t="s">
        <v>749</v>
      </c>
      <c r="N33" t="s">
        <v>215</v>
      </c>
      <c r="O33" t="s">
        <v>751</v>
      </c>
    </row>
    <row r="34" spans="4:15" x14ac:dyDescent="0.2">
      <c r="D34" t="s">
        <v>15</v>
      </c>
      <c r="E34">
        <v>26</v>
      </c>
      <c r="F34">
        <v>24</v>
      </c>
      <c r="G34">
        <v>26</v>
      </c>
      <c r="H34">
        <v>26</v>
      </c>
      <c r="L34" t="s">
        <v>15</v>
      </c>
      <c r="M34">
        <v>2214.2307692307691</v>
      </c>
      <c r="N34">
        <v>2548.4166666666665</v>
      </c>
      <c r="O34">
        <v>2549.0384615384614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36"/>
  <sheetViews>
    <sheetView topLeftCell="AK10" zoomScale="130" zoomScaleNormal="130" workbookViewId="0">
      <selection activeCell="AP29" sqref="AP29"/>
    </sheetView>
  </sheetViews>
  <sheetFormatPr baseColWidth="10" defaultColWidth="11.5" defaultRowHeight="15" x14ac:dyDescent="0.2"/>
  <cols>
    <col min="1" max="1" width="17.1640625" customWidth="1"/>
    <col min="6" max="6" width="17.6640625" customWidth="1"/>
    <col min="7" max="7" width="17.1640625" customWidth="1"/>
    <col min="9" max="9" width="16.5" bestFit="1" customWidth="1"/>
    <col min="14" max="14" width="17.5" bestFit="1" customWidth="1"/>
    <col min="15" max="15" width="16" bestFit="1" customWidth="1"/>
    <col min="17" max="17" width="15.5" bestFit="1" customWidth="1"/>
    <col min="22" max="22" width="17.5" bestFit="1" customWidth="1"/>
    <col min="23" max="23" width="16" bestFit="1" customWidth="1"/>
    <col min="25" max="25" width="23.5" customWidth="1"/>
    <col min="30" max="30" width="17.5" bestFit="1" customWidth="1"/>
    <col min="31" max="31" width="25" customWidth="1"/>
    <col min="32" max="32" width="17.83203125" customWidth="1"/>
    <col min="35" max="35" width="19.5" customWidth="1"/>
    <col min="41" max="41" width="16.5" customWidth="1"/>
  </cols>
  <sheetData>
    <row r="1" spans="1:42" ht="16" x14ac:dyDescent="0.2">
      <c r="A1" s="1" t="s">
        <v>41</v>
      </c>
      <c r="B1" s="2" t="s">
        <v>0</v>
      </c>
      <c r="C1" s="2" t="s">
        <v>1</v>
      </c>
      <c r="D1" s="2" t="s">
        <v>2</v>
      </c>
      <c r="E1" s="2" t="s">
        <v>9</v>
      </c>
      <c r="F1" s="2" t="s">
        <v>10</v>
      </c>
      <c r="G1" s="2" t="s">
        <v>11</v>
      </c>
      <c r="I1" s="1" t="s">
        <v>41</v>
      </c>
      <c r="J1" s="2" t="s">
        <v>0</v>
      </c>
      <c r="K1" s="2" t="s">
        <v>1</v>
      </c>
      <c r="L1" s="2" t="s">
        <v>2</v>
      </c>
      <c r="M1" s="2" t="s">
        <v>9</v>
      </c>
      <c r="N1" s="2" t="s">
        <v>10</v>
      </c>
      <c r="O1" s="2" t="s">
        <v>11</v>
      </c>
      <c r="Q1" s="1" t="s">
        <v>41</v>
      </c>
      <c r="R1" s="2" t="s">
        <v>0</v>
      </c>
      <c r="S1" s="2" t="s">
        <v>1</v>
      </c>
      <c r="T1" s="2" t="s">
        <v>2</v>
      </c>
      <c r="U1" s="2" t="s">
        <v>9</v>
      </c>
      <c r="V1" s="2" t="s">
        <v>10</v>
      </c>
      <c r="W1" s="2" t="s">
        <v>11</v>
      </c>
      <c r="Y1" s="1" t="s">
        <v>41</v>
      </c>
      <c r="Z1" s="2" t="s">
        <v>0</v>
      </c>
      <c r="AA1" s="2" t="s">
        <v>1</v>
      </c>
      <c r="AB1" s="2" t="s">
        <v>2</v>
      </c>
      <c r="AC1" s="2" t="s">
        <v>694</v>
      </c>
      <c r="AD1" s="2" t="s">
        <v>10</v>
      </c>
      <c r="AE1" s="2" t="s">
        <v>11</v>
      </c>
      <c r="AF1" s="2" t="s">
        <v>696</v>
      </c>
      <c r="AI1" s="1" t="s">
        <v>41</v>
      </c>
      <c r="AJ1" s="2" t="s">
        <v>0</v>
      </c>
      <c r="AK1" s="2" t="s">
        <v>1</v>
      </c>
      <c r="AL1" s="2" t="s">
        <v>2</v>
      </c>
      <c r="AM1" s="2" t="s">
        <v>694</v>
      </c>
      <c r="AN1" s="2" t="s">
        <v>10</v>
      </c>
      <c r="AO1" s="2" t="s">
        <v>11</v>
      </c>
      <c r="AP1" s="2" t="s">
        <v>696</v>
      </c>
    </row>
    <row r="2" spans="1:42" ht="16" x14ac:dyDescent="0.2">
      <c r="A2" s="3" t="s">
        <v>7</v>
      </c>
      <c r="B2">
        <v>2</v>
      </c>
      <c r="C2">
        <v>1</v>
      </c>
      <c r="D2">
        <v>1</v>
      </c>
      <c r="E2" t="s">
        <v>124</v>
      </c>
      <c r="F2">
        <v>1</v>
      </c>
      <c r="G2">
        <v>2460</v>
      </c>
      <c r="I2" s="8" t="s">
        <v>215</v>
      </c>
      <c r="J2">
        <v>2</v>
      </c>
      <c r="K2">
        <v>2</v>
      </c>
      <c r="L2">
        <v>1</v>
      </c>
      <c r="M2" t="s">
        <v>147</v>
      </c>
      <c r="N2">
        <v>1</v>
      </c>
      <c r="O2">
        <v>2347</v>
      </c>
      <c r="Q2" s="8" t="s">
        <v>216</v>
      </c>
      <c r="T2">
        <v>1</v>
      </c>
      <c r="U2" t="s">
        <v>511</v>
      </c>
      <c r="V2">
        <v>1</v>
      </c>
      <c r="Y2" s="8" t="s">
        <v>801</v>
      </c>
      <c r="Z2">
        <v>1</v>
      </c>
      <c r="AA2">
        <v>3</v>
      </c>
      <c r="AB2">
        <v>1</v>
      </c>
      <c r="AC2" t="s">
        <v>532</v>
      </c>
      <c r="AD2">
        <v>1</v>
      </c>
      <c r="AE2">
        <v>3947</v>
      </c>
      <c r="AF2">
        <v>3947</v>
      </c>
      <c r="AI2" s="8" t="s">
        <v>217</v>
      </c>
      <c r="AJ2">
        <v>1</v>
      </c>
      <c r="AK2">
        <v>4</v>
      </c>
      <c r="AL2">
        <v>1</v>
      </c>
      <c r="AM2" t="s">
        <v>513</v>
      </c>
      <c r="AN2">
        <v>1</v>
      </c>
      <c r="AO2">
        <v>2655</v>
      </c>
      <c r="AP2">
        <v>2655</v>
      </c>
    </row>
    <row r="3" spans="1:42" ht="16" x14ac:dyDescent="0.2">
      <c r="A3" s="1" t="s">
        <v>16</v>
      </c>
      <c r="D3">
        <v>2</v>
      </c>
      <c r="E3" t="s">
        <v>125</v>
      </c>
      <c r="F3" s="5">
        <v>0</v>
      </c>
      <c r="G3" s="5"/>
      <c r="I3" s="2" t="s">
        <v>16</v>
      </c>
      <c r="L3">
        <v>2</v>
      </c>
      <c r="M3" t="s">
        <v>135</v>
      </c>
      <c r="N3">
        <v>1</v>
      </c>
      <c r="O3">
        <v>2693</v>
      </c>
      <c r="Q3" s="2" t="s">
        <v>16</v>
      </c>
      <c r="T3">
        <v>2</v>
      </c>
      <c r="U3" t="s">
        <v>512</v>
      </c>
      <c r="V3">
        <v>1</v>
      </c>
      <c r="Y3" s="2" t="s">
        <v>16</v>
      </c>
      <c r="AB3">
        <v>2</v>
      </c>
      <c r="AC3" t="s">
        <v>523</v>
      </c>
      <c r="AD3">
        <v>1</v>
      </c>
      <c r="AE3">
        <v>3286</v>
      </c>
      <c r="AF3">
        <v>3286</v>
      </c>
      <c r="AI3" s="2" t="s">
        <v>16</v>
      </c>
      <c r="AL3">
        <v>2</v>
      </c>
      <c r="AM3" t="s">
        <v>515</v>
      </c>
      <c r="AN3">
        <v>1</v>
      </c>
      <c r="AO3">
        <v>2451</v>
      </c>
      <c r="AP3">
        <v>2451</v>
      </c>
    </row>
    <row r="4" spans="1:42" ht="16" x14ac:dyDescent="0.2">
      <c r="A4" s="1" t="s">
        <v>42</v>
      </c>
      <c r="D4">
        <v>3</v>
      </c>
      <c r="E4" t="s">
        <v>126</v>
      </c>
      <c r="F4">
        <v>1</v>
      </c>
      <c r="G4">
        <v>5857</v>
      </c>
      <c r="I4" s="16">
        <v>43906</v>
      </c>
      <c r="L4">
        <v>3</v>
      </c>
      <c r="M4" t="s">
        <v>144</v>
      </c>
      <c r="N4">
        <v>1</v>
      </c>
      <c r="O4">
        <v>3330</v>
      </c>
      <c r="Q4" s="16">
        <v>43916</v>
      </c>
      <c r="T4">
        <v>3</v>
      </c>
      <c r="U4" t="s">
        <v>513</v>
      </c>
      <c r="V4">
        <v>1</v>
      </c>
      <c r="Y4" s="16">
        <v>43971</v>
      </c>
      <c r="AB4">
        <v>3</v>
      </c>
      <c r="AC4" t="s">
        <v>535</v>
      </c>
      <c r="AD4">
        <v>1</v>
      </c>
      <c r="AE4">
        <v>5351</v>
      </c>
      <c r="AF4">
        <v>5351</v>
      </c>
      <c r="AI4" s="16">
        <v>44027</v>
      </c>
      <c r="AL4">
        <v>3</v>
      </c>
      <c r="AM4" t="s">
        <v>528</v>
      </c>
      <c r="AN4">
        <v>1</v>
      </c>
      <c r="AO4">
        <v>1248</v>
      </c>
      <c r="AP4">
        <v>1248</v>
      </c>
    </row>
    <row r="5" spans="1:42" x14ac:dyDescent="0.2">
      <c r="D5">
        <v>4</v>
      </c>
      <c r="E5" t="s">
        <v>127</v>
      </c>
      <c r="F5">
        <v>1</v>
      </c>
      <c r="G5">
        <v>3156</v>
      </c>
      <c r="L5">
        <v>4</v>
      </c>
      <c r="M5" t="s">
        <v>127</v>
      </c>
      <c r="N5">
        <v>1</v>
      </c>
      <c r="O5">
        <v>2318</v>
      </c>
      <c r="Q5" s="5" t="s">
        <v>430</v>
      </c>
      <c r="T5">
        <v>4</v>
      </c>
      <c r="U5" t="s">
        <v>514</v>
      </c>
      <c r="V5">
        <v>1</v>
      </c>
      <c r="AB5">
        <v>4</v>
      </c>
      <c r="AC5" t="s">
        <v>533</v>
      </c>
      <c r="AD5">
        <v>1</v>
      </c>
      <c r="AE5">
        <v>2153</v>
      </c>
      <c r="AF5">
        <v>2153</v>
      </c>
      <c r="AL5">
        <v>4</v>
      </c>
      <c r="AM5" t="s">
        <v>514</v>
      </c>
      <c r="AN5">
        <v>1</v>
      </c>
      <c r="AO5">
        <v>1008</v>
      </c>
      <c r="AP5">
        <v>1008</v>
      </c>
    </row>
    <row r="6" spans="1:42" x14ac:dyDescent="0.2">
      <c r="D6">
        <v>5</v>
      </c>
      <c r="E6" t="s">
        <v>128</v>
      </c>
      <c r="F6">
        <v>1</v>
      </c>
      <c r="G6">
        <v>5418</v>
      </c>
      <c r="L6">
        <v>5</v>
      </c>
      <c r="M6" t="s">
        <v>125</v>
      </c>
      <c r="N6">
        <v>1</v>
      </c>
      <c r="O6">
        <v>3260</v>
      </c>
      <c r="Q6" s="19" t="s">
        <v>673</v>
      </c>
      <c r="T6">
        <v>5</v>
      </c>
      <c r="U6" t="s">
        <v>515</v>
      </c>
      <c r="V6">
        <v>1</v>
      </c>
      <c r="AB6">
        <v>5</v>
      </c>
      <c r="AC6" t="s">
        <v>536</v>
      </c>
      <c r="AD6">
        <v>1</v>
      </c>
      <c r="AE6">
        <v>1607</v>
      </c>
      <c r="AF6">
        <v>1607</v>
      </c>
      <c r="AL6">
        <v>5</v>
      </c>
      <c r="AM6" t="s">
        <v>511</v>
      </c>
      <c r="AN6">
        <v>1</v>
      </c>
      <c r="AO6">
        <v>3296</v>
      </c>
      <c r="AP6">
        <v>3296</v>
      </c>
    </row>
    <row r="7" spans="1:42" x14ac:dyDescent="0.2">
      <c r="D7">
        <v>6</v>
      </c>
      <c r="E7" t="s">
        <v>129</v>
      </c>
      <c r="F7">
        <v>1</v>
      </c>
      <c r="G7">
        <v>4321</v>
      </c>
      <c r="L7">
        <v>6</v>
      </c>
      <c r="M7" t="s">
        <v>145</v>
      </c>
      <c r="N7">
        <v>1</v>
      </c>
      <c r="O7">
        <v>3033</v>
      </c>
      <c r="T7">
        <v>6</v>
      </c>
      <c r="U7" t="s">
        <v>516</v>
      </c>
      <c r="V7">
        <v>0</v>
      </c>
      <c r="AB7">
        <v>6</v>
      </c>
      <c r="AC7" t="s">
        <v>525</v>
      </c>
      <c r="AD7">
        <v>1</v>
      </c>
      <c r="AE7">
        <v>939</v>
      </c>
      <c r="AF7">
        <v>939</v>
      </c>
      <c r="AL7">
        <v>6</v>
      </c>
      <c r="AM7" t="s">
        <v>519</v>
      </c>
      <c r="AN7">
        <v>1</v>
      </c>
      <c r="AO7">
        <v>1959</v>
      </c>
      <c r="AP7">
        <v>1959</v>
      </c>
    </row>
    <row r="8" spans="1:42" x14ac:dyDescent="0.2">
      <c r="D8">
        <v>7</v>
      </c>
      <c r="E8" t="s">
        <v>130</v>
      </c>
      <c r="F8">
        <v>1</v>
      </c>
      <c r="G8">
        <v>2796</v>
      </c>
      <c r="L8">
        <v>7</v>
      </c>
      <c r="M8" t="s">
        <v>146</v>
      </c>
      <c r="N8">
        <v>1</v>
      </c>
      <c r="O8">
        <v>3913</v>
      </c>
      <c r="T8">
        <v>7</v>
      </c>
      <c r="U8" t="s">
        <v>517</v>
      </c>
      <c r="V8">
        <v>1</v>
      </c>
      <c r="AB8">
        <v>7</v>
      </c>
      <c r="AC8" t="s">
        <v>521</v>
      </c>
      <c r="AD8">
        <v>1</v>
      </c>
      <c r="AE8">
        <v>855</v>
      </c>
      <c r="AF8">
        <v>855</v>
      </c>
      <c r="AL8">
        <v>7</v>
      </c>
      <c r="AM8" t="s">
        <v>523</v>
      </c>
      <c r="AN8">
        <v>1</v>
      </c>
      <c r="AO8">
        <v>2487</v>
      </c>
      <c r="AP8">
        <v>2487</v>
      </c>
    </row>
    <row r="9" spans="1:42" x14ac:dyDescent="0.2">
      <c r="D9">
        <v>8</v>
      </c>
      <c r="E9" t="s">
        <v>131</v>
      </c>
      <c r="F9">
        <v>1</v>
      </c>
      <c r="G9">
        <v>4393</v>
      </c>
      <c r="L9">
        <v>8</v>
      </c>
      <c r="M9" t="s">
        <v>148</v>
      </c>
      <c r="N9">
        <v>1</v>
      </c>
      <c r="O9">
        <v>4206</v>
      </c>
      <c r="T9">
        <v>8</v>
      </c>
      <c r="U9" t="s">
        <v>518</v>
      </c>
      <c r="V9">
        <v>1</v>
      </c>
      <c r="AB9">
        <v>8</v>
      </c>
      <c r="AC9" t="s">
        <v>515</v>
      </c>
      <c r="AD9">
        <v>1</v>
      </c>
      <c r="AE9">
        <v>1795</v>
      </c>
      <c r="AF9">
        <v>1795</v>
      </c>
      <c r="AL9">
        <v>8</v>
      </c>
      <c r="AM9" t="s">
        <v>512</v>
      </c>
      <c r="AN9">
        <v>1</v>
      </c>
      <c r="AO9">
        <v>4290</v>
      </c>
      <c r="AP9">
        <v>4290</v>
      </c>
    </row>
    <row r="10" spans="1:42" x14ac:dyDescent="0.2">
      <c r="D10">
        <v>9</v>
      </c>
      <c r="E10" t="s">
        <v>132</v>
      </c>
      <c r="F10">
        <v>1</v>
      </c>
      <c r="G10">
        <v>2395</v>
      </c>
      <c r="L10">
        <v>9</v>
      </c>
      <c r="M10" t="s">
        <v>124</v>
      </c>
      <c r="N10">
        <v>1</v>
      </c>
      <c r="O10">
        <v>3560</v>
      </c>
      <c r="T10">
        <v>9</v>
      </c>
      <c r="U10" t="s">
        <v>519</v>
      </c>
      <c r="V10">
        <v>1</v>
      </c>
      <c r="AB10">
        <v>9</v>
      </c>
      <c r="AC10" t="s">
        <v>511</v>
      </c>
      <c r="AD10">
        <v>1</v>
      </c>
      <c r="AE10">
        <v>3222</v>
      </c>
      <c r="AF10">
        <v>3222</v>
      </c>
      <c r="AL10">
        <v>9</v>
      </c>
      <c r="AM10" t="s">
        <v>516</v>
      </c>
      <c r="AN10">
        <v>1</v>
      </c>
      <c r="AO10">
        <v>1581</v>
      </c>
      <c r="AP10">
        <v>1581</v>
      </c>
    </row>
    <row r="11" spans="1:42" x14ac:dyDescent="0.2">
      <c r="D11">
        <v>10</v>
      </c>
      <c r="E11" t="s">
        <v>133</v>
      </c>
      <c r="F11">
        <v>1</v>
      </c>
      <c r="G11">
        <v>1989</v>
      </c>
      <c r="L11">
        <v>10</v>
      </c>
      <c r="M11" t="s">
        <v>130</v>
      </c>
      <c r="N11">
        <v>1</v>
      </c>
      <c r="O11">
        <v>4000</v>
      </c>
      <c r="T11">
        <v>10</v>
      </c>
      <c r="U11" t="s">
        <v>520</v>
      </c>
      <c r="V11">
        <v>1</v>
      </c>
      <c r="AB11">
        <v>10</v>
      </c>
      <c r="AC11" t="s">
        <v>522</v>
      </c>
      <c r="AD11">
        <v>1</v>
      </c>
      <c r="AE11">
        <v>3357</v>
      </c>
      <c r="AF11">
        <v>3357</v>
      </c>
      <c r="AL11">
        <v>10</v>
      </c>
      <c r="AM11" t="s">
        <v>533</v>
      </c>
      <c r="AN11">
        <v>1</v>
      </c>
      <c r="AO11">
        <v>1399</v>
      </c>
      <c r="AP11">
        <v>1399</v>
      </c>
    </row>
    <row r="12" spans="1:42" x14ac:dyDescent="0.2">
      <c r="D12">
        <v>11</v>
      </c>
      <c r="E12" t="s">
        <v>134</v>
      </c>
      <c r="F12">
        <v>1</v>
      </c>
      <c r="G12">
        <v>3201</v>
      </c>
      <c r="L12">
        <v>11</v>
      </c>
      <c r="M12" t="s">
        <v>138</v>
      </c>
      <c r="N12">
        <v>1</v>
      </c>
      <c r="O12">
        <v>2416</v>
      </c>
      <c r="T12">
        <v>11</v>
      </c>
      <c r="U12" t="s">
        <v>521</v>
      </c>
      <c r="V12">
        <v>1</v>
      </c>
      <c r="AB12">
        <v>11</v>
      </c>
      <c r="AC12" t="s">
        <v>528</v>
      </c>
      <c r="AD12">
        <v>1</v>
      </c>
      <c r="AE12">
        <v>971</v>
      </c>
      <c r="AF12">
        <v>971</v>
      </c>
      <c r="AL12">
        <v>11</v>
      </c>
      <c r="AM12" t="s">
        <v>524</v>
      </c>
      <c r="AN12" s="5">
        <v>0</v>
      </c>
      <c r="AO12" s="5">
        <v>2600</v>
      </c>
      <c r="AP12" s="5"/>
    </row>
    <row r="13" spans="1:42" x14ac:dyDescent="0.2">
      <c r="D13">
        <v>12</v>
      </c>
      <c r="E13" t="s">
        <v>135</v>
      </c>
      <c r="F13">
        <v>1</v>
      </c>
      <c r="G13">
        <v>1729</v>
      </c>
      <c r="L13">
        <v>12</v>
      </c>
      <c r="M13" t="s">
        <v>133</v>
      </c>
      <c r="N13">
        <v>1</v>
      </c>
      <c r="O13">
        <v>4568</v>
      </c>
      <c r="T13">
        <v>12</v>
      </c>
      <c r="U13" t="s">
        <v>522</v>
      </c>
      <c r="V13">
        <v>1</v>
      </c>
      <c r="AB13">
        <v>12</v>
      </c>
      <c r="AC13" t="s">
        <v>513</v>
      </c>
      <c r="AD13">
        <v>1</v>
      </c>
      <c r="AE13">
        <v>2341</v>
      </c>
      <c r="AF13">
        <v>2341</v>
      </c>
      <c r="AL13">
        <v>12</v>
      </c>
      <c r="AM13" t="s">
        <v>521</v>
      </c>
      <c r="AN13">
        <v>1</v>
      </c>
      <c r="AO13">
        <v>1511</v>
      </c>
      <c r="AP13">
        <v>1511</v>
      </c>
    </row>
    <row r="14" spans="1:42" x14ac:dyDescent="0.2">
      <c r="D14">
        <v>13</v>
      </c>
      <c r="E14" t="s">
        <v>136</v>
      </c>
      <c r="F14">
        <v>1</v>
      </c>
      <c r="G14">
        <v>1834</v>
      </c>
      <c r="L14">
        <v>13</v>
      </c>
      <c r="M14" t="s">
        <v>142</v>
      </c>
      <c r="N14">
        <v>1</v>
      </c>
      <c r="O14">
        <v>3198</v>
      </c>
      <c r="T14">
        <v>13</v>
      </c>
      <c r="U14" t="s">
        <v>523</v>
      </c>
      <c r="V14">
        <v>1</v>
      </c>
      <c r="AB14">
        <v>13</v>
      </c>
      <c r="AC14" t="s">
        <v>518</v>
      </c>
      <c r="AD14">
        <v>1</v>
      </c>
      <c r="AE14">
        <v>1050</v>
      </c>
      <c r="AF14">
        <v>1050</v>
      </c>
      <c r="AL14">
        <v>13</v>
      </c>
      <c r="AM14" t="s">
        <v>520</v>
      </c>
      <c r="AN14">
        <v>1</v>
      </c>
      <c r="AO14">
        <v>1754</v>
      </c>
      <c r="AP14">
        <v>1754</v>
      </c>
    </row>
    <row r="15" spans="1:42" x14ac:dyDescent="0.2">
      <c r="D15">
        <v>14</v>
      </c>
      <c r="E15" t="s">
        <v>137</v>
      </c>
      <c r="F15">
        <v>1</v>
      </c>
      <c r="G15">
        <v>1542</v>
      </c>
      <c r="L15">
        <v>14</v>
      </c>
      <c r="M15" t="s">
        <v>137</v>
      </c>
      <c r="N15">
        <v>1</v>
      </c>
      <c r="O15">
        <v>3719</v>
      </c>
      <c r="T15">
        <v>14</v>
      </c>
      <c r="U15" t="s">
        <v>524</v>
      </c>
      <c r="V15">
        <v>1</v>
      </c>
      <c r="AB15">
        <v>14</v>
      </c>
      <c r="AC15" t="s">
        <v>514</v>
      </c>
      <c r="AD15">
        <v>1</v>
      </c>
      <c r="AE15">
        <v>854</v>
      </c>
      <c r="AF15">
        <v>854</v>
      </c>
      <c r="AL15">
        <v>14</v>
      </c>
      <c r="AM15" t="s">
        <v>536</v>
      </c>
      <c r="AN15">
        <v>1</v>
      </c>
      <c r="AO15">
        <v>1155</v>
      </c>
      <c r="AP15">
        <v>1155</v>
      </c>
    </row>
    <row r="16" spans="1:42" x14ac:dyDescent="0.2">
      <c r="D16">
        <v>15</v>
      </c>
      <c r="E16" t="s">
        <v>138</v>
      </c>
      <c r="F16">
        <v>1</v>
      </c>
      <c r="G16">
        <v>2345</v>
      </c>
      <c r="L16">
        <v>15</v>
      </c>
      <c r="M16" t="s">
        <v>131</v>
      </c>
      <c r="N16">
        <v>1</v>
      </c>
      <c r="O16">
        <v>2855</v>
      </c>
      <c r="T16">
        <v>15</v>
      </c>
      <c r="U16" t="s">
        <v>525</v>
      </c>
      <c r="V16">
        <v>1</v>
      </c>
      <c r="AB16">
        <v>15</v>
      </c>
      <c r="AC16" t="s">
        <v>520</v>
      </c>
      <c r="AD16">
        <v>1</v>
      </c>
      <c r="AE16">
        <v>1795</v>
      </c>
      <c r="AF16">
        <v>1795</v>
      </c>
      <c r="AL16">
        <v>15</v>
      </c>
      <c r="AM16" t="s">
        <v>526</v>
      </c>
      <c r="AN16">
        <v>1</v>
      </c>
      <c r="AO16">
        <v>2029</v>
      </c>
      <c r="AP16">
        <v>2029</v>
      </c>
    </row>
    <row r="17" spans="4:43" x14ac:dyDescent="0.2">
      <c r="D17">
        <v>16</v>
      </c>
      <c r="E17" t="s">
        <v>139</v>
      </c>
      <c r="F17">
        <v>1</v>
      </c>
      <c r="G17">
        <v>6513</v>
      </c>
      <c r="L17">
        <v>16</v>
      </c>
      <c r="M17" t="s">
        <v>136</v>
      </c>
      <c r="N17">
        <v>1</v>
      </c>
      <c r="O17">
        <v>2249</v>
      </c>
      <c r="T17">
        <v>16</v>
      </c>
      <c r="U17" t="s">
        <v>526</v>
      </c>
      <c r="V17">
        <v>1</v>
      </c>
      <c r="AB17">
        <v>16</v>
      </c>
      <c r="AC17" t="s">
        <v>526</v>
      </c>
      <c r="AD17">
        <v>1</v>
      </c>
      <c r="AE17">
        <v>1630</v>
      </c>
      <c r="AF17">
        <v>1630</v>
      </c>
      <c r="AL17">
        <v>16</v>
      </c>
      <c r="AM17" t="s">
        <v>517</v>
      </c>
      <c r="AN17">
        <v>1</v>
      </c>
      <c r="AO17">
        <v>1210</v>
      </c>
      <c r="AP17">
        <v>1210</v>
      </c>
    </row>
    <row r="18" spans="4:43" x14ac:dyDescent="0.2">
      <c r="D18">
        <v>17</v>
      </c>
      <c r="E18" t="s">
        <v>140</v>
      </c>
      <c r="F18">
        <v>1</v>
      </c>
      <c r="G18">
        <v>2196</v>
      </c>
      <c r="L18">
        <v>17</v>
      </c>
      <c r="M18" t="s">
        <v>143</v>
      </c>
      <c r="N18">
        <v>1</v>
      </c>
      <c r="O18">
        <v>2663</v>
      </c>
      <c r="T18">
        <v>17</v>
      </c>
      <c r="U18" t="s">
        <v>527</v>
      </c>
      <c r="V18">
        <v>1</v>
      </c>
      <c r="AB18">
        <v>17</v>
      </c>
      <c r="AC18" t="s">
        <v>527</v>
      </c>
      <c r="AD18">
        <v>1</v>
      </c>
      <c r="AE18">
        <v>2146</v>
      </c>
      <c r="AF18">
        <v>2146</v>
      </c>
      <c r="AL18">
        <v>17</v>
      </c>
      <c r="AM18" t="s">
        <v>530</v>
      </c>
      <c r="AN18">
        <v>1</v>
      </c>
      <c r="AO18">
        <v>3064</v>
      </c>
      <c r="AP18">
        <v>3064</v>
      </c>
    </row>
    <row r="19" spans="4:43" x14ac:dyDescent="0.2">
      <c r="D19">
        <v>18</v>
      </c>
      <c r="E19" t="s">
        <v>141</v>
      </c>
      <c r="F19">
        <v>1</v>
      </c>
      <c r="G19">
        <v>3191</v>
      </c>
      <c r="L19">
        <v>18</v>
      </c>
      <c r="M19" t="s">
        <v>126</v>
      </c>
      <c r="N19">
        <v>1</v>
      </c>
      <c r="O19">
        <v>3426</v>
      </c>
      <c r="T19">
        <v>18</v>
      </c>
      <c r="U19" t="s">
        <v>528</v>
      </c>
      <c r="V19">
        <v>1</v>
      </c>
      <c r="AB19">
        <v>18</v>
      </c>
      <c r="AC19" t="s">
        <v>529</v>
      </c>
      <c r="AD19">
        <v>1</v>
      </c>
      <c r="AE19">
        <v>2083</v>
      </c>
      <c r="AF19">
        <v>2083</v>
      </c>
      <c r="AL19">
        <v>18</v>
      </c>
      <c r="AM19" t="s">
        <v>532</v>
      </c>
      <c r="AN19">
        <v>1</v>
      </c>
      <c r="AO19">
        <v>3380</v>
      </c>
      <c r="AP19">
        <v>3380</v>
      </c>
    </row>
    <row r="20" spans="4:43" x14ac:dyDescent="0.2">
      <c r="D20">
        <v>19</v>
      </c>
      <c r="E20" t="s">
        <v>142</v>
      </c>
      <c r="F20">
        <v>1</v>
      </c>
      <c r="G20">
        <v>3297</v>
      </c>
      <c r="L20">
        <v>19</v>
      </c>
      <c r="M20" t="s">
        <v>140</v>
      </c>
      <c r="N20">
        <v>1</v>
      </c>
      <c r="O20">
        <v>3843</v>
      </c>
      <c r="T20">
        <v>19</v>
      </c>
      <c r="U20" t="s">
        <v>529</v>
      </c>
      <c r="V20">
        <v>1</v>
      </c>
      <c r="AB20">
        <v>19</v>
      </c>
      <c r="AC20" t="s">
        <v>512</v>
      </c>
      <c r="AD20" s="5">
        <v>0</v>
      </c>
      <c r="AE20" s="5">
        <v>3804</v>
      </c>
      <c r="AF20" s="5"/>
      <c r="AL20">
        <v>19</v>
      </c>
      <c r="AM20" t="s">
        <v>529</v>
      </c>
      <c r="AN20">
        <v>1</v>
      </c>
      <c r="AO20">
        <v>947</v>
      </c>
      <c r="AP20">
        <v>947</v>
      </c>
    </row>
    <row r="21" spans="4:43" x14ac:dyDescent="0.2">
      <c r="D21">
        <v>20</v>
      </c>
      <c r="E21" t="s">
        <v>143</v>
      </c>
      <c r="F21">
        <v>1</v>
      </c>
      <c r="G21">
        <v>2709</v>
      </c>
      <c r="L21">
        <v>20</v>
      </c>
      <c r="M21" t="s">
        <v>139</v>
      </c>
      <c r="N21">
        <v>1</v>
      </c>
      <c r="O21">
        <v>4328</v>
      </c>
      <c r="T21">
        <v>20</v>
      </c>
      <c r="U21" t="s">
        <v>530</v>
      </c>
      <c r="V21">
        <v>1</v>
      </c>
      <c r="AB21">
        <v>20</v>
      </c>
      <c r="AC21" t="s">
        <v>519</v>
      </c>
      <c r="AD21" s="12">
        <v>1</v>
      </c>
      <c r="AE21" s="12">
        <v>1952</v>
      </c>
      <c r="AF21" s="12">
        <v>1952</v>
      </c>
      <c r="AL21">
        <v>20</v>
      </c>
      <c r="AM21" t="s">
        <v>535</v>
      </c>
      <c r="AN21">
        <v>1</v>
      </c>
      <c r="AO21">
        <v>2411</v>
      </c>
      <c r="AP21">
        <v>2411</v>
      </c>
    </row>
    <row r="22" spans="4:43" x14ac:dyDescent="0.2">
      <c r="D22">
        <v>21</v>
      </c>
      <c r="E22" t="s">
        <v>144</v>
      </c>
      <c r="F22">
        <v>1</v>
      </c>
      <c r="G22">
        <v>2098</v>
      </c>
      <c r="L22">
        <v>21</v>
      </c>
      <c r="M22" t="s">
        <v>134</v>
      </c>
      <c r="N22">
        <v>1</v>
      </c>
      <c r="O22">
        <v>2037</v>
      </c>
      <c r="T22">
        <v>21</v>
      </c>
      <c r="U22" t="s">
        <v>531</v>
      </c>
      <c r="V22">
        <v>1</v>
      </c>
      <c r="AB22">
        <v>21</v>
      </c>
      <c r="AC22" t="s">
        <v>534</v>
      </c>
      <c r="AD22">
        <v>1</v>
      </c>
      <c r="AE22">
        <v>1216</v>
      </c>
      <c r="AF22">
        <v>1216</v>
      </c>
      <c r="AL22">
        <v>21</v>
      </c>
      <c r="AM22" t="s">
        <v>531</v>
      </c>
      <c r="AN22">
        <v>1</v>
      </c>
      <c r="AO22">
        <v>980</v>
      </c>
      <c r="AP22">
        <v>980</v>
      </c>
    </row>
    <row r="23" spans="4:43" x14ac:dyDescent="0.2">
      <c r="D23">
        <v>22</v>
      </c>
      <c r="E23" t="s">
        <v>145</v>
      </c>
      <c r="F23">
        <v>1</v>
      </c>
      <c r="G23">
        <v>2771</v>
      </c>
      <c r="L23">
        <v>22</v>
      </c>
      <c r="M23" t="s">
        <v>149</v>
      </c>
      <c r="N23">
        <v>1</v>
      </c>
      <c r="O23">
        <v>3355</v>
      </c>
      <c r="T23">
        <v>22</v>
      </c>
      <c r="U23" t="s">
        <v>532</v>
      </c>
      <c r="V23">
        <v>1</v>
      </c>
      <c r="AB23">
        <v>22</v>
      </c>
      <c r="AC23" t="s">
        <v>531</v>
      </c>
      <c r="AD23">
        <v>1</v>
      </c>
      <c r="AE23">
        <v>666</v>
      </c>
      <c r="AF23">
        <v>666</v>
      </c>
      <c r="AL23">
        <v>22</v>
      </c>
      <c r="AM23" t="s">
        <v>525</v>
      </c>
      <c r="AN23">
        <v>1</v>
      </c>
      <c r="AO23">
        <v>1164</v>
      </c>
      <c r="AP23">
        <v>1164</v>
      </c>
    </row>
    <row r="24" spans="4:43" x14ac:dyDescent="0.2">
      <c r="D24">
        <v>23</v>
      </c>
      <c r="E24" t="s">
        <v>146</v>
      </c>
      <c r="F24">
        <v>1</v>
      </c>
      <c r="G24">
        <v>4527</v>
      </c>
      <c r="L24">
        <v>23</v>
      </c>
      <c r="M24" t="s">
        <v>132</v>
      </c>
      <c r="N24">
        <v>1</v>
      </c>
      <c r="O24">
        <v>1782</v>
      </c>
      <c r="T24">
        <v>23</v>
      </c>
      <c r="U24" t="s">
        <v>533</v>
      </c>
      <c r="V24">
        <v>1</v>
      </c>
      <c r="AB24">
        <v>23</v>
      </c>
      <c r="AC24" t="s">
        <v>517</v>
      </c>
      <c r="AD24" s="5">
        <v>0</v>
      </c>
      <c r="AE24" s="5">
        <v>2866</v>
      </c>
      <c r="AF24" s="5"/>
      <c r="AL24">
        <v>23</v>
      </c>
      <c r="AM24" t="s">
        <v>527</v>
      </c>
      <c r="AN24">
        <v>1</v>
      </c>
      <c r="AO24">
        <v>1897</v>
      </c>
      <c r="AP24">
        <v>1897</v>
      </c>
    </row>
    <row r="25" spans="4:43" x14ac:dyDescent="0.2">
      <c r="D25">
        <v>24</v>
      </c>
      <c r="E25" t="s">
        <v>147</v>
      </c>
      <c r="F25">
        <v>1</v>
      </c>
      <c r="G25">
        <v>4641</v>
      </c>
      <c r="L25">
        <v>24</v>
      </c>
      <c r="M25" t="s">
        <v>129</v>
      </c>
      <c r="N25">
        <v>1</v>
      </c>
      <c r="O25">
        <v>4519</v>
      </c>
      <c r="T25">
        <v>24</v>
      </c>
      <c r="U25" t="s">
        <v>534</v>
      </c>
      <c r="V25">
        <v>1</v>
      </c>
      <c r="AB25">
        <v>24</v>
      </c>
      <c r="AC25" t="s">
        <v>524</v>
      </c>
      <c r="AD25">
        <v>1</v>
      </c>
      <c r="AE25">
        <v>949</v>
      </c>
      <c r="AF25">
        <v>949</v>
      </c>
      <c r="AL25">
        <v>24</v>
      </c>
      <c r="AM25" t="s">
        <v>534</v>
      </c>
      <c r="AN25">
        <v>1</v>
      </c>
      <c r="AO25">
        <v>977</v>
      </c>
      <c r="AP25">
        <v>977</v>
      </c>
    </row>
    <row r="26" spans="4:43" x14ac:dyDescent="0.2">
      <c r="D26">
        <v>25</v>
      </c>
      <c r="E26" t="s">
        <v>148</v>
      </c>
      <c r="F26">
        <v>1</v>
      </c>
      <c r="G26">
        <v>4187</v>
      </c>
      <c r="L26">
        <v>25</v>
      </c>
      <c r="M26" t="s">
        <v>141</v>
      </c>
      <c r="N26">
        <v>1</v>
      </c>
      <c r="O26">
        <v>4509</v>
      </c>
      <c r="T26">
        <v>25</v>
      </c>
      <c r="U26" t="s">
        <v>535</v>
      </c>
      <c r="V26">
        <v>1</v>
      </c>
      <c r="AB26">
        <v>25</v>
      </c>
      <c r="AC26" t="s">
        <v>516</v>
      </c>
      <c r="AD26">
        <v>1</v>
      </c>
      <c r="AE26">
        <v>2335</v>
      </c>
      <c r="AF26">
        <v>2335</v>
      </c>
      <c r="AL26">
        <v>25</v>
      </c>
      <c r="AM26" t="s">
        <v>518</v>
      </c>
      <c r="AN26">
        <v>1</v>
      </c>
      <c r="AO26">
        <v>942</v>
      </c>
      <c r="AP26">
        <v>942</v>
      </c>
    </row>
    <row r="27" spans="4:43" x14ac:dyDescent="0.2">
      <c r="D27">
        <v>26</v>
      </c>
      <c r="E27" t="s">
        <v>149</v>
      </c>
      <c r="F27">
        <v>1</v>
      </c>
      <c r="G27">
        <v>3528</v>
      </c>
      <c r="L27">
        <v>26</v>
      </c>
      <c r="M27" t="s">
        <v>128</v>
      </c>
      <c r="N27">
        <v>1</v>
      </c>
      <c r="O27">
        <v>3969</v>
      </c>
      <c r="T27">
        <v>26</v>
      </c>
      <c r="U27" t="s">
        <v>536</v>
      </c>
      <c r="V27">
        <v>1</v>
      </c>
      <c r="AB27">
        <v>26</v>
      </c>
      <c r="AC27" t="s">
        <v>530</v>
      </c>
      <c r="AD27">
        <v>1</v>
      </c>
      <c r="AE27">
        <v>1247</v>
      </c>
      <c r="AF27">
        <v>1247</v>
      </c>
      <c r="AL27">
        <v>26</v>
      </c>
      <c r="AM27" t="s">
        <v>522</v>
      </c>
      <c r="AN27">
        <v>1</v>
      </c>
      <c r="AO27">
        <v>1877</v>
      </c>
      <c r="AP27">
        <v>1877</v>
      </c>
    </row>
    <row r="28" spans="4:43" x14ac:dyDescent="0.2">
      <c r="AN28" s="2">
        <f>SUM(AN2:AN27)</f>
        <v>25</v>
      </c>
      <c r="AP28">
        <f>SUM(AP2:AP27)</f>
        <v>47672</v>
      </c>
      <c r="AQ28">
        <v>25</v>
      </c>
    </row>
    <row r="29" spans="4:43" x14ac:dyDescent="0.2">
      <c r="F29" s="2">
        <f>SUM(F2:F27)</f>
        <v>25</v>
      </c>
      <c r="G29" s="2">
        <f>AVERAGE(G2,G4:G27)</f>
        <v>3323.76</v>
      </c>
      <c r="N29" s="2">
        <f>SUM(N2:N27)</f>
        <v>26</v>
      </c>
      <c r="O29" s="2">
        <f>AVERAGE(O2:O27)</f>
        <v>3311.3846153846152</v>
      </c>
      <c r="V29" s="19">
        <f>SUM(V2:V28)</f>
        <v>25</v>
      </c>
      <c r="AD29">
        <f>SUM(AD2:AD28)</f>
        <v>24</v>
      </c>
      <c r="AF29">
        <f>SUM(AF2:AF28)</f>
        <v>47747</v>
      </c>
      <c r="AG29">
        <v>24</v>
      </c>
      <c r="AP29" s="5">
        <f>AP28/AQ28</f>
        <v>1906.88</v>
      </c>
    </row>
    <row r="30" spans="4:43" x14ac:dyDescent="0.2">
      <c r="AE30" s="18">
        <f>AF29/AD29</f>
        <v>1989.4583333333333</v>
      </c>
      <c r="AF30">
        <f>AF29/AG29</f>
        <v>1989.4583333333333</v>
      </c>
      <c r="AG30" t="s">
        <v>886</v>
      </c>
    </row>
    <row r="35" spans="4:15" x14ac:dyDescent="0.2">
      <c r="E35" t="s">
        <v>749</v>
      </c>
      <c r="F35" t="s">
        <v>215</v>
      </c>
      <c r="G35" t="s">
        <v>754</v>
      </c>
      <c r="H35" t="s">
        <v>751</v>
      </c>
      <c r="M35" t="s">
        <v>749</v>
      </c>
      <c r="N35" t="s">
        <v>215</v>
      </c>
      <c r="O35" t="s">
        <v>751</v>
      </c>
    </row>
    <row r="36" spans="4:15" x14ac:dyDescent="0.2">
      <c r="D36" t="s">
        <v>16</v>
      </c>
      <c r="E36">
        <v>25</v>
      </c>
      <c r="F36">
        <v>26</v>
      </c>
      <c r="G36">
        <v>25</v>
      </c>
      <c r="H36">
        <v>24</v>
      </c>
      <c r="L36" t="s">
        <v>773</v>
      </c>
      <c r="M36">
        <v>3323.76</v>
      </c>
      <c r="N36">
        <v>3311.3846153846152</v>
      </c>
      <c r="O36">
        <v>1989.4583333333333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2"/>
  <sheetViews>
    <sheetView topLeftCell="AA1" workbookViewId="0">
      <selection activeCell="AD2" sqref="AD2:AD3"/>
    </sheetView>
  </sheetViews>
  <sheetFormatPr baseColWidth="10" defaultColWidth="11.5" defaultRowHeight="15" x14ac:dyDescent="0.2"/>
  <cols>
    <col min="1" max="1" width="22" customWidth="1"/>
    <col min="4" max="4" width="14.33203125" bestFit="1" customWidth="1"/>
    <col min="7" max="7" width="20.6640625" bestFit="1" customWidth="1"/>
    <col min="10" max="10" width="15.5" bestFit="1" customWidth="1"/>
    <col min="14" max="14" width="20.6640625" bestFit="1" customWidth="1"/>
    <col min="20" max="20" width="20.6640625" bestFit="1" customWidth="1"/>
    <col min="23" max="23" width="15" customWidth="1"/>
    <col min="27" max="27" width="22.33203125" customWidth="1"/>
  </cols>
  <sheetData>
    <row r="1" spans="1:31" ht="16" x14ac:dyDescent="0.2">
      <c r="A1" s="1" t="s">
        <v>41</v>
      </c>
      <c r="B1" s="2" t="s">
        <v>0</v>
      </c>
      <c r="C1" s="2" t="s">
        <v>1</v>
      </c>
      <c r="D1" s="2" t="s">
        <v>18</v>
      </c>
      <c r="E1" s="1" t="s">
        <v>19</v>
      </c>
      <c r="G1" s="1" t="s">
        <v>41</v>
      </c>
      <c r="H1" s="2" t="s">
        <v>0</v>
      </c>
      <c r="I1" s="2" t="s">
        <v>1</v>
      </c>
      <c r="J1" s="2" t="s">
        <v>18</v>
      </c>
      <c r="K1" s="1" t="s">
        <v>19</v>
      </c>
      <c r="N1" s="1" t="s">
        <v>41</v>
      </c>
      <c r="O1" s="2" t="s">
        <v>0</v>
      </c>
      <c r="P1" s="2" t="s">
        <v>1</v>
      </c>
      <c r="Q1" s="2" t="s">
        <v>18</v>
      </c>
      <c r="R1" s="1" t="s">
        <v>19</v>
      </c>
      <c r="T1" s="1" t="s">
        <v>41</v>
      </c>
      <c r="U1" s="2" t="s">
        <v>0</v>
      </c>
      <c r="V1" s="2" t="s">
        <v>1</v>
      </c>
      <c r="W1" s="2" t="s">
        <v>18</v>
      </c>
      <c r="X1" s="1" t="s">
        <v>19</v>
      </c>
      <c r="AA1" s="1" t="s">
        <v>41</v>
      </c>
      <c r="AB1" s="2" t="s">
        <v>0</v>
      </c>
      <c r="AC1" s="2" t="s">
        <v>1</v>
      </c>
      <c r="AD1" s="2" t="s">
        <v>18</v>
      </c>
      <c r="AE1" s="1" t="s">
        <v>19</v>
      </c>
    </row>
    <row r="2" spans="1:31" ht="16" x14ac:dyDescent="0.2">
      <c r="A2" s="3" t="s">
        <v>7</v>
      </c>
      <c r="B2">
        <v>2</v>
      </c>
      <c r="C2">
        <v>1</v>
      </c>
      <c r="D2" t="s">
        <v>232</v>
      </c>
      <c r="E2" s="5">
        <v>4</v>
      </c>
      <c r="G2" s="3" t="s">
        <v>222</v>
      </c>
      <c r="H2">
        <v>1</v>
      </c>
      <c r="I2" s="10">
        <v>2</v>
      </c>
      <c r="J2" t="s">
        <v>379</v>
      </c>
      <c r="K2" s="11">
        <v>5</v>
      </c>
      <c r="N2" s="3" t="s">
        <v>221</v>
      </c>
      <c r="O2">
        <v>2</v>
      </c>
      <c r="P2" s="10">
        <v>3</v>
      </c>
      <c r="Q2" t="s">
        <v>703</v>
      </c>
      <c r="R2" s="11"/>
      <c r="T2" s="3" t="s">
        <v>784</v>
      </c>
      <c r="U2">
        <v>1</v>
      </c>
      <c r="V2" s="10">
        <v>3</v>
      </c>
      <c r="W2" t="s">
        <v>703</v>
      </c>
      <c r="X2" s="11">
        <v>3</v>
      </c>
      <c r="AA2" s="3" t="s">
        <v>799</v>
      </c>
      <c r="AB2">
        <v>1</v>
      </c>
      <c r="AC2" s="10">
        <v>4</v>
      </c>
      <c r="AD2" t="s">
        <v>703</v>
      </c>
      <c r="AE2" s="11">
        <v>2</v>
      </c>
    </row>
    <row r="3" spans="1:31" ht="16" x14ac:dyDescent="0.2">
      <c r="A3" s="1" t="s">
        <v>17</v>
      </c>
      <c r="D3" t="s">
        <v>233</v>
      </c>
      <c r="G3" s="1" t="s">
        <v>17</v>
      </c>
      <c r="J3" t="s">
        <v>380</v>
      </c>
      <c r="N3" s="1" t="s">
        <v>17</v>
      </c>
      <c r="Q3" t="s">
        <v>705</v>
      </c>
      <c r="T3" s="1" t="s">
        <v>17</v>
      </c>
      <c r="W3" t="s">
        <v>704</v>
      </c>
      <c r="AA3" s="1" t="s">
        <v>17</v>
      </c>
      <c r="AD3" t="s">
        <v>704</v>
      </c>
    </row>
    <row r="4" spans="1:31" ht="16" x14ac:dyDescent="0.2">
      <c r="A4" s="1" t="s">
        <v>71</v>
      </c>
      <c r="D4" t="s">
        <v>235</v>
      </c>
      <c r="G4" s="15">
        <v>43906</v>
      </c>
      <c r="J4" t="s">
        <v>381</v>
      </c>
      <c r="N4" s="15">
        <v>43916</v>
      </c>
      <c r="Q4" t="s">
        <v>764</v>
      </c>
      <c r="T4" s="26">
        <v>43971</v>
      </c>
      <c r="W4" t="s">
        <v>705</v>
      </c>
      <c r="AA4" s="26">
        <v>44027</v>
      </c>
    </row>
    <row r="5" spans="1:31" ht="16" x14ac:dyDescent="0.2">
      <c r="A5" s="11" t="s">
        <v>236</v>
      </c>
      <c r="D5" t="s">
        <v>234</v>
      </c>
      <c r="G5" s="11" t="s">
        <v>384</v>
      </c>
      <c r="J5" t="s">
        <v>382</v>
      </c>
      <c r="N5" s="11" t="s">
        <v>429</v>
      </c>
      <c r="T5" s="1" t="s">
        <v>36</v>
      </c>
      <c r="AA5" s="1" t="s">
        <v>785</v>
      </c>
    </row>
    <row r="6" spans="1:31" x14ac:dyDescent="0.2">
      <c r="J6" t="s">
        <v>383</v>
      </c>
    </row>
    <row r="11" spans="1:31" x14ac:dyDescent="0.2">
      <c r="L11" t="s">
        <v>757</v>
      </c>
      <c r="M11" t="s">
        <v>215</v>
      </c>
      <c r="N11" t="s">
        <v>750</v>
      </c>
      <c r="O11" t="s">
        <v>758</v>
      </c>
    </row>
    <row r="12" spans="1:31" x14ac:dyDescent="0.2">
      <c r="K12" t="s">
        <v>756</v>
      </c>
      <c r="L12">
        <v>4</v>
      </c>
      <c r="M12">
        <v>5</v>
      </c>
      <c r="N12">
        <v>3</v>
      </c>
      <c r="O12">
        <v>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9"/>
  <sheetViews>
    <sheetView topLeftCell="AA1" workbookViewId="0">
      <selection activeCell="AH2" sqref="AH2:AH13"/>
    </sheetView>
  </sheetViews>
  <sheetFormatPr baseColWidth="10" defaultColWidth="11.5" defaultRowHeight="15" x14ac:dyDescent="0.2"/>
  <cols>
    <col min="1" max="1" width="18.6640625" customWidth="1"/>
    <col min="8" max="8" width="16.5" bestFit="1" customWidth="1"/>
    <col min="15" max="15" width="16.5" bestFit="1" customWidth="1"/>
    <col min="22" max="22" width="16.5" bestFit="1" customWidth="1"/>
    <col min="30" max="30" width="31" customWidth="1"/>
    <col min="35" max="35" width="21.6640625" customWidth="1"/>
  </cols>
  <sheetData>
    <row r="1" spans="1:35" ht="16" x14ac:dyDescent="0.2">
      <c r="A1" s="1" t="s">
        <v>41</v>
      </c>
      <c r="B1" s="2" t="s">
        <v>0</v>
      </c>
      <c r="C1" s="2" t="s">
        <v>1</v>
      </c>
      <c r="D1" s="2" t="s">
        <v>21</v>
      </c>
      <c r="E1" s="2" t="s">
        <v>18</v>
      </c>
      <c r="F1" s="1" t="s">
        <v>19</v>
      </c>
      <c r="H1" s="1" t="s">
        <v>41</v>
      </c>
      <c r="I1" s="2" t="s">
        <v>0</v>
      </c>
      <c r="J1" s="2" t="s">
        <v>1</v>
      </c>
      <c r="K1" s="2" t="s">
        <v>21</v>
      </c>
      <c r="L1" s="2" t="s">
        <v>18</v>
      </c>
      <c r="M1" s="1" t="s">
        <v>19</v>
      </c>
      <c r="O1" s="1" t="s">
        <v>41</v>
      </c>
      <c r="P1" s="2" t="s">
        <v>0</v>
      </c>
      <c r="Q1" s="2" t="s">
        <v>1</v>
      </c>
      <c r="R1" s="2" t="s">
        <v>21</v>
      </c>
      <c r="S1" s="2" t="s">
        <v>18</v>
      </c>
      <c r="T1" s="1" t="s">
        <v>19</v>
      </c>
      <c r="V1" s="1" t="s">
        <v>41</v>
      </c>
      <c r="W1" s="2" t="s">
        <v>0</v>
      </c>
      <c r="X1" s="2" t="s">
        <v>1</v>
      </c>
      <c r="Y1" s="2" t="s">
        <v>21</v>
      </c>
      <c r="Z1" s="2" t="s">
        <v>18</v>
      </c>
      <c r="AA1" s="1" t="s">
        <v>19</v>
      </c>
      <c r="AD1" s="1" t="s">
        <v>41</v>
      </c>
      <c r="AE1" s="2" t="s">
        <v>0</v>
      </c>
      <c r="AF1" s="2" t="s">
        <v>1</v>
      </c>
      <c r="AG1" s="2" t="s">
        <v>21</v>
      </c>
      <c r="AH1" s="2" t="s">
        <v>18</v>
      </c>
      <c r="AI1" s="1" t="s">
        <v>19</v>
      </c>
    </row>
    <row r="2" spans="1:35" ht="16" x14ac:dyDescent="0.2">
      <c r="A2" s="3" t="s">
        <v>7</v>
      </c>
      <c r="B2">
        <v>2</v>
      </c>
      <c r="C2">
        <v>1</v>
      </c>
      <c r="D2">
        <v>1</v>
      </c>
      <c r="E2" t="s">
        <v>237</v>
      </c>
      <c r="F2" s="5">
        <v>7</v>
      </c>
      <c r="H2" s="3" t="s">
        <v>223</v>
      </c>
      <c r="I2">
        <v>1</v>
      </c>
      <c r="J2" s="10">
        <v>2</v>
      </c>
      <c r="K2" s="12">
        <v>1</v>
      </c>
      <c r="L2" t="s">
        <v>383</v>
      </c>
      <c r="M2" s="11">
        <v>9</v>
      </c>
      <c r="O2" s="3" t="s">
        <v>224</v>
      </c>
      <c r="P2">
        <v>2</v>
      </c>
      <c r="Q2" s="10">
        <v>3</v>
      </c>
      <c r="R2" s="12">
        <v>1</v>
      </c>
      <c r="S2" t="s">
        <v>765</v>
      </c>
      <c r="T2" s="11">
        <v>8</v>
      </c>
      <c r="V2" s="3" t="s">
        <v>786</v>
      </c>
      <c r="W2">
        <v>1</v>
      </c>
      <c r="X2" s="10">
        <v>3</v>
      </c>
      <c r="Y2" s="12">
        <v>1</v>
      </c>
      <c r="Z2" t="s">
        <v>706</v>
      </c>
      <c r="AA2" s="11">
        <v>11</v>
      </c>
      <c r="AD2" s="3" t="s">
        <v>787</v>
      </c>
      <c r="AE2">
        <v>1</v>
      </c>
      <c r="AF2" s="10">
        <v>4</v>
      </c>
      <c r="AG2" s="12">
        <v>1</v>
      </c>
      <c r="AH2" t="s">
        <v>707</v>
      </c>
      <c r="AI2" s="11"/>
    </row>
    <row r="3" spans="1:35" ht="16" x14ac:dyDescent="0.2">
      <c r="A3" s="1" t="s">
        <v>20</v>
      </c>
      <c r="D3">
        <v>2</v>
      </c>
      <c r="E3" t="s">
        <v>238</v>
      </c>
      <c r="H3" s="1" t="s">
        <v>225</v>
      </c>
      <c r="K3">
        <v>2</v>
      </c>
      <c r="L3" t="s">
        <v>385</v>
      </c>
      <c r="O3" s="1" t="s">
        <v>225</v>
      </c>
      <c r="R3">
        <v>1</v>
      </c>
      <c r="S3" t="s">
        <v>766</v>
      </c>
      <c r="V3" s="1" t="s">
        <v>225</v>
      </c>
      <c r="Y3">
        <v>1</v>
      </c>
      <c r="Z3" t="s">
        <v>707</v>
      </c>
      <c r="AD3" s="1" t="s">
        <v>225</v>
      </c>
      <c r="AG3">
        <v>0</v>
      </c>
      <c r="AH3" s="29" t="s">
        <v>788</v>
      </c>
    </row>
    <row r="4" spans="1:35" ht="16" x14ac:dyDescent="0.2">
      <c r="A4" s="1" t="s">
        <v>42</v>
      </c>
      <c r="D4">
        <v>3</v>
      </c>
      <c r="E4" t="s">
        <v>239</v>
      </c>
      <c r="H4" s="15">
        <v>43906</v>
      </c>
      <c r="K4">
        <v>3</v>
      </c>
      <c r="L4" t="s">
        <v>386</v>
      </c>
      <c r="O4" t="s">
        <v>673</v>
      </c>
      <c r="R4">
        <v>1</v>
      </c>
      <c r="S4" t="s">
        <v>767</v>
      </c>
      <c r="V4" s="27">
        <v>43971</v>
      </c>
      <c r="Y4">
        <v>0</v>
      </c>
      <c r="Z4" s="5" t="s">
        <v>708</v>
      </c>
      <c r="AD4" s="27">
        <v>44027</v>
      </c>
      <c r="AG4">
        <v>1</v>
      </c>
      <c r="AH4" s="12" t="s">
        <v>789</v>
      </c>
    </row>
    <row r="5" spans="1:35" ht="16" x14ac:dyDescent="0.2">
      <c r="A5" s="11" t="s">
        <v>244</v>
      </c>
      <c r="D5">
        <v>4</v>
      </c>
      <c r="E5" t="s">
        <v>240</v>
      </c>
      <c r="H5" s="11" t="s">
        <v>391</v>
      </c>
      <c r="K5">
        <v>4</v>
      </c>
      <c r="L5" t="s">
        <v>387</v>
      </c>
      <c r="O5" s="15">
        <v>43916</v>
      </c>
      <c r="R5">
        <v>1</v>
      </c>
      <c r="S5" t="s">
        <v>768</v>
      </c>
      <c r="V5" s="1" t="s">
        <v>36</v>
      </c>
      <c r="Y5">
        <v>1</v>
      </c>
      <c r="Z5" t="s">
        <v>709</v>
      </c>
      <c r="AD5" s="1" t="s">
        <v>798</v>
      </c>
      <c r="AG5">
        <v>1</v>
      </c>
      <c r="AH5" t="s">
        <v>765</v>
      </c>
    </row>
    <row r="6" spans="1:35" ht="16" x14ac:dyDescent="0.2">
      <c r="D6">
        <v>5</v>
      </c>
      <c r="E6" t="s">
        <v>241</v>
      </c>
      <c r="K6">
        <v>5</v>
      </c>
      <c r="L6" t="s">
        <v>388</v>
      </c>
      <c r="O6" s="11" t="s">
        <v>391</v>
      </c>
      <c r="R6">
        <v>1</v>
      </c>
      <c r="S6" t="s">
        <v>769</v>
      </c>
      <c r="Y6">
        <v>1</v>
      </c>
      <c r="Z6" t="s">
        <v>710</v>
      </c>
      <c r="AG6">
        <v>1</v>
      </c>
      <c r="AH6" t="s">
        <v>769</v>
      </c>
    </row>
    <row r="7" spans="1:35" x14ac:dyDescent="0.2">
      <c r="D7">
        <v>6</v>
      </c>
      <c r="E7" t="s">
        <v>242</v>
      </c>
      <c r="K7">
        <v>6</v>
      </c>
      <c r="L7" t="s">
        <v>389</v>
      </c>
      <c r="R7">
        <v>1</v>
      </c>
      <c r="S7" s="12" t="s">
        <v>770</v>
      </c>
      <c r="Y7">
        <v>1</v>
      </c>
      <c r="Z7" t="s">
        <v>711</v>
      </c>
      <c r="AG7">
        <v>1</v>
      </c>
      <c r="AH7" t="s">
        <v>790</v>
      </c>
    </row>
    <row r="8" spans="1:35" x14ac:dyDescent="0.2">
      <c r="D8">
        <v>7</v>
      </c>
      <c r="E8" t="s">
        <v>243</v>
      </c>
      <c r="K8">
        <v>7</v>
      </c>
      <c r="L8" t="s">
        <v>380</v>
      </c>
      <c r="R8">
        <v>1</v>
      </c>
      <c r="S8" t="s">
        <v>706</v>
      </c>
      <c r="Y8">
        <v>1</v>
      </c>
      <c r="Z8" t="s">
        <v>712</v>
      </c>
      <c r="AG8">
        <v>1</v>
      </c>
      <c r="AH8" t="s">
        <v>791</v>
      </c>
    </row>
    <row r="9" spans="1:35" x14ac:dyDescent="0.2">
      <c r="K9">
        <v>8</v>
      </c>
      <c r="L9" t="s">
        <v>160</v>
      </c>
      <c r="R9">
        <v>1</v>
      </c>
      <c r="S9" t="s">
        <v>771</v>
      </c>
      <c r="Y9">
        <v>1</v>
      </c>
      <c r="Z9" t="s">
        <v>717</v>
      </c>
      <c r="AG9">
        <v>1</v>
      </c>
      <c r="AH9" t="s">
        <v>792</v>
      </c>
    </row>
    <row r="10" spans="1:35" x14ac:dyDescent="0.2">
      <c r="K10">
        <v>9</v>
      </c>
      <c r="L10" t="s">
        <v>390</v>
      </c>
      <c r="R10" s="12">
        <f>SUM(R2:R9)</f>
        <v>8</v>
      </c>
      <c r="Y10">
        <v>1</v>
      </c>
      <c r="Z10" t="s">
        <v>713</v>
      </c>
      <c r="AG10">
        <v>1</v>
      </c>
      <c r="AH10" t="s">
        <v>793</v>
      </c>
    </row>
    <row r="11" spans="1:35" x14ac:dyDescent="0.2">
      <c r="Y11">
        <v>1</v>
      </c>
      <c r="Z11" t="s">
        <v>714</v>
      </c>
      <c r="AG11">
        <v>1</v>
      </c>
      <c r="AH11" t="s">
        <v>794</v>
      </c>
    </row>
    <row r="12" spans="1:35" x14ac:dyDescent="0.2">
      <c r="Y12">
        <v>1</v>
      </c>
      <c r="Z12" t="s">
        <v>715</v>
      </c>
      <c r="AG12">
        <v>0</v>
      </c>
      <c r="AH12" s="29" t="s">
        <v>796</v>
      </c>
      <c r="AI12" t="s">
        <v>797</v>
      </c>
    </row>
    <row r="13" spans="1:35" x14ac:dyDescent="0.2">
      <c r="Y13">
        <v>1</v>
      </c>
      <c r="Z13" t="s">
        <v>716</v>
      </c>
      <c r="AG13">
        <v>1</v>
      </c>
      <c r="AH13" t="s">
        <v>795</v>
      </c>
    </row>
    <row r="14" spans="1:35" x14ac:dyDescent="0.2">
      <c r="Y14">
        <f>SUM(Y2:Y13)</f>
        <v>11</v>
      </c>
      <c r="AG14">
        <f>SUM(AG2:AG13)</f>
        <v>10</v>
      </c>
    </row>
    <row r="18" spans="13:17" x14ac:dyDescent="0.2">
      <c r="N18" t="s">
        <v>757</v>
      </c>
      <c r="O18" t="s">
        <v>215</v>
      </c>
      <c r="P18" t="s">
        <v>750</v>
      </c>
      <c r="Q18" t="s">
        <v>758</v>
      </c>
    </row>
    <row r="19" spans="13:17" x14ac:dyDescent="0.2">
      <c r="M19" t="s">
        <v>759</v>
      </c>
      <c r="N19">
        <v>7</v>
      </c>
      <c r="O19">
        <v>9</v>
      </c>
      <c r="P19">
        <v>8</v>
      </c>
      <c r="Q19">
        <v>11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50"/>
  <sheetViews>
    <sheetView topLeftCell="AM6" zoomScaleNormal="100" workbookViewId="0">
      <selection activeCell="AT43" sqref="AT43"/>
    </sheetView>
  </sheetViews>
  <sheetFormatPr baseColWidth="10" defaultColWidth="11.5" defaultRowHeight="15" x14ac:dyDescent="0.2"/>
  <cols>
    <col min="1" max="1" width="26.6640625" customWidth="1"/>
    <col min="7" max="8" width="16.6640625" customWidth="1"/>
    <col min="10" max="10" width="26.33203125" bestFit="1" customWidth="1"/>
    <col min="16" max="16" width="15.6640625" bestFit="1" customWidth="1"/>
    <col min="17" max="17" width="14.33203125" bestFit="1" customWidth="1"/>
    <col min="19" max="19" width="26.33203125" bestFit="1" customWidth="1"/>
    <col min="25" max="25" width="15.6640625" bestFit="1" customWidth="1"/>
    <col min="26" max="26" width="14.33203125" bestFit="1" customWidth="1"/>
    <col min="28" max="28" width="26.33203125" bestFit="1" customWidth="1"/>
    <col min="34" max="34" width="15.6640625" bestFit="1" customWidth="1"/>
    <col min="35" max="35" width="20.1640625" customWidth="1"/>
    <col min="38" max="38" width="27.83203125" customWidth="1"/>
    <col min="45" max="45" width="19.5" customWidth="1"/>
  </cols>
  <sheetData>
    <row r="1" spans="1:46" ht="16" x14ac:dyDescent="0.2">
      <c r="A1" s="1" t="s">
        <v>41</v>
      </c>
      <c r="B1" s="2" t="s">
        <v>0</v>
      </c>
      <c r="C1" s="2" t="s">
        <v>1</v>
      </c>
      <c r="D1" s="2" t="s">
        <v>2</v>
      </c>
      <c r="E1" s="2" t="s">
        <v>22</v>
      </c>
      <c r="F1" s="2" t="s">
        <v>23</v>
      </c>
      <c r="G1" s="2" t="s">
        <v>24</v>
      </c>
      <c r="H1" s="2" t="s">
        <v>25</v>
      </c>
      <c r="J1" s="1" t="s">
        <v>41</v>
      </c>
      <c r="K1" s="2" t="s">
        <v>0</v>
      </c>
      <c r="L1" s="2" t="s">
        <v>1</v>
      </c>
      <c r="M1" s="2" t="s">
        <v>2</v>
      </c>
      <c r="N1" s="2" t="s">
        <v>27</v>
      </c>
      <c r="O1" s="2" t="s">
        <v>28</v>
      </c>
      <c r="P1" s="2" t="s">
        <v>24</v>
      </c>
      <c r="Q1" s="2" t="s">
        <v>25</v>
      </c>
      <c r="S1" s="1" t="s">
        <v>41</v>
      </c>
      <c r="T1" s="2" t="s">
        <v>0</v>
      </c>
      <c r="U1" s="2" t="s">
        <v>1</v>
      </c>
      <c r="V1" s="2" t="s">
        <v>2</v>
      </c>
      <c r="W1" s="2" t="s">
        <v>27</v>
      </c>
      <c r="X1" s="2" t="s">
        <v>28</v>
      </c>
      <c r="Y1" s="2" t="s">
        <v>24</v>
      </c>
      <c r="Z1" s="2" t="s">
        <v>25</v>
      </c>
      <c r="AB1" s="1" t="s">
        <v>41</v>
      </c>
      <c r="AC1" s="2" t="s">
        <v>0</v>
      </c>
      <c r="AD1" s="2" t="s">
        <v>1</v>
      </c>
      <c r="AE1" s="2" t="s">
        <v>2</v>
      </c>
      <c r="AF1" s="2" t="s">
        <v>22</v>
      </c>
      <c r="AG1" s="2" t="s">
        <v>23</v>
      </c>
      <c r="AH1" s="2" t="s">
        <v>24</v>
      </c>
      <c r="AI1" s="2" t="s">
        <v>25</v>
      </c>
      <c r="AJ1" s="2" t="s">
        <v>696</v>
      </c>
      <c r="AL1" s="1" t="s">
        <v>41</v>
      </c>
      <c r="AM1" s="2" t="s">
        <v>0</v>
      </c>
      <c r="AN1" s="2" t="s">
        <v>1</v>
      </c>
      <c r="AO1" s="2" t="s">
        <v>2</v>
      </c>
      <c r="AP1" s="2" t="s">
        <v>22</v>
      </c>
      <c r="AQ1" s="2" t="s">
        <v>23</v>
      </c>
      <c r="AR1" s="2" t="s">
        <v>24</v>
      </c>
      <c r="AS1" s="2" t="s">
        <v>25</v>
      </c>
      <c r="AT1" s="2" t="s">
        <v>696</v>
      </c>
    </row>
    <row r="2" spans="1:46" ht="16" x14ac:dyDescent="0.2">
      <c r="A2" s="3" t="s">
        <v>7</v>
      </c>
      <c r="B2">
        <v>2</v>
      </c>
      <c r="C2">
        <v>1</v>
      </c>
      <c r="D2">
        <v>1</v>
      </c>
      <c r="E2" t="s">
        <v>150</v>
      </c>
      <c r="F2" t="s">
        <v>151</v>
      </c>
      <c r="G2">
        <v>1</v>
      </c>
      <c r="H2">
        <v>1254</v>
      </c>
      <c r="J2" s="3" t="s">
        <v>226</v>
      </c>
      <c r="K2">
        <v>2</v>
      </c>
      <c r="L2">
        <v>2</v>
      </c>
      <c r="M2">
        <v>1</v>
      </c>
      <c r="N2" t="s">
        <v>150</v>
      </c>
      <c r="O2" t="s">
        <v>184</v>
      </c>
      <c r="P2">
        <v>1</v>
      </c>
      <c r="Q2">
        <v>1439</v>
      </c>
      <c r="S2" s="3" t="s">
        <v>227</v>
      </c>
      <c r="T2">
        <v>2</v>
      </c>
      <c r="U2">
        <v>3</v>
      </c>
      <c r="V2">
        <v>1</v>
      </c>
      <c r="W2" t="s">
        <v>157</v>
      </c>
      <c r="X2" t="s">
        <v>537</v>
      </c>
      <c r="Y2">
        <v>1</v>
      </c>
      <c r="AB2" s="3" t="s">
        <v>719</v>
      </c>
      <c r="AC2">
        <v>1</v>
      </c>
      <c r="AD2">
        <v>3</v>
      </c>
      <c r="AE2">
        <v>1</v>
      </c>
      <c r="AF2" t="s">
        <v>157</v>
      </c>
      <c r="AG2" t="s">
        <v>559</v>
      </c>
      <c r="AH2" s="5">
        <v>0</v>
      </c>
      <c r="AI2" s="5">
        <v>2461</v>
      </c>
      <c r="AJ2" s="5"/>
      <c r="AL2" s="3" t="s">
        <v>217</v>
      </c>
      <c r="AM2">
        <v>1</v>
      </c>
      <c r="AN2">
        <v>3</v>
      </c>
      <c r="AO2">
        <v>1</v>
      </c>
      <c r="AP2" t="s">
        <v>157</v>
      </c>
      <c r="AQ2" t="s">
        <v>558</v>
      </c>
      <c r="AR2">
        <v>1</v>
      </c>
      <c r="AS2">
        <v>1604</v>
      </c>
      <c r="AT2">
        <v>1604</v>
      </c>
    </row>
    <row r="3" spans="1:46" ht="16" x14ac:dyDescent="0.2">
      <c r="A3" s="1" t="s">
        <v>802</v>
      </c>
      <c r="D3">
        <v>2</v>
      </c>
      <c r="E3" t="s">
        <v>150</v>
      </c>
      <c r="F3" t="s">
        <v>152</v>
      </c>
      <c r="G3">
        <v>1</v>
      </c>
      <c r="H3">
        <v>954</v>
      </c>
      <c r="J3" s="1" t="s">
        <v>802</v>
      </c>
      <c r="M3">
        <v>2</v>
      </c>
      <c r="N3" t="s">
        <v>157</v>
      </c>
      <c r="O3" t="s">
        <v>170</v>
      </c>
      <c r="P3">
        <v>1</v>
      </c>
      <c r="Q3">
        <v>1970</v>
      </c>
      <c r="S3" s="1" t="s">
        <v>802</v>
      </c>
      <c r="V3">
        <v>2</v>
      </c>
      <c r="W3" t="s">
        <v>150</v>
      </c>
      <c r="X3" t="s">
        <v>538</v>
      </c>
      <c r="Y3">
        <v>1</v>
      </c>
      <c r="AB3" s="1" t="s">
        <v>802</v>
      </c>
      <c r="AE3">
        <v>2</v>
      </c>
      <c r="AF3" t="s">
        <v>157</v>
      </c>
      <c r="AG3" t="s">
        <v>558</v>
      </c>
      <c r="AH3">
        <v>1</v>
      </c>
      <c r="AI3">
        <v>1040</v>
      </c>
      <c r="AJ3">
        <v>1040</v>
      </c>
      <c r="AL3" s="1" t="s">
        <v>802</v>
      </c>
      <c r="AO3">
        <v>2</v>
      </c>
      <c r="AP3" t="s">
        <v>157</v>
      </c>
      <c r="AQ3" t="s">
        <v>567</v>
      </c>
      <c r="AR3">
        <v>1</v>
      </c>
      <c r="AS3">
        <v>1265</v>
      </c>
      <c r="AT3">
        <v>1265</v>
      </c>
    </row>
    <row r="4" spans="1:46" ht="16" x14ac:dyDescent="0.2">
      <c r="A4" s="1" t="s">
        <v>42</v>
      </c>
      <c r="D4">
        <v>3</v>
      </c>
      <c r="E4" t="s">
        <v>150</v>
      </c>
      <c r="F4" t="s">
        <v>153</v>
      </c>
      <c r="G4">
        <v>1</v>
      </c>
      <c r="H4">
        <v>1172</v>
      </c>
      <c r="J4" s="15">
        <v>43906</v>
      </c>
      <c r="M4">
        <v>3</v>
      </c>
      <c r="N4" t="s">
        <v>157</v>
      </c>
      <c r="O4" t="s">
        <v>180</v>
      </c>
      <c r="P4">
        <v>1</v>
      </c>
      <c r="Q4">
        <v>735</v>
      </c>
      <c r="S4" s="15">
        <v>43916</v>
      </c>
      <c r="V4">
        <v>3</v>
      </c>
      <c r="W4" t="s">
        <v>150</v>
      </c>
      <c r="X4" t="s">
        <v>539</v>
      </c>
      <c r="Y4">
        <v>1</v>
      </c>
      <c r="AB4" s="15">
        <v>43971</v>
      </c>
      <c r="AE4">
        <v>3</v>
      </c>
      <c r="AF4" t="s">
        <v>157</v>
      </c>
      <c r="AG4" t="s">
        <v>561</v>
      </c>
      <c r="AH4">
        <v>1</v>
      </c>
      <c r="AI4">
        <v>808</v>
      </c>
      <c r="AJ4">
        <v>808</v>
      </c>
      <c r="AL4" s="15">
        <v>44027</v>
      </c>
      <c r="AO4">
        <v>3</v>
      </c>
      <c r="AP4" t="s">
        <v>157</v>
      </c>
      <c r="AQ4" t="s">
        <v>570</v>
      </c>
      <c r="AR4">
        <v>1</v>
      </c>
      <c r="AS4">
        <v>1462</v>
      </c>
      <c r="AT4">
        <v>1462</v>
      </c>
    </row>
    <row r="5" spans="1:46" ht="16" x14ac:dyDescent="0.2">
      <c r="A5" s="11" t="s">
        <v>230</v>
      </c>
      <c r="D5">
        <v>4</v>
      </c>
      <c r="E5" t="s">
        <v>150</v>
      </c>
      <c r="F5" t="s">
        <v>154</v>
      </c>
      <c r="G5">
        <v>1</v>
      </c>
      <c r="H5">
        <v>1064</v>
      </c>
      <c r="J5" s="11" t="s">
        <v>230</v>
      </c>
      <c r="M5">
        <v>4</v>
      </c>
      <c r="N5" t="s">
        <v>157</v>
      </c>
      <c r="O5" t="s">
        <v>188</v>
      </c>
      <c r="P5">
        <v>1</v>
      </c>
      <c r="Q5">
        <v>686</v>
      </c>
      <c r="S5" s="11" t="s">
        <v>428</v>
      </c>
      <c r="V5">
        <v>4</v>
      </c>
      <c r="W5" t="s">
        <v>157</v>
      </c>
      <c r="X5" t="s">
        <v>540</v>
      </c>
      <c r="Y5">
        <v>1</v>
      </c>
      <c r="AB5" s="1" t="s">
        <v>37</v>
      </c>
      <c r="AE5">
        <v>4</v>
      </c>
      <c r="AF5" t="s">
        <v>150</v>
      </c>
      <c r="AG5" t="s">
        <v>545</v>
      </c>
      <c r="AH5">
        <v>1</v>
      </c>
      <c r="AI5">
        <v>743</v>
      </c>
      <c r="AJ5">
        <v>743</v>
      </c>
      <c r="AL5" s="1" t="s">
        <v>37</v>
      </c>
      <c r="AO5">
        <v>4</v>
      </c>
      <c r="AP5" t="s">
        <v>150</v>
      </c>
      <c r="AQ5" t="s">
        <v>553</v>
      </c>
      <c r="AR5">
        <v>1</v>
      </c>
      <c r="AS5">
        <v>1258</v>
      </c>
      <c r="AT5">
        <v>1258</v>
      </c>
    </row>
    <row r="6" spans="1:46" x14ac:dyDescent="0.2">
      <c r="D6">
        <v>5</v>
      </c>
      <c r="E6" t="s">
        <v>150</v>
      </c>
      <c r="F6" t="s">
        <v>155</v>
      </c>
      <c r="G6">
        <v>1</v>
      </c>
      <c r="H6">
        <v>1041</v>
      </c>
      <c r="M6">
        <v>5</v>
      </c>
      <c r="N6" t="s">
        <v>150</v>
      </c>
      <c r="O6" t="s">
        <v>151</v>
      </c>
      <c r="P6">
        <v>1</v>
      </c>
      <c r="Q6">
        <v>734</v>
      </c>
      <c r="S6" s="19" t="s">
        <v>673</v>
      </c>
      <c r="V6">
        <v>5</v>
      </c>
      <c r="W6" t="s">
        <v>150</v>
      </c>
      <c r="X6" t="s">
        <v>541</v>
      </c>
      <c r="Y6">
        <v>1</v>
      </c>
      <c r="AE6">
        <v>5</v>
      </c>
      <c r="AF6" t="s">
        <v>157</v>
      </c>
      <c r="AG6" t="s">
        <v>569</v>
      </c>
      <c r="AH6">
        <v>1</v>
      </c>
      <c r="AI6">
        <v>1619</v>
      </c>
      <c r="AJ6">
        <v>1619</v>
      </c>
      <c r="AO6">
        <v>5</v>
      </c>
      <c r="AP6" t="s">
        <v>157</v>
      </c>
      <c r="AQ6" t="s">
        <v>561</v>
      </c>
      <c r="AR6">
        <v>1</v>
      </c>
      <c r="AS6">
        <v>1160</v>
      </c>
      <c r="AT6">
        <v>1160</v>
      </c>
    </row>
    <row r="7" spans="1:46" x14ac:dyDescent="0.2">
      <c r="D7">
        <v>6</v>
      </c>
      <c r="E7" t="s">
        <v>150</v>
      </c>
      <c r="F7" t="s">
        <v>156</v>
      </c>
      <c r="G7">
        <v>1</v>
      </c>
      <c r="H7">
        <v>848</v>
      </c>
      <c r="M7">
        <v>6</v>
      </c>
      <c r="N7" t="s">
        <v>150</v>
      </c>
      <c r="O7" t="s">
        <v>181</v>
      </c>
      <c r="P7">
        <v>1</v>
      </c>
      <c r="Q7">
        <v>1231</v>
      </c>
      <c r="V7">
        <v>6</v>
      </c>
      <c r="W7" t="s">
        <v>150</v>
      </c>
      <c r="X7" t="s">
        <v>542</v>
      </c>
      <c r="Y7">
        <v>1</v>
      </c>
      <c r="AE7">
        <v>6</v>
      </c>
      <c r="AF7" t="s">
        <v>150</v>
      </c>
      <c r="AG7" t="s">
        <v>575</v>
      </c>
      <c r="AH7">
        <v>1</v>
      </c>
      <c r="AI7">
        <v>934</v>
      </c>
      <c r="AJ7">
        <v>934</v>
      </c>
      <c r="AO7">
        <v>6</v>
      </c>
      <c r="AP7" t="s">
        <v>157</v>
      </c>
      <c r="AQ7" t="s">
        <v>548</v>
      </c>
      <c r="AR7" s="5">
        <v>0</v>
      </c>
      <c r="AS7" s="5">
        <v>0</v>
      </c>
      <c r="AT7" s="5"/>
    </row>
    <row r="8" spans="1:46" x14ac:dyDescent="0.2">
      <c r="D8">
        <v>7</v>
      </c>
      <c r="E8" t="s">
        <v>157</v>
      </c>
      <c r="F8" t="s">
        <v>158</v>
      </c>
      <c r="G8">
        <v>1</v>
      </c>
      <c r="H8">
        <v>1446</v>
      </c>
      <c r="M8">
        <v>7</v>
      </c>
      <c r="N8" t="s">
        <v>150</v>
      </c>
      <c r="O8" t="s">
        <v>152</v>
      </c>
      <c r="P8">
        <v>1</v>
      </c>
      <c r="Q8">
        <v>1103</v>
      </c>
      <c r="V8">
        <v>7</v>
      </c>
      <c r="W8" t="s">
        <v>157</v>
      </c>
      <c r="X8" t="s">
        <v>543</v>
      </c>
      <c r="Y8">
        <v>1</v>
      </c>
      <c r="AE8">
        <v>7</v>
      </c>
      <c r="AF8" t="s">
        <v>150</v>
      </c>
      <c r="AG8" t="s">
        <v>572</v>
      </c>
      <c r="AH8">
        <v>1</v>
      </c>
      <c r="AI8">
        <v>1301</v>
      </c>
      <c r="AJ8">
        <v>1301</v>
      </c>
      <c r="AO8">
        <v>7</v>
      </c>
      <c r="AP8" t="s">
        <v>150</v>
      </c>
      <c r="AQ8" t="s">
        <v>568</v>
      </c>
      <c r="AR8">
        <v>1</v>
      </c>
      <c r="AS8">
        <v>91</v>
      </c>
      <c r="AT8">
        <v>91</v>
      </c>
    </row>
    <row r="9" spans="1:46" x14ac:dyDescent="0.2">
      <c r="D9">
        <v>8</v>
      </c>
      <c r="E9" t="s">
        <v>150</v>
      </c>
      <c r="F9" t="s">
        <v>159</v>
      </c>
      <c r="G9">
        <v>1</v>
      </c>
      <c r="H9">
        <v>978</v>
      </c>
      <c r="M9">
        <v>8</v>
      </c>
      <c r="N9" t="s">
        <v>150</v>
      </c>
      <c r="O9" t="s">
        <v>154</v>
      </c>
      <c r="P9">
        <v>1</v>
      </c>
      <c r="Q9">
        <v>672</v>
      </c>
      <c r="V9">
        <v>8</v>
      </c>
      <c r="W9" t="s">
        <v>150</v>
      </c>
      <c r="X9" t="s">
        <v>544</v>
      </c>
      <c r="Y9">
        <v>1</v>
      </c>
      <c r="AE9">
        <v>8</v>
      </c>
      <c r="AF9" t="s">
        <v>150</v>
      </c>
      <c r="AG9" t="s">
        <v>549</v>
      </c>
      <c r="AH9">
        <v>1</v>
      </c>
      <c r="AI9">
        <v>1235</v>
      </c>
      <c r="AJ9">
        <v>1235</v>
      </c>
      <c r="AO9">
        <v>8</v>
      </c>
      <c r="AP9" t="s">
        <v>150</v>
      </c>
      <c r="AQ9" t="s">
        <v>545</v>
      </c>
      <c r="AR9">
        <v>1</v>
      </c>
      <c r="AS9">
        <v>1299</v>
      </c>
      <c r="AT9">
        <v>1299</v>
      </c>
    </row>
    <row r="10" spans="1:46" x14ac:dyDescent="0.2">
      <c r="D10">
        <v>9</v>
      </c>
      <c r="E10" t="s">
        <v>157</v>
      </c>
      <c r="F10" t="s">
        <v>160</v>
      </c>
      <c r="G10">
        <v>1</v>
      </c>
      <c r="H10">
        <v>834</v>
      </c>
      <c r="M10">
        <v>9</v>
      </c>
      <c r="N10" t="s">
        <v>157</v>
      </c>
      <c r="O10" t="s">
        <v>164</v>
      </c>
      <c r="P10">
        <v>1</v>
      </c>
      <c r="Q10">
        <v>721</v>
      </c>
      <c r="V10">
        <v>9</v>
      </c>
      <c r="W10" t="s">
        <v>150</v>
      </c>
      <c r="X10" t="s">
        <v>545</v>
      </c>
      <c r="Y10">
        <v>1</v>
      </c>
      <c r="AE10">
        <v>9</v>
      </c>
      <c r="AF10" t="s">
        <v>157</v>
      </c>
      <c r="AG10" t="s">
        <v>562</v>
      </c>
      <c r="AH10">
        <v>1</v>
      </c>
      <c r="AI10">
        <v>1221</v>
      </c>
      <c r="AJ10">
        <v>1221</v>
      </c>
      <c r="AO10">
        <v>9</v>
      </c>
      <c r="AP10" t="s">
        <v>157</v>
      </c>
      <c r="AQ10" t="s">
        <v>718</v>
      </c>
      <c r="AR10">
        <v>1</v>
      </c>
      <c r="AS10">
        <v>2337</v>
      </c>
      <c r="AT10">
        <v>2337</v>
      </c>
    </row>
    <row r="11" spans="1:46" x14ac:dyDescent="0.2">
      <c r="D11">
        <v>10</v>
      </c>
      <c r="E11" t="s">
        <v>157</v>
      </c>
      <c r="F11" t="s">
        <v>161</v>
      </c>
      <c r="G11">
        <v>1</v>
      </c>
      <c r="H11">
        <v>998</v>
      </c>
      <c r="M11">
        <v>10</v>
      </c>
      <c r="N11" t="s">
        <v>150</v>
      </c>
      <c r="O11" t="s">
        <v>183</v>
      </c>
      <c r="P11">
        <v>1</v>
      </c>
      <c r="Q11">
        <v>1062</v>
      </c>
      <c r="V11">
        <v>10</v>
      </c>
      <c r="W11" t="s">
        <v>150</v>
      </c>
      <c r="X11" t="s">
        <v>546</v>
      </c>
      <c r="Y11">
        <v>1</v>
      </c>
      <c r="AE11">
        <v>10</v>
      </c>
      <c r="AF11" t="s">
        <v>157</v>
      </c>
      <c r="AG11" t="s">
        <v>571</v>
      </c>
      <c r="AH11">
        <v>1</v>
      </c>
      <c r="AI11">
        <v>742</v>
      </c>
      <c r="AJ11">
        <v>742</v>
      </c>
      <c r="AO11">
        <v>10</v>
      </c>
      <c r="AP11" t="s">
        <v>150</v>
      </c>
      <c r="AQ11" t="s">
        <v>542</v>
      </c>
      <c r="AR11">
        <v>1</v>
      </c>
      <c r="AS11">
        <v>1297</v>
      </c>
      <c r="AT11">
        <v>1297</v>
      </c>
    </row>
    <row r="12" spans="1:46" x14ac:dyDescent="0.2">
      <c r="D12">
        <v>11</v>
      </c>
      <c r="E12" t="s">
        <v>157</v>
      </c>
      <c r="F12" t="s">
        <v>162</v>
      </c>
      <c r="G12">
        <v>1</v>
      </c>
      <c r="H12">
        <v>1228</v>
      </c>
      <c r="M12">
        <v>11</v>
      </c>
      <c r="N12" t="s">
        <v>157</v>
      </c>
      <c r="O12" t="s">
        <v>165</v>
      </c>
      <c r="P12">
        <v>1</v>
      </c>
      <c r="Q12">
        <v>883</v>
      </c>
      <c r="V12">
        <v>11</v>
      </c>
      <c r="W12" t="s">
        <v>150</v>
      </c>
      <c r="X12" t="s">
        <v>547</v>
      </c>
      <c r="Y12">
        <v>0</v>
      </c>
      <c r="AE12">
        <v>11</v>
      </c>
      <c r="AF12" t="s">
        <v>150</v>
      </c>
      <c r="AG12" t="s">
        <v>568</v>
      </c>
      <c r="AH12">
        <v>1</v>
      </c>
      <c r="AI12">
        <v>743</v>
      </c>
      <c r="AJ12">
        <v>743</v>
      </c>
      <c r="AO12">
        <v>11</v>
      </c>
      <c r="AP12" t="s">
        <v>157</v>
      </c>
      <c r="AQ12" t="s">
        <v>543</v>
      </c>
      <c r="AR12">
        <v>1</v>
      </c>
      <c r="AS12">
        <v>1102</v>
      </c>
      <c r="AT12">
        <v>1102</v>
      </c>
    </row>
    <row r="13" spans="1:46" x14ac:dyDescent="0.2">
      <c r="D13">
        <v>12</v>
      </c>
      <c r="E13" t="s">
        <v>157</v>
      </c>
      <c r="F13" t="s">
        <v>163</v>
      </c>
      <c r="G13" s="5">
        <v>0</v>
      </c>
      <c r="H13" s="5">
        <v>1553</v>
      </c>
      <c r="M13">
        <v>12</v>
      </c>
      <c r="N13" t="s">
        <v>157</v>
      </c>
      <c r="O13" t="s">
        <v>186</v>
      </c>
      <c r="P13">
        <v>1</v>
      </c>
      <c r="Q13">
        <v>622</v>
      </c>
      <c r="V13">
        <v>12</v>
      </c>
      <c r="W13" t="s">
        <v>157</v>
      </c>
      <c r="X13" t="s">
        <v>548</v>
      </c>
      <c r="Y13">
        <v>0</v>
      </c>
      <c r="AE13">
        <v>12</v>
      </c>
      <c r="AF13" t="s">
        <v>150</v>
      </c>
      <c r="AG13" t="s">
        <v>544</v>
      </c>
      <c r="AH13">
        <v>1</v>
      </c>
      <c r="AI13">
        <v>1293</v>
      </c>
      <c r="AJ13">
        <v>1293</v>
      </c>
      <c r="AO13">
        <v>12</v>
      </c>
      <c r="AP13" t="s">
        <v>150</v>
      </c>
      <c r="AQ13" t="s">
        <v>551</v>
      </c>
      <c r="AR13">
        <v>1</v>
      </c>
      <c r="AS13">
        <v>1404</v>
      </c>
      <c r="AT13">
        <v>1404</v>
      </c>
    </row>
    <row r="14" spans="1:46" x14ac:dyDescent="0.2">
      <c r="D14">
        <v>13</v>
      </c>
      <c r="E14" t="s">
        <v>157</v>
      </c>
      <c r="F14" t="s">
        <v>164</v>
      </c>
      <c r="G14">
        <v>1</v>
      </c>
      <c r="H14">
        <v>859</v>
      </c>
      <c r="M14">
        <v>13</v>
      </c>
      <c r="N14" t="s">
        <v>157</v>
      </c>
      <c r="O14" t="s">
        <v>176</v>
      </c>
      <c r="P14" s="5">
        <v>0</v>
      </c>
      <c r="Q14" s="5">
        <v>1407</v>
      </c>
      <c r="V14">
        <v>13</v>
      </c>
      <c r="W14" t="s">
        <v>150</v>
      </c>
      <c r="X14" t="s">
        <v>549</v>
      </c>
      <c r="Y14">
        <v>1</v>
      </c>
      <c r="AE14">
        <v>13</v>
      </c>
      <c r="AF14" t="s">
        <v>157</v>
      </c>
      <c r="AG14" t="s">
        <v>718</v>
      </c>
      <c r="AH14">
        <v>1</v>
      </c>
      <c r="AI14">
        <v>844</v>
      </c>
      <c r="AJ14">
        <v>844</v>
      </c>
      <c r="AO14">
        <v>13</v>
      </c>
      <c r="AP14" t="s">
        <v>150</v>
      </c>
      <c r="AQ14" t="s">
        <v>560</v>
      </c>
      <c r="AR14">
        <v>1</v>
      </c>
      <c r="AS14">
        <v>1312</v>
      </c>
      <c r="AT14">
        <v>1312</v>
      </c>
    </row>
    <row r="15" spans="1:46" x14ac:dyDescent="0.2">
      <c r="D15">
        <v>14</v>
      </c>
      <c r="E15" t="s">
        <v>157</v>
      </c>
      <c r="F15" t="s">
        <v>165</v>
      </c>
      <c r="G15">
        <v>1</v>
      </c>
      <c r="H15">
        <v>942</v>
      </c>
      <c r="M15">
        <v>14</v>
      </c>
      <c r="N15" t="s">
        <v>150</v>
      </c>
      <c r="O15" t="s">
        <v>167</v>
      </c>
      <c r="P15">
        <v>1</v>
      </c>
      <c r="Q15">
        <v>801</v>
      </c>
      <c r="V15">
        <v>14</v>
      </c>
      <c r="W15" t="s">
        <v>157</v>
      </c>
      <c r="X15" t="s">
        <v>550</v>
      </c>
      <c r="Y15">
        <v>1</v>
      </c>
      <c r="AE15">
        <v>14</v>
      </c>
      <c r="AF15" t="s">
        <v>150</v>
      </c>
      <c r="AG15" t="s">
        <v>546</v>
      </c>
      <c r="AH15">
        <v>1</v>
      </c>
      <c r="AI15">
        <v>1197</v>
      </c>
      <c r="AJ15">
        <v>1197</v>
      </c>
      <c r="AO15">
        <v>14</v>
      </c>
      <c r="AP15" t="s">
        <v>150</v>
      </c>
      <c r="AQ15" t="s">
        <v>575</v>
      </c>
      <c r="AR15">
        <v>1</v>
      </c>
      <c r="AS15">
        <v>914</v>
      </c>
      <c r="AT15">
        <v>914</v>
      </c>
    </row>
    <row r="16" spans="1:46" x14ac:dyDescent="0.2">
      <c r="D16">
        <v>15</v>
      </c>
      <c r="E16" t="s">
        <v>157</v>
      </c>
      <c r="F16" t="s">
        <v>166</v>
      </c>
      <c r="G16">
        <v>1</v>
      </c>
      <c r="H16">
        <v>1597</v>
      </c>
      <c r="M16">
        <v>15</v>
      </c>
      <c r="N16" t="s">
        <v>157</v>
      </c>
      <c r="O16" t="s">
        <v>179</v>
      </c>
      <c r="P16">
        <v>1</v>
      </c>
      <c r="Q16">
        <v>826</v>
      </c>
      <c r="V16">
        <v>15</v>
      </c>
      <c r="W16" t="s">
        <v>150</v>
      </c>
      <c r="X16" t="s">
        <v>551</v>
      </c>
      <c r="Y16">
        <v>1</v>
      </c>
      <c r="AE16">
        <v>15</v>
      </c>
      <c r="AF16" t="s">
        <v>157</v>
      </c>
      <c r="AG16" t="s">
        <v>537</v>
      </c>
      <c r="AH16">
        <v>1</v>
      </c>
      <c r="AI16">
        <v>1011</v>
      </c>
      <c r="AJ16">
        <v>1011</v>
      </c>
      <c r="AO16">
        <v>15</v>
      </c>
      <c r="AP16" t="s">
        <v>157</v>
      </c>
      <c r="AQ16" t="s">
        <v>563</v>
      </c>
      <c r="AR16">
        <v>1</v>
      </c>
      <c r="AS16">
        <v>1462</v>
      </c>
      <c r="AT16">
        <v>1462</v>
      </c>
    </row>
    <row r="17" spans="4:46" x14ac:dyDescent="0.2">
      <c r="D17">
        <v>16</v>
      </c>
      <c r="E17" t="s">
        <v>150</v>
      </c>
      <c r="F17" t="s">
        <v>167</v>
      </c>
      <c r="G17">
        <v>1</v>
      </c>
      <c r="H17">
        <v>2179</v>
      </c>
      <c r="M17">
        <v>16</v>
      </c>
      <c r="N17" t="s">
        <v>157</v>
      </c>
      <c r="O17" t="s">
        <v>166</v>
      </c>
      <c r="P17">
        <v>1</v>
      </c>
      <c r="Q17">
        <v>1207</v>
      </c>
      <c r="V17">
        <v>16</v>
      </c>
      <c r="W17" t="s">
        <v>150</v>
      </c>
      <c r="X17" t="s">
        <v>552</v>
      </c>
      <c r="Y17">
        <v>1</v>
      </c>
      <c r="AE17">
        <v>16</v>
      </c>
      <c r="AF17" t="s">
        <v>150</v>
      </c>
      <c r="AG17" t="s">
        <v>552</v>
      </c>
      <c r="AH17">
        <v>1</v>
      </c>
      <c r="AI17">
        <v>812</v>
      </c>
      <c r="AJ17">
        <v>812</v>
      </c>
      <c r="AO17">
        <v>16</v>
      </c>
      <c r="AP17" t="s">
        <v>150</v>
      </c>
      <c r="AQ17" t="s">
        <v>552</v>
      </c>
      <c r="AR17">
        <v>1</v>
      </c>
      <c r="AS17">
        <v>1117</v>
      </c>
      <c r="AT17">
        <v>1117</v>
      </c>
    </row>
    <row r="18" spans="4:46" x14ac:dyDescent="0.2">
      <c r="D18">
        <v>17</v>
      </c>
      <c r="E18" t="s">
        <v>157</v>
      </c>
      <c r="F18" t="s">
        <v>168</v>
      </c>
      <c r="G18" s="5">
        <v>0</v>
      </c>
      <c r="H18" s="5">
        <v>1367</v>
      </c>
      <c r="M18">
        <v>17</v>
      </c>
      <c r="N18" t="s">
        <v>150</v>
      </c>
      <c r="O18" t="s">
        <v>189</v>
      </c>
      <c r="P18">
        <v>1</v>
      </c>
      <c r="Q18">
        <v>895</v>
      </c>
      <c r="V18">
        <v>17</v>
      </c>
      <c r="W18" t="s">
        <v>150</v>
      </c>
      <c r="X18" t="s">
        <v>553</v>
      </c>
      <c r="Y18">
        <v>1</v>
      </c>
      <c r="AE18">
        <v>17</v>
      </c>
      <c r="AF18" t="s">
        <v>157</v>
      </c>
      <c r="AG18" t="s">
        <v>543</v>
      </c>
      <c r="AH18">
        <v>1</v>
      </c>
      <c r="AI18">
        <v>844</v>
      </c>
      <c r="AJ18">
        <v>844</v>
      </c>
      <c r="AO18">
        <v>17</v>
      </c>
      <c r="AP18" t="s">
        <v>157</v>
      </c>
      <c r="AQ18" t="s">
        <v>571</v>
      </c>
      <c r="AR18">
        <v>1</v>
      </c>
      <c r="AS18">
        <v>1012</v>
      </c>
      <c r="AT18">
        <v>1012</v>
      </c>
    </row>
    <row r="19" spans="4:46" x14ac:dyDescent="0.2">
      <c r="D19">
        <v>18</v>
      </c>
      <c r="E19" t="s">
        <v>150</v>
      </c>
      <c r="F19" t="s">
        <v>169</v>
      </c>
      <c r="G19">
        <v>1</v>
      </c>
      <c r="H19">
        <v>857</v>
      </c>
      <c r="M19">
        <v>18</v>
      </c>
      <c r="N19" t="s">
        <v>157</v>
      </c>
      <c r="O19" t="s">
        <v>174</v>
      </c>
      <c r="P19">
        <v>1</v>
      </c>
      <c r="Q19">
        <v>1116</v>
      </c>
      <c r="V19">
        <v>18</v>
      </c>
      <c r="W19" t="s">
        <v>150</v>
      </c>
      <c r="X19" t="s">
        <v>554</v>
      </c>
      <c r="Y19">
        <v>1</v>
      </c>
      <c r="AE19">
        <v>18</v>
      </c>
      <c r="AF19" t="s">
        <v>150</v>
      </c>
      <c r="AG19" t="s">
        <v>554</v>
      </c>
      <c r="AH19">
        <v>1</v>
      </c>
      <c r="AI19">
        <v>847</v>
      </c>
      <c r="AJ19">
        <v>847</v>
      </c>
      <c r="AO19">
        <v>18</v>
      </c>
      <c r="AP19" t="s">
        <v>157</v>
      </c>
      <c r="AQ19" t="s">
        <v>556</v>
      </c>
      <c r="AR19">
        <v>1</v>
      </c>
      <c r="AS19">
        <v>883</v>
      </c>
      <c r="AT19">
        <v>883</v>
      </c>
    </row>
    <row r="20" spans="4:46" x14ac:dyDescent="0.2">
      <c r="D20">
        <v>19</v>
      </c>
      <c r="E20" t="s">
        <v>157</v>
      </c>
      <c r="F20" t="s">
        <v>170</v>
      </c>
      <c r="G20" s="5">
        <v>0</v>
      </c>
      <c r="H20" s="5">
        <v>957</v>
      </c>
      <c r="M20">
        <v>19</v>
      </c>
      <c r="N20" t="s">
        <v>157</v>
      </c>
      <c r="O20" t="s">
        <v>177</v>
      </c>
      <c r="P20">
        <v>1</v>
      </c>
      <c r="Q20">
        <v>856</v>
      </c>
      <c r="V20">
        <v>19</v>
      </c>
      <c r="W20" t="s">
        <v>150</v>
      </c>
      <c r="X20" t="s">
        <v>555</v>
      </c>
      <c r="Y20">
        <v>1</v>
      </c>
      <c r="AE20">
        <v>19</v>
      </c>
      <c r="AF20" t="s">
        <v>157</v>
      </c>
      <c r="AG20" t="s">
        <v>573</v>
      </c>
      <c r="AH20">
        <v>1</v>
      </c>
      <c r="AI20">
        <v>813</v>
      </c>
      <c r="AJ20">
        <v>813</v>
      </c>
      <c r="AO20">
        <v>19</v>
      </c>
      <c r="AP20" t="s">
        <v>157</v>
      </c>
      <c r="AQ20" t="s">
        <v>550</v>
      </c>
      <c r="AR20">
        <v>1</v>
      </c>
      <c r="AS20">
        <v>1230</v>
      </c>
      <c r="AT20">
        <v>1230</v>
      </c>
    </row>
    <row r="21" spans="4:46" x14ac:dyDescent="0.2">
      <c r="D21">
        <v>20</v>
      </c>
      <c r="E21" t="s">
        <v>150</v>
      </c>
      <c r="F21" t="s">
        <v>171</v>
      </c>
      <c r="G21">
        <v>1</v>
      </c>
      <c r="H21">
        <v>893</v>
      </c>
      <c r="M21">
        <v>20</v>
      </c>
      <c r="N21" t="s">
        <v>157</v>
      </c>
      <c r="O21" t="s">
        <v>185</v>
      </c>
      <c r="P21">
        <v>1</v>
      </c>
      <c r="Q21">
        <v>986</v>
      </c>
      <c r="V21">
        <v>20</v>
      </c>
      <c r="W21" t="s">
        <v>157</v>
      </c>
      <c r="X21" t="s">
        <v>556</v>
      </c>
      <c r="Y21">
        <v>1</v>
      </c>
      <c r="AE21">
        <v>20</v>
      </c>
      <c r="AF21" t="s">
        <v>150</v>
      </c>
      <c r="AG21" t="s">
        <v>539</v>
      </c>
      <c r="AH21">
        <v>1</v>
      </c>
      <c r="AI21">
        <v>880</v>
      </c>
      <c r="AJ21">
        <v>880</v>
      </c>
      <c r="AO21">
        <v>20</v>
      </c>
      <c r="AP21" t="s">
        <v>150</v>
      </c>
      <c r="AQ21" t="s">
        <v>546</v>
      </c>
      <c r="AR21">
        <v>1</v>
      </c>
      <c r="AS21">
        <v>1008</v>
      </c>
      <c r="AT21">
        <v>1008</v>
      </c>
    </row>
    <row r="22" spans="4:46" x14ac:dyDescent="0.2">
      <c r="D22">
        <v>21</v>
      </c>
      <c r="E22" t="s">
        <v>157</v>
      </c>
      <c r="F22" t="s">
        <v>172</v>
      </c>
      <c r="G22">
        <v>1</v>
      </c>
      <c r="H22">
        <v>803</v>
      </c>
      <c r="M22">
        <v>21</v>
      </c>
      <c r="N22" t="s">
        <v>157</v>
      </c>
      <c r="O22" t="s">
        <v>158</v>
      </c>
      <c r="P22">
        <v>1</v>
      </c>
      <c r="Q22">
        <v>1405</v>
      </c>
      <c r="V22">
        <v>21</v>
      </c>
      <c r="W22" t="s">
        <v>157</v>
      </c>
      <c r="X22" t="s">
        <v>557</v>
      </c>
      <c r="Y22">
        <v>1</v>
      </c>
      <c r="AE22">
        <v>21</v>
      </c>
      <c r="AF22" t="s">
        <v>157</v>
      </c>
      <c r="AG22" t="s">
        <v>550</v>
      </c>
      <c r="AH22">
        <v>1</v>
      </c>
      <c r="AI22">
        <v>1199</v>
      </c>
      <c r="AJ22">
        <v>1199</v>
      </c>
      <c r="AO22">
        <v>21</v>
      </c>
      <c r="AP22" t="s">
        <v>150</v>
      </c>
      <c r="AQ22" t="s">
        <v>539</v>
      </c>
      <c r="AR22">
        <v>1</v>
      </c>
      <c r="AS22">
        <v>1690</v>
      </c>
      <c r="AT22">
        <v>1690</v>
      </c>
    </row>
    <row r="23" spans="4:46" x14ac:dyDescent="0.2">
      <c r="D23">
        <v>22</v>
      </c>
      <c r="E23" t="s">
        <v>150</v>
      </c>
      <c r="F23" t="s">
        <v>173</v>
      </c>
      <c r="G23">
        <v>1</v>
      </c>
      <c r="H23">
        <v>983</v>
      </c>
      <c r="M23">
        <v>22</v>
      </c>
      <c r="N23" t="s">
        <v>150</v>
      </c>
      <c r="O23" t="s">
        <v>169</v>
      </c>
      <c r="P23">
        <v>1</v>
      </c>
      <c r="Q23">
        <v>767</v>
      </c>
      <c r="V23">
        <v>22</v>
      </c>
      <c r="W23" t="s">
        <v>157</v>
      </c>
      <c r="X23" t="s">
        <v>558</v>
      </c>
      <c r="Y23">
        <v>1</v>
      </c>
      <c r="AE23">
        <v>22</v>
      </c>
      <c r="AF23" t="s">
        <v>150</v>
      </c>
      <c r="AG23" t="s">
        <v>541</v>
      </c>
      <c r="AH23">
        <v>1</v>
      </c>
      <c r="AI23">
        <v>1202</v>
      </c>
      <c r="AJ23">
        <v>1202</v>
      </c>
      <c r="AO23">
        <v>22</v>
      </c>
      <c r="AP23" t="s">
        <v>150</v>
      </c>
      <c r="AQ23" t="s">
        <v>541</v>
      </c>
      <c r="AR23">
        <v>1</v>
      </c>
      <c r="AS23">
        <v>1175</v>
      </c>
      <c r="AT23">
        <v>1175</v>
      </c>
    </row>
    <row r="24" spans="4:46" x14ac:dyDescent="0.2">
      <c r="D24">
        <v>23</v>
      </c>
      <c r="E24" t="s">
        <v>157</v>
      </c>
      <c r="F24" t="s">
        <v>174</v>
      </c>
      <c r="G24">
        <v>1</v>
      </c>
      <c r="H24">
        <v>856</v>
      </c>
      <c r="M24">
        <v>23</v>
      </c>
      <c r="N24" t="s">
        <v>157</v>
      </c>
      <c r="O24" t="s">
        <v>191</v>
      </c>
      <c r="P24">
        <v>1</v>
      </c>
      <c r="Q24">
        <v>1917</v>
      </c>
      <c r="V24">
        <v>23</v>
      </c>
      <c r="W24" t="s">
        <v>157</v>
      </c>
      <c r="X24" t="s">
        <v>559</v>
      </c>
      <c r="Y24">
        <v>0</v>
      </c>
      <c r="AE24">
        <v>23</v>
      </c>
      <c r="AF24" t="s">
        <v>150</v>
      </c>
      <c r="AG24" t="s">
        <v>566</v>
      </c>
      <c r="AH24">
        <v>1</v>
      </c>
      <c r="AI24">
        <v>1270</v>
      </c>
      <c r="AJ24">
        <v>1270</v>
      </c>
      <c r="AO24">
        <v>23</v>
      </c>
      <c r="AP24" t="s">
        <v>157</v>
      </c>
      <c r="AQ24" t="s">
        <v>537</v>
      </c>
      <c r="AR24">
        <v>1</v>
      </c>
      <c r="AS24">
        <v>941</v>
      </c>
      <c r="AT24">
        <v>941</v>
      </c>
    </row>
    <row r="25" spans="4:46" x14ac:dyDescent="0.2">
      <c r="D25">
        <v>24</v>
      </c>
      <c r="E25" t="s">
        <v>150</v>
      </c>
      <c r="F25" t="s">
        <v>175</v>
      </c>
      <c r="G25">
        <v>1</v>
      </c>
      <c r="H25">
        <v>1205</v>
      </c>
      <c r="M25">
        <v>24</v>
      </c>
      <c r="N25" t="s">
        <v>150</v>
      </c>
      <c r="O25" t="s">
        <v>182</v>
      </c>
      <c r="P25" s="5">
        <v>0</v>
      </c>
      <c r="Q25" s="5">
        <v>1497</v>
      </c>
      <c r="V25">
        <v>24</v>
      </c>
      <c r="W25" t="s">
        <v>150</v>
      </c>
      <c r="X25" t="s">
        <v>560</v>
      </c>
      <c r="Y25">
        <v>1</v>
      </c>
      <c r="AE25">
        <v>24</v>
      </c>
      <c r="AF25" t="s">
        <v>150</v>
      </c>
      <c r="AG25" t="s">
        <v>542</v>
      </c>
      <c r="AH25">
        <v>1</v>
      </c>
      <c r="AI25">
        <v>1131</v>
      </c>
      <c r="AJ25">
        <v>1131</v>
      </c>
      <c r="AO25">
        <v>24</v>
      </c>
      <c r="AP25" t="s">
        <v>157</v>
      </c>
      <c r="AQ25" t="s">
        <v>540</v>
      </c>
      <c r="AR25">
        <v>1</v>
      </c>
      <c r="AS25">
        <v>1269</v>
      </c>
      <c r="AT25">
        <v>1269</v>
      </c>
    </row>
    <row r="26" spans="4:46" x14ac:dyDescent="0.2">
      <c r="D26">
        <v>25</v>
      </c>
      <c r="E26" t="s">
        <v>157</v>
      </c>
      <c r="F26" t="s">
        <v>176</v>
      </c>
      <c r="G26" s="5">
        <v>0</v>
      </c>
      <c r="H26" s="5">
        <v>1345</v>
      </c>
      <c r="M26">
        <v>25</v>
      </c>
      <c r="N26" t="s">
        <v>157</v>
      </c>
      <c r="O26" t="s">
        <v>162</v>
      </c>
      <c r="P26" s="5">
        <v>0</v>
      </c>
      <c r="Q26" s="5">
        <v>1056</v>
      </c>
      <c r="V26">
        <v>25</v>
      </c>
      <c r="W26" t="s">
        <v>157</v>
      </c>
      <c r="X26" t="s">
        <v>561</v>
      </c>
      <c r="Y26">
        <v>1</v>
      </c>
      <c r="AE26">
        <v>25</v>
      </c>
      <c r="AF26" t="s">
        <v>150</v>
      </c>
      <c r="AG26" t="s">
        <v>555</v>
      </c>
      <c r="AH26" s="5">
        <v>0</v>
      </c>
      <c r="AI26" s="5">
        <v>1429</v>
      </c>
      <c r="AJ26" s="5"/>
      <c r="AO26">
        <v>25</v>
      </c>
      <c r="AP26" t="s">
        <v>157</v>
      </c>
      <c r="AQ26" t="s">
        <v>564</v>
      </c>
      <c r="AR26">
        <v>1</v>
      </c>
      <c r="AS26">
        <v>1574</v>
      </c>
      <c r="AT26">
        <v>1574</v>
      </c>
    </row>
    <row r="27" spans="4:46" x14ac:dyDescent="0.2">
      <c r="D27">
        <v>26</v>
      </c>
      <c r="E27" t="s">
        <v>157</v>
      </c>
      <c r="F27" t="s">
        <v>177</v>
      </c>
      <c r="G27">
        <v>1</v>
      </c>
      <c r="H27">
        <v>820</v>
      </c>
      <c r="M27">
        <v>26</v>
      </c>
      <c r="N27" t="s">
        <v>150</v>
      </c>
      <c r="O27" t="s">
        <v>190</v>
      </c>
      <c r="P27">
        <v>1</v>
      </c>
      <c r="Q27">
        <v>1018</v>
      </c>
      <c r="V27">
        <v>26</v>
      </c>
      <c r="W27" t="s">
        <v>157</v>
      </c>
      <c r="X27" t="s">
        <v>562</v>
      </c>
      <c r="Y27">
        <v>1</v>
      </c>
      <c r="AE27">
        <v>26</v>
      </c>
      <c r="AF27" t="s">
        <v>157</v>
      </c>
      <c r="AG27" t="s">
        <v>564</v>
      </c>
      <c r="AH27">
        <v>1</v>
      </c>
      <c r="AI27">
        <v>975</v>
      </c>
      <c r="AJ27">
        <v>975</v>
      </c>
      <c r="AO27">
        <v>26</v>
      </c>
      <c r="AP27" t="s">
        <v>157</v>
      </c>
      <c r="AQ27" t="s">
        <v>559</v>
      </c>
      <c r="AR27" s="5">
        <v>0</v>
      </c>
      <c r="AS27" s="5">
        <v>1721</v>
      </c>
      <c r="AT27" s="5"/>
    </row>
    <row r="28" spans="4:46" x14ac:dyDescent="0.2">
      <c r="D28">
        <v>27</v>
      </c>
      <c r="E28" t="s">
        <v>150</v>
      </c>
      <c r="F28" t="s">
        <v>178</v>
      </c>
      <c r="G28">
        <v>1</v>
      </c>
      <c r="H28">
        <v>921</v>
      </c>
      <c r="M28">
        <v>27</v>
      </c>
      <c r="N28" t="s">
        <v>157</v>
      </c>
      <c r="O28" t="s">
        <v>168</v>
      </c>
      <c r="P28" s="5">
        <v>0</v>
      </c>
      <c r="Q28" s="5">
        <v>857</v>
      </c>
      <c r="V28">
        <v>27</v>
      </c>
      <c r="W28" t="s">
        <v>157</v>
      </c>
      <c r="X28" t="s">
        <v>563</v>
      </c>
      <c r="Y28">
        <v>1</v>
      </c>
      <c r="AE28">
        <v>27</v>
      </c>
      <c r="AF28" t="s">
        <v>150</v>
      </c>
      <c r="AG28" t="s">
        <v>538</v>
      </c>
      <c r="AH28">
        <v>1</v>
      </c>
      <c r="AI28">
        <v>844</v>
      </c>
      <c r="AJ28">
        <v>844</v>
      </c>
      <c r="AO28">
        <v>27</v>
      </c>
      <c r="AP28" t="s">
        <v>150</v>
      </c>
      <c r="AQ28" t="s">
        <v>549</v>
      </c>
      <c r="AR28">
        <v>1</v>
      </c>
      <c r="AS28">
        <v>1001</v>
      </c>
      <c r="AT28">
        <v>1001</v>
      </c>
    </row>
    <row r="29" spans="4:46" x14ac:dyDescent="0.2">
      <c r="D29">
        <v>28</v>
      </c>
      <c r="E29" t="s">
        <v>157</v>
      </c>
      <c r="F29" t="s">
        <v>179</v>
      </c>
      <c r="G29">
        <v>1</v>
      </c>
      <c r="H29">
        <v>985</v>
      </c>
      <c r="M29">
        <v>28</v>
      </c>
      <c r="N29" t="s">
        <v>157</v>
      </c>
      <c r="O29" t="s">
        <v>161</v>
      </c>
      <c r="P29">
        <v>1</v>
      </c>
      <c r="Q29">
        <v>832</v>
      </c>
      <c r="V29">
        <v>28</v>
      </c>
      <c r="W29" t="s">
        <v>157</v>
      </c>
      <c r="X29" t="s">
        <v>564</v>
      </c>
      <c r="Y29">
        <v>1</v>
      </c>
      <c r="AE29">
        <v>28</v>
      </c>
      <c r="AF29" t="s">
        <v>157</v>
      </c>
      <c r="AG29" t="s">
        <v>567</v>
      </c>
      <c r="AH29">
        <v>1</v>
      </c>
      <c r="AI29">
        <v>1135</v>
      </c>
      <c r="AJ29">
        <v>1135</v>
      </c>
      <c r="AO29">
        <v>28</v>
      </c>
      <c r="AP29" t="s">
        <v>150</v>
      </c>
      <c r="AQ29" t="s">
        <v>544</v>
      </c>
      <c r="AR29">
        <v>1</v>
      </c>
      <c r="AS29">
        <v>981</v>
      </c>
      <c r="AT29">
        <v>981</v>
      </c>
    </row>
    <row r="30" spans="4:46" x14ac:dyDescent="0.2">
      <c r="D30">
        <v>29</v>
      </c>
      <c r="E30" t="s">
        <v>157</v>
      </c>
      <c r="F30" t="s">
        <v>180</v>
      </c>
      <c r="G30">
        <v>1</v>
      </c>
      <c r="H30">
        <v>656</v>
      </c>
      <c r="M30">
        <v>29</v>
      </c>
      <c r="N30" t="s">
        <v>150</v>
      </c>
      <c r="O30" t="s">
        <v>159</v>
      </c>
      <c r="P30">
        <v>1</v>
      </c>
      <c r="Q30">
        <v>886</v>
      </c>
      <c r="V30">
        <v>29</v>
      </c>
      <c r="W30" t="s">
        <v>157</v>
      </c>
      <c r="X30" t="s">
        <v>565</v>
      </c>
      <c r="Y30">
        <v>1</v>
      </c>
      <c r="AE30">
        <v>29</v>
      </c>
      <c r="AF30" t="s">
        <v>157</v>
      </c>
      <c r="AG30" t="s">
        <v>557</v>
      </c>
      <c r="AH30">
        <v>1</v>
      </c>
      <c r="AI30">
        <v>987</v>
      </c>
      <c r="AJ30">
        <v>987</v>
      </c>
      <c r="AO30">
        <v>29</v>
      </c>
      <c r="AP30" t="s">
        <v>157</v>
      </c>
      <c r="AQ30" t="s">
        <v>565</v>
      </c>
      <c r="AR30">
        <v>1</v>
      </c>
      <c r="AS30">
        <v>2211</v>
      </c>
      <c r="AT30">
        <v>2211</v>
      </c>
    </row>
    <row r="31" spans="4:46" x14ac:dyDescent="0.2">
      <c r="D31">
        <v>30</v>
      </c>
      <c r="E31" t="s">
        <v>150</v>
      </c>
      <c r="F31" t="s">
        <v>181</v>
      </c>
      <c r="G31">
        <v>1</v>
      </c>
      <c r="H31">
        <v>1282</v>
      </c>
      <c r="M31">
        <v>30</v>
      </c>
      <c r="N31" t="s">
        <v>157</v>
      </c>
      <c r="O31" t="s">
        <v>163</v>
      </c>
      <c r="P31">
        <v>1</v>
      </c>
      <c r="Q31">
        <v>1186</v>
      </c>
      <c r="V31">
        <v>30</v>
      </c>
      <c r="W31" t="s">
        <v>150</v>
      </c>
      <c r="X31" t="s">
        <v>566</v>
      </c>
      <c r="Y31">
        <v>1</v>
      </c>
      <c r="AE31">
        <v>30</v>
      </c>
      <c r="AF31" t="s">
        <v>157</v>
      </c>
      <c r="AG31" t="s">
        <v>556</v>
      </c>
      <c r="AH31">
        <v>1</v>
      </c>
      <c r="AI31">
        <v>789</v>
      </c>
      <c r="AJ31">
        <v>789</v>
      </c>
      <c r="AO31">
        <v>30</v>
      </c>
      <c r="AP31" t="s">
        <v>157</v>
      </c>
      <c r="AQ31" t="s">
        <v>569</v>
      </c>
      <c r="AR31" s="5">
        <v>0</v>
      </c>
      <c r="AS31" s="5">
        <v>1272</v>
      </c>
      <c r="AT31" s="5"/>
    </row>
    <row r="32" spans="4:46" x14ac:dyDescent="0.2">
      <c r="D32">
        <v>31</v>
      </c>
      <c r="E32" t="s">
        <v>150</v>
      </c>
      <c r="F32" t="s">
        <v>182</v>
      </c>
      <c r="G32">
        <v>1</v>
      </c>
      <c r="H32">
        <v>1073</v>
      </c>
      <c r="M32">
        <v>31</v>
      </c>
      <c r="N32" t="s">
        <v>150</v>
      </c>
      <c r="O32" t="s">
        <v>153</v>
      </c>
      <c r="P32">
        <v>1</v>
      </c>
      <c r="Q32">
        <v>1047</v>
      </c>
      <c r="V32">
        <v>31</v>
      </c>
      <c r="W32" t="s">
        <v>157</v>
      </c>
      <c r="X32" t="s">
        <v>567</v>
      </c>
      <c r="Y32">
        <v>1</v>
      </c>
      <c r="AE32">
        <v>31</v>
      </c>
      <c r="AF32" t="s">
        <v>157</v>
      </c>
      <c r="AG32" t="s">
        <v>570</v>
      </c>
      <c r="AH32">
        <v>1</v>
      </c>
      <c r="AI32">
        <v>725</v>
      </c>
      <c r="AJ32">
        <v>725</v>
      </c>
      <c r="AO32">
        <v>31</v>
      </c>
      <c r="AP32" t="s">
        <v>150</v>
      </c>
      <c r="AQ32" t="s">
        <v>572</v>
      </c>
      <c r="AR32">
        <v>1</v>
      </c>
      <c r="AS32">
        <v>1220</v>
      </c>
      <c r="AT32">
        <v>1220</v>
      </c>
    </row>
    <row r="33" spans="4:47" x14ac:dyDescent="0.2">
      <c r="D33">
        <v>32</v>
      </c>
      <c r="E33" t="s">
        <v>150</v>
      </c>
      <c r="F33" t="s">
        <v>183</v>
      </c>
      <c r="G33">
        <v>1</v>
      </c>
      <c r="H33">
        <v>893</v>
      </c>
      <c r="M33">
        <v>32</v>
      </c>
      <c r="N33" t="s">
        <v>157</v>
      </c>
      <c r="O33" t="s">
        <v>160</v>
      </c>
      <c r="P33">
        <v>1</v>
      </c>
      <c r="Q33">
        <v>820</v>
      </c>
      <c r="V33">
        <v>32</v>
      </c>
      <c r="W33" t="s">
        <v>150</v>
      </c>
      <c r="X33" t="s">
        <v>568</v>
      </c>
      <c r="Y33">
        <v>1</v>
      </c>
      <c r="AE33">
        <v>32</v>
      </c>
      <c r="AF33" t="s">
        <v>150</v>
      </c>
      <c r="AG33" t="s">
        <v>574</v>
      </c>
      <c r="AH33">
        <v>1</v>
      </c>
      <c r="AI33">
        <v>712</v>
      </c>
      <c r="AJ33">
        <v>712</v>
      </c>
      <c r="AO33">
        <v>32</v>
      </c>
      <c r="AP33" t="s">
        <v>150</v>
      </c>
      <c r="AQ33" t="s">
        <v>566</v>
      </c>
      <c r="AR33">
        <v>1</v>
      </c>
      <c r="AS33">
        <v>1029</v>
      </c>
      <c r="AT33">
        <v>1029</v>
      </c>
    </row>
    <row r="34" spans="4:47" x14ac:dyDescent="0.2">
      <c r="D34">
        <v>33</v>
      </c>
      <c r="E34" t="s">
        <v>150</v>
      </c>
      <c r="F34" t="s">
        <v>184</v>
      </c>
      <c r="G34">
        <v>1</v>
      </c>
      <c r="H34">
        <v>647</v>
      </c>
      <c r="M34">
        <v>33</v>
      </c>
      <c r="N34" t="s">
        <v>150</v>
      </c>
      <c r="O34" t="s">
        <v>171</v>
      </c>
      <c r="P34">
        <v>1</v>
      </c>
      <c r="Q34">
        <v>953</v>
      </c>
      <c r="V34">
        <v>33</v>
      </c>
      <c r="W34" t="s">
        <v>157</v>
      </c>
      <c r="X34" t="s">
        <v>569</v>
      </c>
      <c r="Y34">
        <v>1</v>
      </c>
      <c r="AE34">
        <v>33</v>
      </c>
      <c r="AF34" t="s">
        <v>150</v>
      </c>
      <c r="AG34" t="s">
        <v>560</v>
      </c>
      <c r="AH34">
        <v>1</v>
      </c>
      <c r="AI34">
        <v>1073</v>
      </c>
      <c r="AJ34">
        <v>1073</v>
      </c>
      <c r="AO34">
        <v>33</v>
      </c>
      <c r="AP34" t="s">
        <v>150</v>
      </c>
      <c r="AQ34" t="s">
        <v>555</v>
      </c>
      <c r="AR34">
        <v>1</v>
      </c>
      <c r="AS34">
        <v>1163</v>
      </c>
      <c r="AT34">
        <v>1163</v>
      </c>
    </row>
    <row r="35" spans="4:47" x14ac:dyDescent="0.2">
      <c r="D35">
        <v>34</v>
      </c>
      <c r="E35" t="s">
        <v>157</v>
      </c>
      <c r="F35" t="s">
        <v>185</v>
      </c>
      <c r="G35">
        <v>1</v>
      </c>
      <c r="H35">
        <v>962</v>
      </c>
      <c r="M35">
        <v>34</v>
      </c>
      <c r="N35" t="s">
        <v>150</v>
      </c>
      <c r="O35" t="s">
        <v>173</v>
      </c>
      <c r="P35">
        <v>1</v>
      </c>
      <c r="Q35">
        <v>860</v>
      </c>
      <c r="V35">
        <v>34</v>
      </c>
      <c r="W35" t="s">
        <v>157</v>
      </c>
      <c r="X35" t="s">
        <v>570</v>
      </c>
      <c r="Y35">
        <v>1</v>
      </c>
      <c r="AE35">
        <v>34</v>
      </c>
      <c r="AF35" t="s">
        <v>150</v>
      </c>
      <c r="AG35" t="s">
        <v>547</v>
      </c>
      <c r="AH35">
        <v>1</v>
      </c>
      <c r="AI35">
        <v>2323</v>
      </c>
      <c r="AJ35">
        <v>2323</v>
      </c>
      <c r="AO35">
        <v>34</v>
      </c>
      <c r="AP35" t="s">
        <v>150</v>
      </c>
      <c r="AQ35" t="s">
        <v>547</v>
      </c>
      <c r="AR35">
        <v>1</v>
      </c>
      <c r="AS35">
        <v>1212</v>
      </c>
      <c r="AT35">
        <v>1212</v>
      </c>
    </row>
    <row r="36" spans="4:47" x14ac:dyDescent="0.2">
      <c r="D36">
        <v>35</v>
      </c>
      <c r="E36" t="s">
        <v>157</v>
      </c>
      <c r="F36" t="s">
        <v>186</v>
      </c>
      <c r="G36">
        <v>1</v>
      </c>
      <c r="H36">
        <v>679</v>
      </c>
      <c r="M36">
        <v>35</v>
      </c>
      <c r="N36" t="s">
        <v>157</v>
      </c>
      <c r="O36" t="s">
        <v>172</v>
      </c>
      <c r="P36">
        <v>1</v>
      </c>
      <c r="Q36">
        <v>756</v>
      </c>
      <c r="V36">
        <v>35</v>
      </c>
      <c r="W36" t="s">
        <v>157</v>
      </c>
      <c r="X36" t="s">
        <v>571</v>
      </c>
      <c r="Y36">
        <v>1</v>
      </c>
      <c r="AE36">
        <v>35</v>
      </c>
      <c r="AF36" t="s">
        <v>157</v>
      </c>
      <c r="AG36" t="s">
        <v>548</v>
      </c>
      <c r="AH36">
        <v>1</v>
      </c>
      <c r="AI36">
        <v>1714</v>
      </c>
      <c r="AJ36">
        <v>1714</v>
      </c>
      <c r="AO36">
        <v>35</v>
      </c>
      <c r="AP36" t="s">
        <v>150</v>
      </c>
      <c r="AQ36" t="s">
        <v>574</v>
      </c>
      <c r="AR36">
        <v>1</v>
      </c>
      <c r="AS36">
        <v>805</v>
      </c>
      <c r="AT36">
        <v>805</v>
      </c>
    </row>
    <row r="37" spans="4:47" x14ac:dyDescent="0.2">
      <c r="D37">
        <v>36</v>
      </c>
      <c r="E37" t="s">
        <v>150</v>
      </c>
      <c r="F37" t="s">
        <v>187</v>
      </c>
      <c r="G37">
        <v>1</v>
      </c>
      <c r="H37">
        <v>945</v>
      </c>
      <c r="M37">
        <v>36</v>
      </c>
      <c r="N37" t="s">
        <v>150</v>
      </c>
      <c r="O37" t="s">
        <v>155</v>
      </c>
      <c r="P37">
        <v>1</v>
      </c>
      <c r="Q37">
        <v>1017</v>
      </c>
      <c r="V37">
        <v>36</v>
      </c>
      <c r="W37" t="s">
        <v>150</v>
      </c>
      <c r="X37" t="s">
        <v>572</v>
      </c>
      <c r="Y37">
        <v>1</v>
      </c>
      <c r="AE37">
        <v>36</v>
      </c>
      <c r="AF37" t="s">
        <v>157</v>
      </c>
      <c r="AG37" t="s">
        <v>565</v>
      </c>
      <c r="AH37" s="5">
        <v>0</v>
      </c>
      <c r="AI37" s="5">
        <v>1110</v>
      </c>
      <c r="AJ37" s="5"/>
      <c r="AO37">
        <v>36</v>
      </c>
      <c r="AP37" t="s">
        <v>157</v>
      </c>
      <c r="AQ37" t="s">
        <v>557</v>
      </c>
      <c r="AR37">
        <v>1</v>
      </c>
      <c r="AS37">
        <v>2138</v>
      </c>
      <c r="AT37">
        <v>2138</v>
      </c>
    </row>
    <row r="38" spans="4:47" x14ac:dyDescent="0.2">
      <c r="D38">
        <v>37</v>
      </c>
      <c r="E38" t="s">
        <v>157</v>
      </c>
      <c r="F38" t="s">
        <v>188</v>
      </c>
      <c r="G38">
        <v>1</v>
      </c>
      <c r="H38">
        <v>743</v>
      </c>
      <c r="M38">
        <v>37</v>
      </c>
      <c r="N38" t="s">
        <v>150</v>
      </c>
      <c r="O38" t="s">
        <v>187</v>
      </c>
      <c r="P38">
        <v>1</v>
      </c>
      <c r="Q38">
        <v>763</v>
      </c>
      <c r="V38">
        <v>37</v>
      </c>
      <c r="W38" t="s">
        <v>157</v>
      </c>
      <c r="X38" t="s">
        <v>573</v>
      </c>
      <c r="Y38">
        <v>1</v>
      </c>
      <c r="AE38">
        <v>37</v>
      </c>
      <c r="AF38" t="s">
        <v>150</v>
      </c>
      <c r="AG38" t="s">
        <v>553</v>
      </c>
      <c r="AH38">
        <v>1</v>
      </c>
      <c r="AI38">
        <v>1072</v>
      </c>
      <c r="AJ38">
        <v>1072</v>
      </c>
      <c r="AO38">
        <v>37</v>
      </c>
      <c r="AP38" t="s">
        <v>157</v>
      </c>
      <c r="AQ38" t="s">
        <v>573</v>
      </c>
      <c r="AR38">
        <v>1</v>
      </c>
      <c r="AS38">
        <v>1719</v>
      </c>
      <c r="AT38">
        <v>1719</v>
      </c>
    </row>
    <row r="39" spans="4:47" x14ac:dyDescent="0.2">
      <c r="D39">
        <v>38</v>
      </c>
      <c r="E39" t="s">
        <v>150</v>
      </c>
      <c r="F39" t="s">
        <v>189</v>
      </c>
      <c r="G39">
        <v>1</v>
      </c>
      <c r="H39">
        <v>910</v>
      </c>
      <c r="M39">
        <v>38</v>
      </c>
      <c r="N39" t="s">
        <v>150</v>
      </c>
      <c r="O39" t="s">
        <v>178</v>
      </c>
      <c r="P39">
        <v>1</v>
      </c>
      <c r="Q39">
        <v>743</v>
      </c>
      <c r="V39">
        <v>38</v>
      </c>
      <c r="W39" t="s">
        <v>150</v>
      </c>
      <c r="X39" t="s">
        <v>574</v>
      </c>
      <c r="Y39">
        <v>1</v>
      </c>
      <c r="AE39">
        <v>38</v>
      </c>
      <c r="AF39" t="s">
        <v>157</v>
      </c>
      <c r="AG39" t="s">
        <v>563</v>
      </c>
      <c r="AH39">
        <v>0</v>
      </c>
      <c r="AI39">
        <v>1387</v>
      </c>
      <c r="AJ39">
        <v>1387</v>
      </c>
      <c r="AO39">
        <v>38</v>
      </c>
      <c r="AP39" t="s">
        <v>150</v>
      </c>
      <c r="AQ39" t="s">
        <v>554</v>
      </c>
      <c r="AR39">
        <v>1</v>
      </c>
      <c r="AS39">
        <v>842</v>
      </c>
      <c r="AT39">
        <v>842</v>
      </c>
    </row>
    <row r="40" spans="4:47" x14ac:dyDescent="0.2">
      <c r="D40">
        <v>39</v>
      </c>
      <c r="E40" t="s">
        <v>150</v>
      </c>
      <c r="F40" t="s">
        <v>190</v>
      </c>
      <c r="G40">
        <v>1</v>
      </c>
      <c r="H40">
        <v>943</v>
      </c>
      <c r="M40">
        <v>39</v>
      </c>
      <c r="N40" t="s">
        <v>150</v>
      </c>
      <c r="O40" t="s">
        <v>175</v>
      </c>
      <c r="P40">
        <v>1</v>
      </c>
      <c r="Q40">
        <v>786</v>
      </c>
      <c r="V40">
        <v>39</v>
      </c>
      <c r="W40" t="s">
        <v>157</v>
      </c>
      <c r="X40" t="s">
        <v>550</v>
      </c>
      <c r="Y40">
        <v>1</v>
      </c>
      <c r="AE40">
        <v>39</v>
      </c>
      <c r="AF40" t="s">
        <v>150</v>
      </c>
      <c r="AG40" t="s">
        <v>551</v>
      </c>
      <c r="AH40">
        <v>1</v>
      </c>
      <c r="AI40">
        <v>870</v>
      </c>
      <c r="AJ40">
        <v>870</v>
      </c>
      <c r="AO40">
        <v>39</v>
      </c>
      <c r="AP40" t="s">
        <v>150</v>
      </c>
      <c r="AQ40" t="s">
        <v>538</v>
      </c>
      <c r="AR40">
        <v>1</v>
      </c>
      <c r="AS40">
        <v>1379</v>
      </c>
      <c r="AT40">
        <v>1379</v>
      </c>
    </row>
    <row r="41" spans="4:47" x14ac:dyDescent="0.2">
      <c r="D41">
        <v>40</v>
      </c>
      <c r="E41" t="s">
        <v>157</v>
      </c>
      <c r="F41" t="s">
        <v>191</v>
      </c>
      <c r="G41">
        <v>1</v>
      </c>
      <c r="H41">
        <v>2113</v>
      </c>
      <c r="M41">
        <v>40</v>
      </c>
      <c r="N41" t="s">
        <v>150</v>
      </c>
      <c r="O41" t="s">
        <v>156</v>
      </c>
      <c r="P41">
        <v>1</v>
      </c>
      <c r="Q41">
        <v>796</v>
      </c>
      <c r="V41">
        <v>40</v>
      </c>
      <c r="W41" t="s">
        <v>150</v>
      </c>
      <c r="X41" t="s">
        <v>575</v>
      </c>
      <c r="Y41">
        <v>1</v>
      </c>
      <c r="AE41">
        <v>40</v>
      </c>
      <c r="AF41" t="s">
        <v>157</v>
      </c>
      <c r="AG41" t="s">
        <v>540</v>
      </c>
      <c r="AH41">
        <v>1</v>
      </c>
      <c r="AI41">
        <v>1840</v>
      </c>
      <c r="AJ41">
        <v>1840</v>
      </c>
      <c r="AO41">
        <v>40</v>
      </c>
      <c r="AP41" t="s">
        <v>157</v>
      </c>
      <c r="AQ41" t="s">
        <v>562</v>
      </c>
      <c r="AR41" s="5">
        <v>0</v>
      </c>
      <c r="AS41" s="5">
        <v>1334</v>
      </c>
      <c r="AT41" s="5"/>
    </row>
    <row r="42" spans="4:47" x14ac:dyDescent="0.2">
      <c r="Y42" s="18">
        <f>SUM(Y2:Y41)</f>
        <v>37</v>
      </c>
      <c r="AH42">
        <f>SUM(AH2:AH41)</f>
        <v>36</v>
      </c>
      <c r="AJ42">
        <f>SUM(AJ2:AJ41)</f>
        <v>40175</v>
      </c>
      <c r="AR42" s="2">
        <f>SUM(AR2:AR41)</f>
        <v>36</v>
      </c>
      <c r="AT42">
        <f>SUM(AT2:AT41)</f>
        <v>45566</v>
      </c>
    </row>
    <row r="43" spans="4:47" x14ac:dyDescent="0.2">
      <c r="G43" s="2">
        <f>SUM(G2:G41)</f>
        <v>36</v>
      </c>
      <c r="H43" s="2">
        <f>AVERAGE(H27:H41,H21:H25,H19,H14:H17,H2:H12)</f>
        <v>1043.4166666666667</v>
      </c>
      <c r="P43" s="2">
        <f>SUM(P2:P41)</f>
        <v>36</v>
      </c>
      <c r="Q43" s="2">
        <f>AVERAGE(Q2:Q13,Q15:Q24,Q27,Q29:Q41)</f>
        <v>974.91666666666663</v>
      </c>
      <c r="AT43" s="13">
        <f>AT42/AU43</f>
        <v>1265.7222222222222</v>
      </c>
      <c r="AU43">
        <v>36</v>
      </c>
    </row>
    <row r="44" spans="4:47" x14ac:dyDescent="0.2">
      <c r="AI44" s="2">
        <f>AJ42/AH42</f>
        <v>1115.9722222222222</v>
      </c>
    </row>
    <row r="49" spans="3:14" x14ac:dyDescent="0.2">
      <c r="D49" t="s">
        <v>749</v>
      </c>
      <c r="E49" t="s">
        <v>215</v>
      </c>
      <c r="F49" t="s">
        <v>750</v>
      </c>
      <c r="G49" t="s">
        <v>751</v>
      </c>
      <c r="L49" t="s">
        <v>749</v>
      </c>
      <c r="M49" t="s">
        <v>215</v>
      </c>
      <c r="N49" t="s">
        <v>751</v>
      </c>
    </row>
    <row r="50" spans="3:14" x14ac:dyDescent="0.2">
      <c r="C50" t="s">
        <v>760</v>
      </c>
      <c r="D50">
        <v>36</v>
      </c>
      <c r="E50">
        <v>36</v>
      </c>
      <c r="F50">
        <v>37</v>
      </c>
      <c r="G50">
        <v>36</v>
      </c>
      <c r="K50" t="s">
        <v>761</v>
      </c>
      <c r="L50">
        <v>1043.4166666666667</v>
      </c>
      <c r="M50">
        <v>974.91666666666663</v>
      </c>
      <c r="N50">
        <v>1115.9722222222222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D47"/>
  <sheetViews>
    <sheetView topLeftCell="A29" workbookViewId="0">
      <selection activeCell="AV17" sqref="AV17"/>
    </sheetView>
  </sheetViews>
  <sheetFormatPr baseColWidth="10" defaultColWidth="11.5" defaultRowHeight="15" x14ac:dyDescent="0.2"/>
  <cols>
    <col min="1" max="1" width="25.5" customWidth="1"/>
    <col min="6" max="6" width="15.33203125" bestFit="1" customWidth="1"/>
    <col min="9" max="9" width="63.83203125" bestFit="1" customWidth="1"/>
    <col min="10" max="10" width="22.1640625" customWidth="1"/>
    <col min="11" max="11" width="24.1640625" customWidth="1"/>
    <col min="13" max="13" width="21.6640625" bestFit="1" customWidth="1"/>
    <col min="18" max="18" width="15.83203125" bestFit="1" customWidth="1"/>
    <col min="21" max="21" width="58.5" bestFit="1" customWidth="1"/>
    <col min="22" max="22" width="12.33203125" bestFit="1" customWidth="1"/>
    <col min="23" max="23" width="20.83203125" bestFit="1" customWidth="1"/>
    <col min="26" max="26" width="21.6640625" bestFit="1" customWidth="1"/>
    <col min="31" max="31" width="17.1640625" customWidth="1"/>
    <col min="32" max="32" width="28.1640625" customWidth="1"/>
    <col min="33" max="33" width="12.33203125" bestFit="1" customWidth="1"/>
    <col min="34" max="34" width="20.83203125" bestFit="1" customWidth="1"/>
    <col min="36" max="36" width="21.6640625" bestFit="1" customWidth="1"/>
    <col min="41" max="41" width="20.5" customWidth="1"/>
    <col min="42" max="42" width="75.5" customWidth="1"/>
    <col min="43" max="43" width="12.33203125" bestFit="1" customWidth="1"/>
    <col min="44" max="44" width="20.83203125" bestFit="1" customWidth="1"/>
    <col min="48" max="48" width="26.1640625" customWidth="1"/>
    <col min="53" max="53" width="32.6640625" customWidth="1"/>
    <col min="54" max="54" width="53" customWidth="1"/>
    <col min="55" max="55" width="17.5" customWidth="1"/>
    <col min="56" max="56" width="23.83203125" customWidth="1"/>
  </cols>
  <sheetData>
    <row r="1" spans="1:56" ht="16" x14ac:dyDescent="0.2">
      <c r="A1" s="1" t="s">
        <v>41</v>
      </c>
      <c r="B1" s="2" t="s">
        <v>0</v>
      </c>
      <c r="C1" s="2" t="s">
        <v>1</v>
      </c>
      <c r="D1" s="2" t="s">
        <v>2</v>
      </c>
      <c r="E1" s="2" t="s">
        <v>27</v>
      </c>
      <c r="F1" s="2" t="s">
        <v>28</v>
      </c>
      <c r="G1" s="2" t="s">
        <v>29</v>
      </c>
      <c r="H1" s="2" t="s">
        <v>30</v>
      </c>
      <c r="I1" s="2" t="s">
        <v>13</v>
      </c>
      <c r="J1" s="2" t="s">
        <v>31</v>
      </c>
      <c r="K1" s="2" t="s">
        <v>32</v>
      </c>
      <c r="M1" s="1" t="s">
        <v>41</v>
      </c>
      <c r="N1" s="2" t="s">
        <v>0</v>
      </c>
      <c r="O1" s="2" t="s">
        <v>1</v>
      </c>
      <c r="P1" s="2" t="s">
        <v>2</v>
      </c>
      <c r="Q1" s="2" t="s">
        <v>27</v>
      </c>
      <c r="R1" s="2" t="s">
        <v>28</v>
      </c>
      <c r="S1" s="2" t="s">
        <v>29</v>
      </c>
      <c r="T1" s="2" t="s">
        <v>30</v>
      </c>
      <c r="U1" s="2" t="s">
        <v>13</v>
      </c>
      <c r="V1" s="2" t="s">
        <v>228</v>
      </c>
      <c r="W1" s="2" t="s">
        <v>32</v>
      </c>
      <c r="Z1" s="1" t="s">
        <v>41</v>
      </c>
      <c r="AA1" s="2" t="s">
        <v>0</v>
      </c>
      <c r="AB1" s="2" t="s">
        <v>1</v>
      </c>
      <c r="AC1" s="2" t="s">
        <v>2</v>
      </c>
      <c r="AD1" s="2" t="s">
        <v>27</v>
      </c>
      <c r="AE1" s="2" t="s">
        <v>28</v>
      </c>
      <c r="AF1" s="2" t="s">
        <v>13</v>
      </c>
      <c r="AG1" s="2" t="s">
        <v>228</v>
      </c>
      <c r="AH1" s="2" t="s">
        <v>32</v>
      </c>
      <c r="AJ1" s="1" t="s">
        <v>41</v>
      </c>
      <c r="AK1" s="2" t="s">
        <v>0</v>
      </c>
      <c r="AL1" s="2" t="s">
        <v>1</v>
      </c>
      <c r="AM1" s="2" t="s">
        <v>2</v>
      </c>
      <c r="AN1" s="2" t="s">
        <v>27</v>
      </c>
      <c r="AO1" s="2" t="s">
        <v>28</v>
      </c>
      <c r="AP1" s="2" t="s">
        <v>13</v>
      </c>
      <c r="AQ1" s="2" t="s">
        <v>228</v>
      </c>
      <c r="AR1" s="2" t="s">
        <v>32</v>
      </c>
      <c r="AV1" s="1" t="s">
        <v>41</v>
      </c>
      <c r="AW1" s="2" t="s">
        <v>0</v>
      </c>
      <c r="AX1" s="2" t="s">
        <v>1</v>
      </c>
      <c r="AY1" s="2" t="s">
        <v>2</v>
      </c>
      <c r="AZ1" s="2" t="s">
        <v>27</v>
      </c>
      <c r="BA1" s="2" t="s">
        <v>28</v>
      </c>
      <c r="BB1" s="2" t="s">
        <v>13</v>
      </c>
      <c r="BC1" s="2" t="s">
        <v>228</v>
      </c>
      <c r="BD1" s="2" t="s">
        <v>32</v>
      </c>
    </row>
    <row r="2" spans="1:56" ht="16" x14ac:dyDescent="0.2">
      <c r="A2" s="3" t="s">
        <v>7</v>
      </c>
      <c r="B2">
        <v>2</v>
      </c>
      <c r="C2">
        <v>1</v>
      </c>
      <c r="D2">
        <v>1</v>
      </c>
      <c r="E2" t="s">
        <v>326</v>
      </c>
      <c r="F2" t="s">
        <v>286</v>
      </c>
      <c r="I2" t="s">
        <v>245</v>
      </c>
      <c r="K2">
        <v>1</v>
      </c>
      <c r="M2" s="3" t="s">
        <v>215</v>
      </c>
      <c r="N2">
        <v>1</v>
      </c>
      <c r="O2">
        <v>2</v>
      </c>
      <c r="P2">
        <v>1</v>
      </c>
      <c r="Q2" t="s">
        <v>157</v>
      </c>
      <c r="R2" t="s">
        <v>320</v>
      </c>
      <c r="U2" s="12" t="s">
        <v>392</v>
      </c>
      <c r="Z2" s="3" t="s">
        <v>216</v>
      </c>
      <c r="AA2">
        <v>1</v>
      </c>
      <c r="AB2">
        <v>3</v>
      </c>
      <c r="AC2">
        <v>1</v>
      </c>
      <c r="AD2" t="s">
        <v>326</v>
      </c>
      <c r="AE2" t="s">
        <v>576</v>
      </c>
      <c r="AF2" t="s">
        <v>674</v>
      </c>
      <c r="AJ2" s="3" t="s">
        <v>720</v>
      </c>
      <c r="AK2">
        <v>1</v>
      </c>
      <c r="AL2">
        <v>3</v>
      </c>
      <c r="AM2">
        <v>1</v>
      </c>
      <c r="AN2" t="s">
        <v>157</v>
      </c>
      <c r="AO2" t="s">
        <v>579</v>
      </c>
      <c r="AR2">
        <v>1</v>
      </c>
      <c r="AV2" s="3" t="s">
        <v>217</v>
      </c>
      <c r="AW2">
        <v>1</v>
      </c>
      <c r="AX2">
        <v>3</v>
      </c>
      <c r="AY2">
        <v>1</v>
      </c>
      <c r="AZ2" t="s">
        <v>157</v>
      </c>
      <c r="BA2" t="s">
        <v>606</v>
      </c>
      <c r="BB2" t="s">
        <v>856</v>
      </c>
    </row>
    <row r="3" spans="1:56" ht="16" x14ac:dyDescent="0.2">
      <c r="A3" s="1" t="s">
        <v>26</v>
      </c>
      <c r="D3">
        <v>2</v>
      </c>
      <c r="E3" t="s">
        <v>157</v>
      </c>
      <c r="F3" t="s">
        <v>287</v>
      </c>
      <c r="I3" t="s">
        <v>246</v>
      </c>
      <c r="M3" s="1" t="s">
        <v>26</v>
      </c>
      <c r="P3">
        <v>2</v>
      </c>
      <c r="Q3" t="s">
        <v>326</v>
      </c>
      <c r="R3" t="s">
        <v>303</v>
      </c>
      <c r="U3" s="12" t="s">
        <v>393</v>
      </c>
      <c r="W3">
        <v>1</v>
      </c>
      <c r="Z3" s="1" t="s">
        <v>26</v>
      </c>
      <c r="AC3">
        <v>2</v>
      </c>
      <c r="AD3" t="s">
        <v>157</v>
      </c>
      <c r="AE3" t="s">
        <v>577</v>
      </c>
      <c r="AH3">
        <v>1</v>
      </c>
      <c r="AJ3" s="1" t="s">
        <v>26</v>
      </c>
      <c r="AM3">
        <v>2</v>
      </c>
      <c r="AN3" t="s">
        <v>157</v>
      </c>
      <c r="AO3" t="s">
        <v>586</v>
      </c>
      <c r="AP3" t="s">
        <v>726</v>
      </c>
      <c r="AV3" s="1" t="s">
        <v>26</v>
      </c>
      <c r="AY3">
        <v>2</v>
      </c>
      <c r="AZ3" t="s">
        <v>157</v>
      </c>
      <c r="BA3" t="s">
        <v>602</v>
      </c>
      <c r="BD3">
        <v>1</v>
      </c>
    </row>
    <row r="4" spans="1:56" ht="16" x14ac:dyDescent="0.2">
      <c r="A4" s="1" t="s">
        <v>71</v>
      </c>
      <c r="D4">
        <v>3</v>
      </c>
      <c r="E4" t="s">
        <v>157</v>
      </c>
      <c r="F4" t="s">
        <v>288</v>
      </c>
      <c r="I4" t="s">
        <v>247</v>
      </c>
      <c r="K4">
        <v>1</v>
      </c>
      <c r="M4" s="15">
        <v>43906</v>
      </c>
      <c r="P4">
        <v>3</v>
      </c>
      <c r="Q4" t="s">
        <v>157</v>
      </c>
      <c r="R4" t="s">
        <v>288</v>
      </c>
      <c r="U4" s="12" t="s">
        <v>394</v>
      </c>
      <c r="Z4" s="15">
        <v>43916</v>
      </c>
      <c r="AC4">
        <v>3</v>
      </c>
      <c r="AD4" t="s">
        <v>326</v>
      </c>
      <c r="AE4" t="s">
        <v>578</v>
      </c>
      <c r="AH4">
        <v>1</v>
      </c>
      <c r="AJ4" s="1"/>
      <c r="AM4">
        <v>3</v>
      </c>
      <c r="AN4" t="s">
        <v>157</v>
      </c>
      <c r="AO4" t="s">
        <v>595</v>
      </c>
      <c r="AR4">
        <v>1</v>
      </c>
      <c r="AV4" s="26">
        <v>44027</v>
      </c>
      <c r="AY4">
        <v>3</v>
      </c>
      <c r="AZ4" t="s">
        <v>326</v>
      </c>
      <c r="BA4" t="s">
        <v>611</v>
      </c>
      <c r="BD4">
        <v>1</v>
      </c>
    </row>
    <row r="5" spans="1:56" x14ac:dyDescent="0.2">
      <c r="D5">
        <v>4</v>
      </c>
      <c r="E5" t="s">
        <v>326</v>
      </c>
      <c r="F5" t="s">
        <v>289</v>
      </c>
      <c r="P5">
        <v>4</v>
      </c>
      <c r="Q5" t="s">
        <v>157</v>
      </c>
      <c r="R5" t="s">
        <v>300</v>
      </c>
      <c r="U5" s="12"/>
      <c r="AC5">
        <v>4</v>
      </c>
      <c r="AD5" t="s">
        <v>157</v>
      </c>
      <c r="AE5" t="s">
        <v>579</v>
      </c>
      <c r="AH5">
        <v>1</v>
      </c>
      <c r="AM5">
        <v>4</v>
      </c>
      <c r="AN5" t="s">
        <v>326</v>
      </c>
      <c r="AO5" t="s">
        <v>591</v>
      </c>
      <c r="AR5">
        <v>1</v>
      </c>
      <c r="AY5">
        <v>4</v>
      </c>
      <c r="AZ5" t="s">
        <v>326</v>
      </c>
      <c r="BA5" t="s">
        <v>581</v>
      </c>
      <c r="BD5">
        <v>1</v>
      </c>
    </row>
    <row r="6" spans="1:56" ht="16" x14ac:dyDescent="0.2">
      <c r="A6" s="11" t="s">
        <v>283</v>
      </c>
      <c r="D6">
        <v>5</v>
      </c>
      <c r="E6" t="s">
        <v>157</v>
      </c>
      <c r="F6" t="s">
        <v>290</v>
      </c>
      <c r="I6" t="s">
        <v>248</v>
      </c>
      <c r="K6">
        <v>1</v>
      </c>
      <c r="M6" s="1" t="s">
        <v>422</v>
      </c>
      <c r="P6">
        <v>5</v>
      </c>
      <c r="Q6" t="s">
        <v>326</v>
      </c>
      <c r="R6" t="s">
        <v>311</v>
      </c>
      <c r="U6" s="12" t="s">
        <v>268</v>
      </c>
      <c r="W6">
        <v>1</v>
      </c>
      <c r="Z6" s="1" t="s">
        <v>427</v>
      </c>
      <c r="AC6">
        <v>5</v>
      </c>
      <c r="AD6" t="s">
        <v>326</v>
      </c>
      <c r="AE6" t="s">
        <v>580</v>
      </c>
      <c r="AF6" t="s">
        <v>675</v>
      </c>
      <c r="AJ6" s="1" t="s">
        <v>229</v>
      </c>
      <c r="AM6">
        <v>5</v>
      </c>
      <c r="AN6" t="s">
        <v>326</v>
      </c>
      <c r="AO6" t="s">
        <v>589</v>
      </c>
      <c r="AR6">
        <v>1</v>
      </c>
      <c r="AV6" s="1" t="s">
        <v>876</v>
      </c>
      <c r="AY6">
        <v>5</v>
      </c>
      <c r="AZ6" t="s">
        <v>157</v>
      </c>
      <c r="BA6" t="s">
        <v>605</v>
      </c>
      <c r="BD6">
        <v>1</v>
      </c>
    </row>
    <row r="7" spans="1:56" ht="16" x14ac:dyDescent="0.2">
      <c r="A7" s="1" t="s">
        <v>38</v>
      </c>
      <c r="D7">
        <v>6</v>
      </c>
      <c r="E7" t="s">
        <v>157</v>
      </c>
      <c r="F7" t="s">
        <v>291</v>
      </c>
      <c r="I7" t="s">
        <v>249</v>
      </c>
      <c r="M7" s="1" t="s">
        <v>38</v>
      </c>
      <c r="P7">
        <v>6</v>
      </c>
      <c r="Q7" t="s">
        <v>157</v>
      </c>
      <c r="R7" t="s">
        <v>287</v>
      </c>
      <c r="U7" s="12" t="s">
        <v>395</v>
      </c>
      <c r="Z7" s="1" t="s">
        <v>38</v>
      </c>
      <c r="AC7">
        <v>6</v>
      </c>
      <c r="AD7" t="s">
        <v>326</v>
      </c>
      <c r="AE7" t="s">
        <v>581</v>
      </c>
      <c r="AH7">
        <v>1</v>
      </c>
      <c r="AJ7" s="1" t="s">
        <v>38</v>
      </c>
      <c r="AM7">
        <v>6</v>
      </c>
      <c r="AN7" t="s">
        <v>326</v>
      </c>
      <c r="AO7" t="s">
        <v>603</v>
      </c>
      <c r="AR7">
        <v>1</v>
      </c>
      <c r="AV7" s="1" t="s">
        <v>38</v>
      </c>
      <c r="AY7">
        <v>6</v>
      </c>
      <c r="AZ7" t="s">
        <v>157</v>
      </c>
      <c r="BA7" t="s">
        <v>586</v>
      </c>
      <c r="BB7" t="s">
        <v>857</v>
      </c>
    </row>
    <row r="8" spans="1:56" ht="16" x14ac:dyDescent="0.2">
      <c r="A8" s="1" t="s">
        <v>39</v>
      </c>
      <c r="D8">
        <v>7</v>
      </c>
      <c r="E8" t="s">
        <v>326</v>
      </c>
      <c r="F8" t="s">
        <v>292</v>
      </c>
      <c r="I8" t="s">
        <v>250</v>
      </c>
      <c r="M8" s="1" t="s">
        <v>39</v>
      </c>
      <c r="P8">
        <v>7</v>
      </c>
      <c r="Q8" t="s">
        <v>326</v>
      </c>
      <c r="R8" t="s">
        <v>322</v>
      </c>
      <c r="U8" s="12" t="s">
        <v>396</v>
      </c>
      <c r="W8">
        <v>1</v>
      </c>
      <c r="Z8" s="1" t="s">
        <v>39</v>
      </c>
      <c r="AC8">
        <v>7</v>
      </c>
      <c r="AD8" t="s">
        <v>326</v>
      </c>
      <c r="AE8" t="s">
        <v>582</v>
      </c>
      <c r="AH8">
        <v>1</v>
      </c>
      <c r="AJ8" s="1" t="s">
        <v>39</v>
      </c>
      <c r="AM8">
        <v>7</v>
      </c>
      <c r="AN8" t="s">
        <v>326</v>
      </c>
      <c r="AO8" t="s">
        <v>611</v>
      </c>
      <c r="AR8">
        <v>1</v>
      </c>
      <c r="AV8" s="1" t="s">
        <v>39</v>
      </c>
      <c r="AY8">
        <v>7</v>
      </c>
      <c r="AZ8" t="s">
        <v>326</v>
      </c>
      <c r="BA8" t="s">
        <v>578</v>
      </c>
      <c r="BB8" t="s">
        <v>858</v>
      </c>
    </row>
    <row r="9" spans="1:56" ht="16" x14ac:dyDescent="0.2">
      <c r="D9">
        <v>8</v>
      </c>
      <c r="E9" t="s">
        <v>326</v>
      </c>
      <c r="F9" t="s">
        <v>293</v>
      </c>
      <c r="I9" t="s">
        <v>251</v>
      </c>
      <c r="K9">
        <v>1</v>
      </c>
      <c r="P9">
        <v>8</v>
      </c>
      <c r="Q9" t="s">
        <v>157</v>
      </c>
      <c r="R9" t="s">
        <v>302</v>
      </c>
      <c r="U9" s="12" t="s">
        <v>397</v>
      </c>
      <c r="W9">
        <v>1</v>
      </c>
      <c r="Z9" s="20" t="s">
        <v>673</v>
      </c>
      <c r="AC9">
        <v>8</v>
      </c>
      <c r="AD9" t="s">
        <v>326</v>
      </c>
      <c r="AE9" t="s">
        <v>583</v>
      </c>
      <c r="AH9">
        <v>1</v>
      </c>
      <c r="AM9">
        <v>8</v>
      </c>
      <c r="AN9" t="s">
        <v>326</v>
      </c>
      <c r="AO9" t="s">
        <v>604</v>
      </c>
      <c r="AP9" t="s">
        <v>727</v>
      </c>
      <c r="AY9">
        <v>8</v>
      </c>
      <c r="AZ9" t="s">
        <v>326</v>
      </c>
      <c r="BA9" t="s">
        <v>600</v>
      </c>
      <c r="BD9">
        <v>1</v>
      </c>
    </row>
    <row r="10" spans="1:56" x14ac:dyDescent="0.2">
      <c r="D10">
        <v>9</v>
      </c>
      <c r="E10" t="s">
        <v>326</v>
      </c>
      <c r="F10" t="s">
        <v>294</v>
      </c>
      <c r="I10" t="s">
        <v>252</v>
      </c>
      <c r="P10">
        <v>9</v>
      </c>
      <c r="Q10" t="s">
        <v>326</v>
      </c>
      <c r="R10" t="s">
        <v>293</v>
      </c>
      <c r="U10" s="12" t="s">
        <v>251</v>
      </c>
      <c r="W10">
        <v>1</v>
      </c>
      <c r="AC10">
        <v>9</v>
      </c>
      <c r="AD10" t="s">
        <v>157</v>
      </c>
      <c r="AE10" t="s">
        <v>584</v>
      </c>
      <c r="AF10" s="5"/>
      <c r="AH10">
        <v>1</v>
      </c>
      <c r="AM10">
        <v>9</v>
      </c>
      <c r="AN10" t="s">
        <v>326</v>
      </c>
      <c r="AO10" t="s">
        <v>597</v>
      </c>
      <c r="AR10">
        <v>1</v>
      </c>
      <c r="AY10">
        <v>9</v>
      </c>
      <c r="AZ10" t="s">
        <v>326</v>
      </c>
      <c r="BA10" t="s">
        <v>613</v>
      </c>
      <c r="BD10">
        <v>1</v>
      </c>
    </row>
    <row r="11" spans="1:56" x14ac:dyDescent="0.2">
      <c r="D11">
        <v>10</v>
      </c>
      <c r="E11" t="s">
        <v>326</v>
      </c>
      <c r="F11" t="s">
        <v>295</v>
      </c>
      <c r="I11" t="s">
        <v>253</v>
      </c>
      <c r="K11">
        <v>1</v>
      </c>
      <c r="P11">
        <v>10</v>
      </c>
      <c r="Q11" t="s">
        <v>326</v>
      </c>
      <c r="R11" t="s">
        <v>309</v>
      </c>
      <c r="U11" s="12"/>
      <c r="AC11">
        <v>10</v>
      </c>
      <c r="AD11" t="s">
        <v>326</v>
      </c>
      <c r="AE11" t="s">
        <v>585</v>
      </c>
      <c r="AF11" t="s">
        <v>676</v>
      </c>
      <c r="AM11">
        <v>10</v>
      </c>
      <c r="AN11" t="s">
        <v>326</v>
      </c>
      <c r="AO11" t="s">
        <v>585</v>
      </c>
      <c r="AP11" t="s">
        <v>728</v>
      </c>
      <c r="AY11">
        <v>10</v>
      </c>
      <c r="AZ11" t="s">
        <v>326</v>
      </c>
      <c r="BA11" t="s">
        <v>589</v>
      </c>
      <c r="BD11">
        <v>1</v>
      </c>
    </row>
    <row r="12" spans="1:56" x14ac:dyDescent="0.2">
      <c r="D12">
        <v>11</v>
      </c>
      <c r="E12" t="s">
        <v>326</v>
      </c>
      <c r="F12" t="s">
        <v>296</v>
      </c>
      <c r="I12" s="14" t="s">
        <v>254</v>
      </c>
      <c r="P12">
        <v>11</v>
      </c>
      <c r="Q12" t="s">
        <v>326</v>
      </c>
      <c r="R12" t="s">
        <v>317</v>
      </c>
      <c r="U12" s="12" t="s">
        <v>398</v>
      </c>
      <c r="W12">
        <v>1</v>
      </c>
      <c r="AC12">
        <v>11</v>
      </c>
      <c r="AD12" t="s">
        <v>157</v>
      </c>
      <c r="AE12" t="s">
        <v>586</v>
      </c>
      <c r="AF12" t="s">
        <v>677</v>
      </c>
      <c r="AM12">
        <v>11</v>
      </c>
      <c r="AN12" t="s">
        <v>326</v>
      </c>
      <c r="AO12" t="s">
        <v>580</v>
      </c>
      <c r="AP12" t="s">
        <v>729</v>
      </c>
      <c r="AY12">
        <v>11</v>
      </c>
      <c r="AZ12" t="s">
        <v>326</v>
      </c>
      <c r="BA12" t="s">
        <v>591</v>
      </c>
      <c r="BD12">
        <v>1</v>
      </c>
    </row>
    <row r="13" spans="1:56" x14ac:dyDescent="0.2">
      <c r="D13">
        <v>12</v>
      </c>
      <c r="E13" t="s">
        <v>157</v>
      </c>
      <c r="F13" t="s">
        <v>297</v>
      </c>
      <c r="I13" t="s">
        <v>255</v>
      </c>
      <c r="K13">
        <v>1</v>
      </c>
      <c r="P13">
        <v>12</v>
      </c>
      <c r="Q13" t="s">
        <v>326</v>
      </c>
      <c r="R13" t="s">
        <v>314</v>
      </c>
      <c r="U13" s="12" t="s">
        <v>271</v>
      </c>
      <c r="W13">
        <v>1</v>
      </c>
      <c r="AC13">
        <v>12</v>
      </c>
      <c r="AD13" t="s">
        <v>326</v>
      </c>
      <c r="AE13" t="s">
        <v>587</v>
      </c>
      <c r="AM13">
        <v>12</v>
      </c>
      <c r="AN13" t="s">
        <v>157</v>
      </c>
      <c r="AO13" t="s">
        <v>612</v>
      </c>
      <c r="AP13" t="s">
        <v>730</v>
      </c>
      <c r="AR13">
        <v>1</v>
      </c>
      <c r="AY13">
        <v>12</v>
      </c>
      <c r="AZ13" t="s">
        <v>157</v>
      </c>
      <c r="BA13" t="s">
        <v>590</v>
      </c>
      <c r="BD13">
        <v>1</v>
      </c>
    </row>
    <row r="14" spans="1:56" x14ac:dyDescent="0.2">
      <c r="D14">
        <v>13</v>
      </c>
      <c r="E14" t="s">
        <v>157</v>
      </c>
      <c r="F14" t="s">
        <v>298</v>
      </c>
      <c r="I14" t="s">
        <v>256</v>
      </c>
      <c r="K14">
        <v>1</v>
      </c>
      <c r="P14">
        <v>13</v>
      </c>
      <c r="Q14" t="s">
        <v>326</v>
      </c>
      <c r="R14" t="s">
        <v>294</v>
      </c>
      <c r="U14" s="12" t="s">
        <v>399</v>
      </c>
      <c r="W14">
        <v>1</v>
      </c>
      <c r="AC14">
        <v>13</v>
      </c>
      <c r="AD14" t="s">
        <v>157</v>
      </c>
      <c r="AE14" t="s">
        <v>588</v>
      </c>
      <c r="AF14" t="s">
        <v>678</v>
      </c>
      <c r="AM14">
        <v>13</v>
      </c>
      <c r="AN14" t="s">
        <v>157</v>
      </c>
      <c r="AO14" t="s">
        <v>596</v>
      </c>
      <c r="AP14" t="s">
        <v>731</v>
      </c>
      <c r="AY14">
        <v>13</v>
      </c>
      <c r="AZ14" t="s">
        <v>157</v>
      </c>
      <c r="BA14" t="s">
        <v>588</v>
      </c>
      <c r="BB14" t="s">
        <v>859</v>
      </c>
    </row>
    <row r="15" spans="1:56" x14ac:dyDescent="0.2">
      <c r="D15">
        <v>14</v>
      </c>
      <c r="E15" t="s">
        <v>157</v>
      </c>
      <c r="F15" t="s">
        <v>299</v>
      </c>
      <c r="I15" t="s">
        <v>257</v>
      </c>
      <c r="K15">
        <v>1</v>
      </c>
      <c r="P15">
        <v>14</v>
      </c>
      <c r="Q15" t="s">
        <v>326</v>
      </c>
      <c r="R15" t="s">
        <v>289</v>
      </c>
      <c r="U15" s="12" t="s">
        <v>400</v>
      </c>
      <c r="W15">
        <v>1</v>
      </c>
      <c r="AC15">
        <v>14</v>
      </c>
      <c r="AD15" t="s">
        <v>326</v>
      </c>
      <c r="AE15" t="s">
        <v>589</v>
      </c>
      <c r="AH15">
        <v>1</v>
      </c>
      <c r="AM15">
        <v>14</v>
      </c>
      <c r="AN15" t="s">
        <v>157</v>
      </c>
      <c r="AO15" t="s">
        <v>584</v>
      </c>
      <c r="AR15">
        <v>1</v>
      </c>
      <c r="AY15">
        <v>14</v>
      </c>
      <c r="AZ15" t="s">
        <v>326</v>
      </c>
      <c r="BA15" t="s">
        <v>604</v>
      </c>
      <c r="BB15" t="s">
        <v>860</v>
      </c>
    </row>
    <row r="16" spans="1:56" x14ac:dyDescent="0.2">
      <c r="D16">
        <v>15</v>
      </c>
      <c r="E16" t="s">
        <v>157</v>
      </c>
      <c r="F16" t="s">
        <v>300</v>
      </c>
      <c r="I16" t="s">
        <v>258</v>
      </c>
      <c r="P16">
        <v>15</v>
      </c>
      <c r="Q16" t="s">
        <v>157</v>
      </c>
      <c r="R16" t="s">
        <v>312</v>
      </c>
      <c r="U16" s="12" t="s">
        <v>401</v>
      </c>
      <c r="W16">
        <v>1</v>
      </c>
      <c r="AC16">
        <v>15</v>
      </c>
      <c r="AD16" t="s">
        <v>157</v>
      </c>
      <c r="AE16" t="s">
        <v>590</v>
      </c>
      <c r="AH16">
        <v>1</v>
      </c>
      <c r="AM16">
        <v>15</v>
      </c>
      <c r="AN16" t="s">
        <v>326</v>
      </c>
      <c r="AO16" t="s">
        <v>592</v>
      </c>
      <c r="AP16" t="s">
        <v>732</v>
      </c>
      <c r="AY16">
        <v>15</v>
      </c>
      <c r="AZ16" t="s">
        <v>157</v>
      </c>
      <c r="BA16" t="s">
        <v>607</v>
      </c>
      <c r="BB16" t="s">
        <v>861</v>
      </c>
    </row>
    <row r="17" spans="4:56" x14ac:dyDescent="0.2">
      <c r="D17">
        <v>16</v>
      </c>
      <c r="E17" t="s">
        <v>326</v>
      </c>
      <c r="F17" t="s">
        <v>301</v>
      </c>
      <c r="I17" s="14" t="s">
        <v>254</v>
      </c>
      <c r="P17">
        <v>16</v>
      </c>
      <c r="Q17" t="s">
        <v>157</v>
      </c>
      <c r="R17" t="s">
        <v>310</v>
      </c>
      <c r="U17" s="12" t="s">
        <v>402</v>
      </c>
      <c r="W17">
        <v>1</v>
      </c>
      <c r="AC17">
        <v>16</v>
      </c>
      <c r="AD17" t="s">
        <v>326</v>
      </c>
      <c r="AE17" t="s">
        <v>591</v>
      </c>
      <c r="AH17">
        <v>1</v>
      </c>
      <c r="AM17">
        <v>16</v>
      </c>
      <c r="AN17" t="s">
        <v>157</v>
      </c>
      <c r="AO17" t="s">
        <v>606</v>
      </c>
      <c r="AP17" t="s">
        <v>733</v>
      </c>
      <c r="AY17">
        <v>16</v>
      </c>
      <c r="AZ17" t="s">
        <v>326</v>
      </c>
      <c r="BA17" t="s">
        <v>615</v>
      </c>
      <c r="BB17" t="s">
        <v>862</v>
      </c>
    </row>
    <row r="18" spans="4:56" x14ac:dyDescent="0.2">
      <c r="D18">
        <v>17</v>
      </c>
      <c r="E18" t="s">
        <v>157</v>
      </c>
      <c r="F18" t="s">
        <v>302</v>
      </c>
      <c r="I18" t="s">
        <v>259</v>
      </c>
      <c r="K18">
        <v>1</v>
      </c>
      <c r="P18">
        <v>17</v>
      </c>
      <c r="Q18" t="s">
        <v>326</v>
      </c>
      <c r="R18" t="s">
        <v>286</v>
      </c>
      <c r="U18" s="12" t="s">
        <v>403</v>
      </c>
      <c r="W18">
        <v>1</v>
      </c>
      <c r="AC18">
        <v>17</v>
      </c>
      <c r="AD18" t="s">
        <v>326</v>
      </c>
      <c r="AE18" t="s">
        <v>592</v>
      </c>
      <c r="AF18" t="s">
        <v>680</v>
      </c>
      <c r="AM18">
        <v>17</v>
      </c>
      <c r="AN18" t="s">
        <v>157</v>
      </c>
      <c r="AO18" t="s">
        <v>607</v>
      </c>
      <c r="AP18" t="s">
        <v>734</v>
      </c>
      <c r="AY18">
        <v>17</v>
      </c>
      <c r="AZ18" t="s">
        <v>326</v>
      </c>
      <c r="BA18" t="s">
        <v>721</v>
      </c>
      <c r="BB18" t="s">
        <v>863</v>
      </c>
    </row>
    <row r="19" spans="4:56" x14ac:dyDescent="0.2">
      <c r="D19">
        <v>18</v>
      </c>
      <c r="E19" t="s">
        <v>326</v>
      </c>
      <c r="F19" t="s">
        <v>303</v>
      </c>
      <c r="I19" t="s">
        <v>260</v>
      </c>
      <c r="K19">
        <v>1</v>
      </c>
      <c r="P19">
        <v>18</v>
      </c>
      <c r="Q19" t="s">
        <v>326</v>
      </c>
      <c r="R19" t="s">
        <v>319</v>
      </c>
      <c r="U19" s="12" t="s">
        <v>404</v>
      </c>
      <c r="W19">
        <v>1</v>
      </c>
      <c r="AC19">
        <v>18</v>
      </c>
      <c r="AD19" t="s">
        <v>326</v>
      </c>
      <c r="AE19" t="s">
        <v>593</v>
      </c>
      <c r="AF19" t="s">
        <v>679</v>
      </c>
      <c r="AM19">
        <v>18</v>
      </c>
      <c r="AN19" t="s">
        <v>157</v>
      </c>
      <c r="AO19" t="s">
        <v>594</v>
      </c>
      <c r="AP19" t="s">
        <v>735</v>
      </c>
      <c r="AR19">
        <v>1</v>
      </c>
      <c r="AY19">
        <v>18</v>
      </c>
      <c r="AZ19" t="s">
        <v>157</v>
      </c>
      <c r="BA19" t="s">
        <v>595</v>
      </c>
      <c r="BD19">
        <v>1</v>
      </c>
    </row>
    <row r="20" spans="4:56" x14ac:dyDescent="0.2">
      <c r="D20">
        <v>19</v>
      </c>
      <c r="E20" t="s">
        <v>326</v>
      </c>
      <c r="F20" t="s">
        <v>304</v>
      </c>
      <c r="I20" t="s">
        <v>261</v>
      </c>
      <c r="K20">
        <v>1</v>
      </c>
      <c r="P20">
        <v>19</v>
      </c>
      <c r="Q20" t="s">
        <v>157</v>
      </c>
      <c r="R20" t="s">
        <v>318</v>
      </c>
      <c r="U20" s="12"/>
      <c r="AC20">
        <v>19</v>
      </c>
      <c r="AD20" t="s">
        <v>157</v>
      </c>
      <c r="AE20" t="s">
        <v>594</v>
      </c>
      <c r="AH20">
        <v>1</v>
      </c>
      <c r="AM20">
        <v>19</v>
      </c>
      <c r="AN20" t="s">
        <v>326</v>
      </c>
      <c r="AO20" t="s">
        <v>615</v>
      </c>
      <c r="AP20" t="s">
        <v>736</v>
      </c>
      <c r="AR20">
        <v>1</v>
      </c>
      <c r="AY20">
        <v>19</v>
      </c>
      <c r="AZ20" t="s">
        <v>326</v>
      </c>
      <c r="BA20" t="s">
        <v>585</v>
      </c>
      <c r="BB20" t="s">
        <v>864</v>
      </c>
    </row>
    <row r="21" spans="4:56" x14ac:dyDescent="0.2">
      <c r="D21">
        <v>20</v>
      </c>
      <c r="E21" t="s">
        <v>157</v>
      </c>
      <c r="F21" t="s">
        <v>305</v>
      </c>
      <c r="I21" t="s">
        <v>262</v>
      </c>
      <c r="K21">
        <v>1</v>
      </c>
      <c r="P21">
        <v>20</v>
      </c>
      <c r="Q21" t="s">
        <v>157</v>
      </c>
      <c r="R21" t="s">
        <v>305</v>
      </c>
      <c r="U21" s="12" t="s">
        <v>405</v>
      </c>
      <c r="W21">
        <v>1</v>
      </c>
      <c r="AC21">
        <v>20</v>
      </c>
      <c r="AD21" t="s">
        <v>157</v>
      </c>
      <c r="AE21" t="s">
        <v>595</v>
      </c>
      <c r="AH21">
        <v>1</v>
      </c>
      <c r="AM21">
        <v>20</v>
      </c>
      <c r="AN21" t="s">
        <v>326</v>
      </c>
      <c r="AO21" t="s">
        <v>578</v>
      </c>
      <c r="AP21" t="s">
        <v>737</v>
      </c>
      <c r="AY21">
        <v>20</v>
      </c>
      <c r="AZ21" t="s">
        <v>157</v>
      </c>
      <c r="BA21" t="s">
        <v>609</v>
      </c>
      <c r="BB21" t="s">
        <v>865</v>
      </c>
    </row>
    <row r="22" spans="4:56" x14ac:dyDescent="0.2">
      <c r="D22">
        <v>21</v>
      </c>
      <c r="E22" t="s">
        <v>157</v>
      </c>
      <c r="F22" t="s">
        <v>306</v>
      </c>
      <c r="I22" t="s">
        <v>263</v>
      </c>
      <c r="P22">
        <v>21</v>
      </c>
      <c r="Q22" t="s">
        <v>157</v>
      </c>
      <c r="R22" t="s">
        <v>298</v>
      </c>
      <c r="U22" s="12" t="s">
        <v>406</v>
      </c>
      <c r="W22">
        <v>1</v>
      </c>
      <c r="AC22">
        <v>21</v>
      </c>
      <c r="AD22" t="s">
        <v>157</v>
      </c>
      <c r="AE22" t="s">
        <v>596</v>
      </c>
      <c r="AF22" t="s">
        <v>681</v>
      </c>
      <c r="AM22">
        <v>21</v>
      </c>
      <c r="AN22" t="s">
        <v>157</v>
      </c>
      <c r="AO22" t="s">
        <v>577</v>
      </c>
      <c r="AR22">
        <v>1</v>
      </c>
      <c r="AY22">
        <v>21</v>
      </c>
      <c r="AZ22" t="s">
        <v>326</v>
      </c>
      <c r="BA22" t="s">
        <v>583</v>
      </c>
      <c r="BD22">
        <v>1</v>
      </c>
    </row>
    <row r="23" spans="4:56" x14ac:dyDescent="0.2">
      <c r="D23">
        <v>22</v>
      </c>
      <c r="E23" t="s">
        <v>157</v>
      </c>
      <c r="F23" t="s">
        <v>307</v>
      </c>
      <c r="I23" t="s">
        <v>264</v>
      </c>
      <c r="K23">
        <v>1</v>
      </c>
      <c r="P23">
        <v>22</v>
      </c>
      <c r="Q23" t="s">
        <v>326</v>
      </c>
      <c r="R23" t="s">
        <v>323</v>
      </c>
      <c r="U23" s="12" t="s">
        <v>407</v>
      </c>
      <c r="AC23">
        <v>22</v>
      </c>
      <c r="AD23" t="s">
        <v>326</v>
      </c>
      <c r="AE23" t="s">
        <v>597</v>
      </c>
      <c r="AH23">
        <v>1</v>
      </c>
      <c r="AM23">
        <v>22</v>
      </c>
      <c r="AN23" t="s">
        <v>157</v>
      </c>
      <c r="AO23" t="s">
        <v>599</v>
      </c>
      <c r="AP23" t="s">
        <v>738</v>
      </c>
      <c r="AY23">
        <v>22</v>
      </c>
      <c r="AZ23" t="s">
        <v>157</v>
      </c>
      <c r="BA23" t="s">
        <v>596</v>
      </c>
      <c r="BB23" t="s">
        <v>866</v>
      </c>
      <c r="BC23">
        <v>1</v>
      </c>
      <c r="BD23">
        <v>1</v>
      </c>
    </row>
    <row r="24" spans="4:56" x14ac:dyDescent="0.2">
      <c r="D24">
        <v>23</v>
      </c>
      <c r="E24" t="s">
        <v>326</v>
      </c>
      <c r="F24" t="s">
        <v>308</v>
      </c>
      <c r="I24" t="s">
        <v>265</v>
      </c>
      <c r="K24">
        <v>1</v>
      </c>
      <c r="P24">
        <v>23</v>
      </c>
      <c r="Q24" t="s">
        <v>157</v>
      </c>
      <c r="R24" t="s">
        <v>306</v>
      </c>
      <c r="U24" s="12" t="s">
        <v>408</v>
      </c>
      <c r="AC24">
        <v>23</v>
      </c>
      <c r="AD24" t="s">
        <v>157</v>
      </c>
      <c r="AE24" t="s">
        <v>598</v>
      </c>
      <c r="AH24">
        <v>1</v>
      </c>
      <c r="AM24">
        <v>23</v>
      </c>
      <c r="AN24" t="s">
        <v>326</v>
      </c>
      <c r="AO24" t="s">
        <v>721</v>
      </c>
      <c r="AP24" t="s">
        <v>739</v>
      </c>
      <c r="AY24">
        <v>23</v>
      </c>
      <c r="AZ24" t="s">
        <v>157</v>
      </c>
      <c r="BA24" t="s">
        <v>612</v>
      </c>
      <c r="BD24">
        <v>1</v>
      </c>
    </row>
    <row r="25" spans="4:56" x14ac:dyDescent="0.2">
      <c r="D25">
        <v>24</v>
      </c>
      <c r="E25" t="s">
        <v>326</v>
      </c>
      <c r="F25" t="s">
        <v>309</v>
      </c>
      <c r="I25" t="s">
        <v>266</v>
      </c>
      <c r="P25">
        <v>24</v>
      </c>
      <c r="Q25" t="s">
        <v>157</v>
      </c>
      <c r="R25" t="s">
        <v>290</v>
      </c>
      <c r="U25" s="12"/>
      <c r="AC25">
        <v>24</v>
      </c>
      <c r="AD25" t="s">
        <v>157</v>
      </c>
      <c r="AE25" t="s">
        <v>599</v>
      </c>
      <c r="AF25" t="s">
        <v>678</v>
      </c>
      <c r="AM25">
        <v>24</v>
      </c>
      <c r="AN25" t="s">
        <v>326</v>
      </c>
      <c r="AO25" t="s">
        <v>613</v>
      </c>
      <c r="AR25">
        <v>1</v>
      </c>
      <c r="AY25">
        <v>24</v>
      </c>
      <c r="AZ25" t="s">
        <v>157</v>
      </c>
      <c r="BA25" t="s">
        <v>599</v>
      </c>
      <c r="BB25" t="s">
        <v>867</v>
      </c>
    </row>
    <row r="26" spans="4:56" x14ac:dyDescent="0.2">
      <c r="D26">
        <v>25</v>
      </c>
      <c r="E26" t="s">
        <v>157</v>
      </c>
      <c r="F26" t="s">
        <v>310</v>
      </c>
      <c r="I26" t="s">
        <v>267</v>
      </c>
      <c r="K26">
        <v>1</v>
      </c>
      <c r="P26">
        <v>25</v>
      </c>
      <c r="Q26" t="s">
        <v>157</v>
      </c>
      <c r="R26" t="s">
        <v>316</v>
      </c>
      <c r="U26" s="12" t="s">
        <v>409</v>
      </c>
      <c r="AC26">
        <v>25</v>
      </c>
      <c r="AD26" t="s">
        <v>326</v>
      </c>
      <c r="AE26" t="s">
        <v>600</v>
      </c>
      <c r="AH26">
        <v>1</v>
      </c>
      <c r="AM26">
        <v>25</v>
      </c>
      <c r="AN26" t="s">
        <v>326</v>
      </c>
      <c r="AO26" t="s">
        <v>593</v>
      </c>
      <c r="AR26">
        <v>1</v>
      </c>
      <c r="AY26">
        <v>25</v>
      </c>
      <c r="AZ26" t="s">
        <v>326</v>
      </c>
      <c r="BA26" t="s">
        <v>597</v>
      </c>
      <c r="BD26">
        <v>1</v>
      </c>
    </row>
    <row r="27" spans="4:56" x14ac:dyDescent="0.2">
      <c r="D27">
        <v>26</v>
      </c>
      <c r="E27" t="s">
        <v>326</v>
      </c>
      <c r="F27" t="s">
        <v>311</v>
      </c>
      <c r="I27" t="s">
        <v>268</v>
      </c>
      <c r="K27">
        <v>1</v>
      </c>
      <c r="P27">
        <v>26</v>
      </c>
      <c r="Q27" t="s">
        <v>157</v>
      </c>
      <c r="R27" t="s">
        <v>324</v>
      </c>
      <c r="U27" s="12" t="s">
        <v>421</v>
      </c>
      <c r="W27">
        <v>1</v>
      </c>
      <c r="AC27">
        <v>26</v>
      </c>
      <c r="AD27" t="s">
        <v>157</v>
      </c>
      <c r="AE27" t="s">
        <v>601</v>
      </c>
      <c r="AF27" t="s">
        <v>682</v>
      </c>
      <c r="AM27">
        <v>26</v>
      </c>
      <c r="AN27" t="s">
        <v>326</v>
      </c>
      <c r="AO27" t="s">
        <v>587</v>
      </c>
      <c r="AR27">
        <v>1</v>
      </c>
      <c r="AY27">
        <v>26</v>
      </c>
      <c r="AZ27" t="s">
        <v>157</v>
      </c>
      <c r="BA27" t="s">
        <v>594</v>
      </c>
      <c r="BB27" t="s">
        <v>868</v>
      </c>
    </row>
    <row r="28" spans="4:56" x14ac:dyDescent="0.2">
      <c r="D28">
        <v>27</v>
      </c>
      <c r="E28" t="s">
        <v>157</v>
      </c>
      <c r="F28" t="s">
        <v>312</v>
      </c>
      <c r="I28" t="s">
        <v>269</v>
      </c>
      <c r="K28">
        <v>1</v>
      </c>
      <c r="P28">
        <v>27</v>
      </c>
      <c r="Q28" t="s">
        <v>326</v>
      </c>
      <c r="R28" t="s">
        <v>295</v>
      </c>
      <c r="U28" s="12" t="s">
        <v>253</v>
      </c>
      <c r="W28">
        <v>1</v>
      </c>
      <c r="AC28">
        <v>27</v>
      </c>
      <c r="AD28" t="s">
        <v>157</v>
      </c>
      <c r="AE28" t="s">
        <v>602</v>
      </c>
      <c r="AH28">
        <v>1</v>
      </c>
      <c r="AM28">
        <v>27</v>
      </c>
      <c r="AN28" t="s">
        <v>326</v>
      </c>
      <c r="AO28" t="s">
        <v>582</v>
      </c>
      <c r="AR28">
        <v>1</v>
      </c>
      <c r="AY28">
        <v>27</v>
      </c>
      <c r="AZ28" t="s">
        <v>326</v>
      </c>
      <c r="BA28" t="s">
        <v>592</v>
      </c>
      <c r="BB28" t="s">
        <v>869</v>
      </c>
    </row>
    <row r="29" spans="4:56" x14ac:dyDescent="0.2">
      <c r="D29">
        <v>28</v>
      </c>
      <c r="E29" t="s">
        <v>157</v>
      </c>
      <c r="F29" t="s">
        <v>313</v>
      </c>
      <c r="I29" t="s">
        <v>270</v>
      </c>
      <c r="K29">
        <v>1</v>
      </c>
      <c r="P29">
        <v>28</v>
      </c>
      <c r="Q29" t="s">
        <v>157</v>
      </c>
      <c r="R29" t="s">
        <v>325</v>
      </c>
      <c r="U29" s="12" t="s">
        <v>410</v>
      </c>
      <c r="AC29">
        <v>28</v>
      </c>
      <c r="AD29" t="s">
        <v>326</v>
      </c>
      <c r="AE29" t="s">
        <v>603</v>
      </c>
      <c r="AH29">
        <v>1</v>
      </c>
      <c r="AM29">
        <v>28</v>
      </c>
      <c r="AN29" t="s">
        <v>326</v>
      </c>
      <c r="AO29" t="s">
        <v>610</v>
      </c>
      <c r="AP29" t="s">
        <v>740</v>
      </c>
      <c r="AR29">
        <v>1</v>
      </c>
      <c r="AY29">
        <v>28</v>
      </c>
      <c r="AZ29" t="s">
        <v>326</v>
      </c>
      <c r="BA29" t="s">
        <v>610</v>
      </c>
    </row>
    <row r="30" spans="4:56" x14ac:dyDescent="0.2">
      <c r="D30">
        <v>29</v>
      </c>
      <c r="E30" t="s">
        <v>326</v>
      </c>
      <c r="F30" t="s">
        <v>314</v>
      </c>
      <c r="I30" t="s">
        <v>271</v>
      </c>
      <c r="K30">
        <v>1</v>
      </c>
      <c r="P30">
        <v>29</v>
      </c>
      <c r="Q30" t="s">
        <v>157</v>
      </c>
      <c r="R30" t="s">
        <v>291</v>
      </c>
      <c r="U30" s="12" t="s">
        <v>411</v>
      </c>
      <c r="W30">
        <v>1</v>
      </c>
      <c r="AC30">
        <v>29</v>
      </c>
      <c r="AD30" t="s">
        <v>326</v>
      </c>
      <c r="AE30" t="s">
        <v>604</v>
      </c>
      <c r="AF30" t="s">
        <v>683</v>
      </c>
      <c r="AM30">
        <v>29</v>
      </c>
      <c r="AN30" t="s">
        <v>157</v>
      </c>
      <c r="AO30" t="s">
        <v>598</v>
      </c>
      <c r="AR30">
        <v>1</v>
      </c>
      <c r="AY30">
        <v>29</v>
      </c>
      <c r="AZ30" t="s">
        <v>157</v>
      </c>
      <c r="BA30" t="s">
        <v>608</v>
      </c>
      <c r="BD30">
        <v>1</v>
      </c>
    </row>
    <row r="31" spans="4:56" x14ac:dyDescent="0.2">
      <c r="D31">
        <v>30</v>
      </c>
      <c r="E31" t="s">
        <v>326</v>
      </c>
      <c r="F31" t="s">
        <v>315</v>
      </c>
      <c r="I31" t="s">
        <v>272</v>
      </c>
      <c r="K31">
        <v>1</v>
      </c>
      <c r="P31">
        <v>30</v>
      </c>
      <c r="Q31" t="s">
        <v>326</v>
      </c>
      <c r="R31" t="s">
        <v>308</v>
      </c>
      <c r="U31" s="12" t="s">
        <v>412</v>
      </c>
      <c r="W31">
        <v>1</v>
      </c>
      <c r="AC31">
        <v>30</v>
      </c>
      <c r="AD31" t="s">
        <v>157</v>
      </c>
      <c r="AE31" t="s">
        <v>605</v>
      </c>
      <c r="AH31">
        <v>1</v>
      </c>
      <c r="AM31">
        <v>30</v>
      </c>
      <c r="AN31" t="s">
        <v>326</v>
      </c>
      <c r="AO31" t="s">
        <v>600</v>
      </c>
      <c r="AR31">
        <v>1</v>
      </c>
      <c r="AY31">
        <v>30</v>
      </c>
      <c r="AZ31" t="s">
        <v>326</v>
      </c>
      <c r="BA31" t="s">
        <v>580</v>
      </c>
      <c r="BB31" t="s">
        <v>870</v>
      </c>
    </row>
    <row r="32" spans="4:56" x14ac:dyDescent="0.2">
      <c r="D32">
        <v>31</v>
      </c>
      <c r="E32" t="s">
        <v>157</v>
      </c>
      <c r="F32" t="s">
        <v>316</v>
      </c>
      <c r="I32" t="s">
        <v>273</v>
      </c>
      <c r="P32">
        <v>31</v>
      </c>
      <c r="Q32" t="s">
        <v>157</v>
      </c>
      <c r="R32" t="s">
        <v>313</v>
      </c>
      <c r="U32" s="12" t="s">
        <v>413</v>
      </c>
      <c r="W32">
        <v>1</v>
      </c>
      <c r="AC32">
        <v>31</v>
      </c>
      <c r="AD32" t="s">
        <v>157</v>
      </c>
      <c r="AE32" t="s">
        <v>606</v>
      </c>
      <c r="AH32">
        <v>1</v>
      </c>
      <c r="AM32">
        <v>31</v>
      </c>
      <c r="AN32" t="s">
        <v>157</v>
      </c>
      <c r="AO32" t="s">
        <v>602</v>
      </c>
      <c r="AR32">
        <v>1</v>
      </c>
      <c r="AY32">
        <v>31</v>
      </c>
      <c r="AZ32" t="s">
        <v>157</v>
      </c>
      <c r="BA32" t="s">
        <v>577</v>
      </c>
      <c r="BD32">
        <v>1</v>
      </c>
    </row>
    <row r="33" spans="2:56" x14ac:dyDescent="0.2">
      <c r="D33">
        <v>32</v>
      </c>
      <c r="E33" t="s">
        <v>326</v>
      </c>
      <c r="F33" t="s">
        <v>317</v>
      </c>
      <c r="I33" t="s">
        <v>274</v>
      </c>
      <c r="K33">
        <v>1</v>
      </c>
      <c r="P33">
        <v>32</v>
      </c>
      <c r="Q33" t="s">
        <v>326</v>
      </c>
      <c r="R33" t="s">
        <v>292</v>
      </c>
      <c r="U33" s="12" t="s">
        <v>414</v>
      </c>
      <c r="AC33">
        <v>32</v>
      </c>
      <c r="AD33" t="s">
        <v>157</v>
      </c>
      <c r="AE33" t="s">
        <v>607</v>
      </c>
      <c r="AF33" t="s">
        <v>684</v>
      </c>
      <c r="AM33">
        <v>32</v>
      </c>
      <c r="AN33" t="s">
        <v>326</v>
      </c>
      <c r="AO33" t="s">
        <v>583</v>
      </c>
      <c r="AP33" t="s">
        <v>741</v>
      </c>
      <c r="AR33">
        <v>1</v>
      </c>
      <c r="AY33">
        <v>32</v>
      </c>
      <c r="AZ33" t="s">
        <v>157</v>
      </c>
      <c r="BA33" t="s">
        <v>614</v>
      </c>
      <c r="BB33" t="s">
        <v>871</v>
      </c>
    </row>
    <row r="34" spans="2:56" x14ac:dyDescent="0.2">
      <c r="D34">
        <v>33</v>
      </c>
      <c r="E34" t="s">
        <v>157</v>
      </c>
      <c r="F34" t="s">
        <v>318</v>
      </c>
      <c r="I34" t="s">
        <v>275</v>
      </c>
      <c r="P34">
        <v>33</v>
      </c>
      <c r="Q34" t="s">
        <v>326</v>
      </c>
      <c r="R34" t="s">
        <v>321</v>
      </c>
      <c r="U34" s="12" t="s">
        <v>415</v>
      </c>
      <c r="W34">
        <v>1</v>
      </c>
      <c r="AC34">
        <v>33</v>
      </c>
      <c r="AD34" t="s">
        <v>157</v>
      </c>
      <c r="AE34" t="s">
        <v>608</v>
      </c>
      <c r="AF34" t="s">
        <v>543</v>
      </c>
      <c r="AM34">
        <v>33</v>
      </c>
      <c r="AN34" t="s">
        <v>326</v>
      </c>
      <c r="AO34" t="s">
        <v>581</v>
      </c>
      <c r="AR34">
        <v>1</v>
      </c>
      <c r="AY34">
        <v>33</v>
      </c>
      <c r="AZ34" t="s">
        <v>157</v>
      </c>
      <c r="BA34" t="s">
        <v>579</v>
      </c>
      <c r="BD34">
        <v>1</v>
      </c>
    </row>
    <row r="35" spans="2:56" x14ac:dyDescent="0.2">
      <c r="D35">
        <v>34</v>
      </c>
      <c r="E35" t="s">
        <v>326</v>
      </c>
      <c r="F35" t="s">
        <v>319</v>
      </c>
      <c r="I35" t="s">
        <v>276</v>
      </c>
      <c r="K35">
        <v>1</v>
      </c>
      <c r="P35">
        <v>34</v>
      </c>
      <c r="Q35" t="s">
        <v>157</v>
      </c>
      <c r="R35" t="s">
        <v>299</v>
      </c>
      <c r="U35" s="12" t="s">
        <v>416</v>
      </c>
      <c r="W35">
        <v>1</v>
      </c>
      <c r="AC35">
        <v>34</v>
      </c>
      <c r="AD35" t="s">
        <v>157</v>
      </c>
      <c r="AE35" t="s">
        <v>609</v>
      </c>
      <c r="AM35">
        <v>34</v>
      </c>
      <c r="AN35" t="s">
        <v>157</v>
      </c>
      <c r="AO35" t="s">
        <v>590</v>
      </c>
      <c r="AR35">
        <v>1</v>
      </c>
      <c r="AY35">
        <v>34</v>
      </c>
      <c r="AZ35" t="s">
        <v>326</v>
      </c>
      <c r="BA35" t="s">
        <v>603</v>
      </c>
      <c r="BB35" t="s">
        <v>872</v>
      </c>
    </row>
    <row r="36" spans="2:56" x14ac:dyDescent="0.2">
      <c r="D36">
        <v>35</v>
      </c>
      <c r="E36" t="s">
        <v>157</v>
      </c>
      <c r="F36" t="s">
        <v>320</v>
      </c>
      <c r="I36" t="s">
        <v>277</v>
      </c>
      <c r="P36">
        <v>35</v>
      </c>
      <c r="Q36" t="s">
        <v>326</v>
      </c>
      <c r="R36" t="s">
        <v>296</v>
      </c>
      <c r="U36" s="12" t="s">
        <v>417</v>
      </c>
      <c r="AC36">
        <v>35</v>
      </c>
      <c r="AD36" t="s">
        <v>326</v>
      </c>
      <c r="AE36" t="s">
        <v>610</v>
      </c>
      <c r="AH36">
        <v>1</v>
      </c>
      <c r="AM36">
        <v>35</v>
      </c>
      <c r="AN36" t="s">
        <v>157</v>
      </c>
      <c r="AO36" t="s">
        <v>614</v>
      </c>
      <c r="AP36" t="s">
        <v>742</v>
      </c>
      <c r="AY36">
        <v>35</v>
      </c>
      <c r="AZ36" t="s">
        <v>157</v>
      </c>
      <c r="BA36" t="s">
        <v>598</v>
      </c>
      <c r="BD36">
        <v>1</v>
      </c>
    </row>
    <row r="37" spans="2:56" x14ac:dyDescent="0.2">
      <c r="D37">
        <v>36</v>
      </c>
      <c r="E37" t="s">
        <v>326</v>
      </c>
      <c r="F37" t="s">
        <v>321</v>
      </c>
      <c r="I37" t="s">
        <v>278</v>
      </c>
      <c r="K37">
        <v>1</v>
      </c>
      <c r="P37">
        <v>36</v>
      </c>
      <c r="Q37" t="s">
        <v>326</v>
      </c>
      <c r="R37" t="s">
        <v>301</v>
      </c>
      <c r="U37" s="12"/>
      <c r="AC37">
        <v>36</v>
      </c>
      <c r="AD37" t="s">
        <v>326</v>
      </c>
      <c r="AE37" t="s">
        <v>611</v>
      </c>
      <c r="AH37">
        <v>1</v>
      </c>
      <c r="AM37">
        <v>36</v>
      </c>
      <c r="AN37" t="s">
        <v>157</v>
      </c>
      <c r="AO37" t="s">
        <v>609</v>
      </c>
      <c r="AP37" t="s">
        <v>743</v>
      </c>
      <c r="AY37">
        <v>36</v>
      </c>
      <c r="AZ37" t="s">
        <v>157</v>
      </c>
      <c r="BA37" t="s">
        <v>601</v>
      </c>
      <c r="BB37" t="s">
        <v>873</v>
      </c>
    </row>
    <row r="38" spans="2:56" x14ac:dyDescent="0.2">
      <c r="D38">
        <v>37</v>
      </c>
      <c r="E38" t="s">
        <v>326</v>
      </c>
      <c r="F38" t="s">
        <v>322</v>
      </c>
      <c r="I38" t="s">
        <v>279</v>
      </c>
      <c r="K38">
        <v>1</v>
      </c>
      <c r="P38">
        <v>37</v>
      </c>
      <c r="Q38" t="s">
        <v>326</v>
      </c>
      <c r="R38" t="s">
        <v>304</v>
      </c>
      <c r="U38" s="12" t="s">
        <v>418</v>
      </c>
      <c r="W38">
        <v>1</v>
      </c>
      <c r="AC38">
        <v>37</v>
      </c>
      <c r="AD38" t="s">
        <v>157</v>
      </c>
      <c r="AE38" t="s">
        <v>612</v>
      </c>
      <c r="AF38" t="s">
        <v>685</v>
      </c>
      <c r="AM38">
        <v>37</v>
      </c>
      <c r="AN38" t="s">
        <v>157</v>
      </c>
      <c r="AO38" t="s">
        <v>601</v>
      </c>
      <c r="AP38" t="s">
        <v>744</v>
      </c>
      <c r="AY38">
        <v>37</v>
      </c>
      <c r="AZ38" t="s">
        <v>326</v>
      </c>
      <c r="BA38" t="s">
        <v>582</v>
      </c>
      <c r="BB38" t="s">
        <v>874</v>
      </c>
    </row>
    <row r="39" spans="2:56" x14ac:dyDescent="0.2">
      <c r="D39">
        <v>38</v>
      </c>
      <c r="E39" t="s">
        <v>326</v>
      </c>
      <c r="F39" t="s">
        <v>323</v>
      </c>
      <c r="I39" t="s">
        <v>280</v>
      </c>
      <c r="P39">
        <v>38</v>
      </c>
      <c r="Q39" t="s">
        <v>157</v>
      </c>
      <c r="R39" t="s">
        <v>297</v>
      </c>
      <c r="U39" s="12" t="s">
        <v>419</v>
      </c>
      <c r="W39">
        <v>1</v>
      </c>
      <c r="AC39">
        <v>38</v>
      </c>
      <c r="AD39" t="s">
        <v>326</v>
      </c>
      <c r="AE39" t="s">
        <v>613</v>
      </c>
      <c r="AF39" t="s">
        <v>686</v>
      </c>
      <c r="AM39">
        <v>38</v>
      </c>
      <c r="AN39" t="s">
        <v>157</v>
      </c>
      <c r="AO39" t="s">
        <v>608</v>
      </c>
      <c r="AP39" t="s">
        <v>745</v>
      </c>
      <c r="AY39">
        <v>38</v>
      </c>
      <c r="AZ39" t="s">
        <v>157</v>
      </c>
      <c r="BA39" t="s">
        <v>584</v>
      </c>
      <c r="BD39">
        <v>1</v>
      </c>
    </row>
    <row r="40" spans="2:56" x14ac:dyDescent="0.2">
      <c r="D40">
        <v>39</v>
      </c>
      <c r="E40" t="s">
        <v>157</v>
      </c>
      <c r="F40" t="s">
        <v>324</v>
      </c>
      <c r="I40" t="s">
        <v>281</v>
      </c>
      <c r="K40">
        <v>1</v>
      </c>
      <c r="P40">
        <v>39</v>
      </c>
      <c r="Q40" t="s">
        <v>157</v>
      </c>
      <c r="R40" t="s">
        <v>307</v>
      </c>
      <c r="U40" s="12" t="s">
        <v>420</v>
      </c>
      <c r="W40">
        <v>1</v>
      </c>
      <c r="AC40">
        <v>39</v>
      </c>
      <c r="AD40" t="s">
        <v>157</v>
      </c>
      <c r="AE40" t="s">
        <v>614</v>
      </c>
      <c r="AF40" t="s">
        <v>543</v>
      </c>
      <c r="AM40">
        <v>39</v>
      </c>
      <c r="AN40" t="s">
        <v>157</v>
      </c>
      <c r="AO40" t="s">
        <v>588</v>
      </c>
      <c r="AP40" t="s">
        <v>746</v>
      </c>
      <c r="AY40">
        <v>39</v>
      </c>
      <c r="AZ40" t="s">
        <v>326</v>
      </c>
      <c r="BA40" t="s">
        <v>587</v>
      </c>
      <c r="BD40">
        <v>1</v>
      </c>
    </row>
    <row r="41" spans="2:56" x14ac:dyDescent="0.2">
      <c r="D41">
        <v>40</v>
      </c>
      <c r="E41" t="s">
        <v>157</v>
      </c>
      <c r="F41" t="s">
        <v>325</v>
      </c>
      <c r="I41" t="s">
        <v>282</v>
      </c>
      <c r="P41">
        <v>40</v>
      </c>
      <c r="Q41" t="s">
        <v>326</v>
      </c>
      <c r="R41" t="s">
        <v>315</v>
      </c>
      <c r="U41" s="12" t="s">
        <v>272</v>
      </c>
      <c r="W41">
        <v>1</v>
      </c>
      <c r="AC41">
        <v>40</v>
      </c>
      <c r="AD41" t="s">
        <v>326</v>
      </c>
      <c r="AE41" t="s">
        <v>615</v>
      </c>
      <c r="AF41" t="s">
        <v>687</v>
      </c>
      <c r="AM41">
        <v>40</v>
      </c>
      <c r="AN41" t="s">
        <v>157</v>
      </c>
      <c r="AO41" t="s">
        <v>605</v>
      </c>
      <c r="AR41">
        <v>1</v>
      </c>
      <c r="AY41">
        <v>40</v>
      </c>
      <c r="AZ41" t="s">
        <v>326</v>
      </c>
      <c r="BA41" t="s">
        <v>593</v>
      </c>
      <c r="BB41" t="s">
        <v>875</v>
      </c>
      <c r="BC41">
        <v>1</v>
      </c>
      <c r="BD41">
        <v>1</v>
      </c>
    </row>
    <row r="42" spans="2:56" x14ac:dyDescent="0.2">
      <c r="U42" s="12"/>
      <c r="AH42">
        <f>SUM(AH2:AH41)</f>
        <v>21</v>
      </c>
      <c r="AR42" s="13">
        <f>SUM(AR2:AR41)</f>
        <v>24</v>
      </c>
    </row>
    <row r="43" spans="2:56" x14ac:dyDescent="0.2">
      <c r="K43" s="2">
        <f>SUM(K2:K41)</f>
        <v>25</v>
      </c>
      <c r="W43" s="2">
        <f>SUM(W2:W41)</f>
        <v>26</v>
      </c>
      <c r="BD43" s="13">
        <f>SUM(BD2:BD42)</f>
        <v>21</v>
      </c>
    </row>
    <row r="46" spans="2:56" x14ac:dyDescent="0.2">
      <c r="C46" t="s">
        <v>749</v>
      </c>
      <c r="D46" t="s">
        <v>215</v>
      </c>
      <c r="E46" t="s">
        <v>750</v>
      </c>
      <c r="F46" t="s">
        <v>751</v>
      </c>
      <c r="G46" t="s">
        <v>217</v>
      </c>
    </row>
    <row r="47" spans="2:56" x14ac:dyDescent="0.2">
      <c r="B47" t="s">
        <v>762</v>
      </c>
      <c r="C47">
        <v>25</v>
      </c>
      <c r="D47">
        <v>26</v>
      </c>
      <c r="E47">
        <v>21</v>
      </c>
      <c r="F47">
        <v>24</v>
      </c>
      <c r="G47">
        <v>18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R48"/>
  <sheetViews>
    <sheetView topLeftCell="AK18" workbookViewId="0">
      <selection activeCell="X47" sqref="X47"/>
    </sheetView>
  </sheetViews>
  <sheetFormatPr baseColWidth="10" defaultColWidth="11.5" defaultRowHeight="15" x14ac:dyDescent="0.2"/>
  <cols>
    <col min="1" max="1" width="17" customWidth="1"/>
    <col min="8" max="8" width="13.6640625" bestFit="1" customWidth="1"/>
    <col min="9" max="9" width="17" bestFit="1" customWidth="1"/>
    <col min="18" max="18" width="16.5" bestFit="1" customWidth="1"/>
    <col min="24" max="24" width="11.1640625" customWidth="1"/>
    <col min="27" max="27" width="21.33203125" customWidth="1"/>
    <col min="33" max="33" width="18.5" customWidth="1"/>
    <col min="34" max="34" width="22" customWidth="1"/>
    <col min="37" max="37" width="31.5" customWidth="1"/>
    <col min="41" max="41" width="16.5" customWidth="1"/>
    <col min="42" max="42" width="18" customWidth="1"/>
    <col min="43" max="43" width="25.33203125" customWidth="1"/>
    <col min="44" max="44" width="24.5" customWidth="1"/>
  </cols>
  <sheetData>
    <row r="1" spans="1:44" ht="16" x14ac:dyDescent="0.2">
      <c r="A1" s="1" t="s">
        <v>41</v>
      </c>
      <c r="B1" s="2" t="s">
        <v>0</v>
      </c>
      <c r="C1" s="2" t="s">
        <v>1</v>
      </c>
      <c r="D1" s="2" t="s">
        <v>2</v>
      </c>
      <c r="E1" s="2" t="s">
        <v>27</v>
      </c>
      <c r="F1" s="2" t="s">
        <v>28</v>
      </c>
      <c r="G1" s="2" t="s">
        <v>13</v>
      </c>
      <c r="I1" s="1" t="s">
        <v>41</v>
      </c>
      <c r="J1" s="2" t="s">
        <v>0</v>
      </c>
      <c r="K1" s="2" t="s">
        <v>1</v>
      </c>
      <c r="L1" s="2" t="s">
        <v>2</v>
      </c>
      <c r="M1" s="2" t="s">
        <v>27</v>
      </c>
      <c r="N1" s="2" t="s">
        <v>34</v>
      </c>
      <c r="O1" s="2" t="s">
        <v>13</v>
      </c>
      <c r="P1" s="2" t="s">
        <v>723</v>
      </c>
      <c r="R1" s="1" t="s">
        <v>41</v>
      </c>
      <c r="S1" s="2" t="s">
        <v>0</v>
      </c>
      <c r="T1" s="2" t="s">
        <v>1</v>
      </c>
      <c r="U1" s="2" t="s">
        <v>2</v>
      </c>
      <c r="V1" s="2" t="s">
        <v>34</v>
      </c>
      <c r="W1" s="2" t="s">
        <v>27</v>
      </c>
      <c r="X1" s="2" t="s">
        <v>13</v>
      </c>
      <c r="Y1" s="2" t="s">
        <v>688</v>
      </c>
      <c r="Z1" s="2"/>
      <c r="AA1" s="1" t="s">
        <v>41</v>
      </c>
      <c r="AB1" s="2" t="s">
        <v>0</v>
      </c>
      <c r="AC1" s="2" t="s">
        <v>1</v>
      </c>
      <c r="AD1" s="2" t="s">
        <v>2</v>
      </c>
      <c r="AE1" s="2" t="s">
        <v>27</v>
      </c>
      <c r="AF1" s="2" t="s">
        <v>34</v>
      </c>
      <c r="AG1" s="2" t="s">
        <v>13</v>
      </c>
      <c r="AH1" s="2" t="s">
        <v>723</v>
      </c>
      <c r="AK1" s="1" t="s">
        <v>41</v>
      </c>
      <c r="AL1" s="2" t="s">
        <v>0</v>
      </c>
      <c r="AM1" s="2" t="s">
        <v>1</v>
      </c>
      <c r="AN1" s="2" t="s">
        <v>2</v>
      </c>
      <c r="AO1" s="2" t="s">
        <v>851</v>
      </c>
      <c r="AP1" s="2" t="s">
        <v>34</v>
      </c>
      <c r="AQ1" s="2" t="s">
        <v>13</v>
      </c>
      <c r="AR1" s="2" t="s">
        <v>723</v>
      </c>
    </row>
    <row r="2" spans="1:44" ht="16" x14ac:dyDescent="0.2">
      <c r="A2" s="3" t="s">
        <v>7</v>
      </c>
      <c r="B2">
        <v>2</v>
      </c>
      <c r="C2">
        <v>1</v>
      </c>
      <c r="D2">
        <v>1</v>
      </c>
      <c r="E2" t="s">
        <v>327</v>
      </c>
      <c r="F2" t="s">
        <v>328</v>
      </c>
      <c r="G2">
        <v>1</v>
      </c>
      <c r="I2" s="3" t="s">
        <v>215</v>
      </c>
      <c r="J2">
        <v>1</v>
      </c>
      <c r="K2">
        <v>2</v>
      </c>
      <c r="L2">
        <v>1</v>
      </c>
      <c r="M2" t="s">
        <v>332</v>
      </c>
      <c r="N2" t="s">
        <v>365</v>
      </c>
      <c r="O2">
        <v>1</v>
      </c>
      <c r="R2" s="3" t="s">
        <v>216</v>
      </c>
      <c r="S2">
        <v>2</v>
      </c>
      <c r="T2">
        <v>3</v>
      </c>
      <c r="U2">
        <v>1</v>
      </c>
      <c r="V2" t="s">
        <v>332</v>
      </c>
      <c r="W2" t="s">
        <v>616</v>
      </c>
      <c r="X2">
        <v>1</v>
      </c>
      <c r="AA2" s="3" t="s">
        <v>720</v>
      </c>
      <c r="AB2">
        <v>1</v>
      </c>
      <c r="AC2">
        <v>3</v>
      </c>
      <c r="AD2">
        <v>1</v>
      </c>
      <c r="AE2" t="s">
        <v>327</v>
      </c>
      <c r="AF2" t="s">
        <v>627</v>
      </c>
      <c r="AG2">
        <v>1</v>
      </c>
      <c r="AK2" s="3" t="s">
        <v>850</v>
      </c>
      <c r="AL2">
        <v>1</v>
      </c>
      <c r="AM2">
        <v>4</v>
      </c>
      <c r="AN2">
        <v>1</v>
      </c>
      <c r="AO2" t="s">
        <v>332</v>
      </c>
      <c r="AP2" t="s">
        <v>653</v>
      </c>
      <c r="AQ2">
        <v>1</v>
      </c>
    </row>
    <row r="3" spans="1:44" ht="16" x14ac:dyDescent="0.2">
      <c r="A3" s="1" t="s">
        <v>33</v>
      </c>
      <c r="D3">
        <v>2</v>
      </c>
      <c r="E3" t="s">
        <v>329</v>
      </c>
      <c r="F3" t="s">
        <v>330</v>
      </c>
      <c r="G3">
        <v>1</v>
      </c>
      <c r="I3" s="1" t="s">
        <v>33</v>
      </c>
      <c r="L3">
        <v>2</v>
      </c>
      <c r="M3" t="s">
        <v>329</v>
      </c>
      <c r="N3" t="s">
        <v>364</v>
      </c>
      <c r="O3">
        <v>1</v>
      </c>
      <c r="R3" s="1" t="s">
        <v>33</v>
      </c>
      <c r="U3">
        <v>2</v>
      </c>
      <c r="V3" t="s">
        <v>327</v>
      </c>
      <c r="W3" t="s">
        <v>617</v>
      </c>
      <c r="X3">
        <v>1</v>
      </c>
      <c r="AA3" s="1" t="s">
        <v>33</v>
      </c>
      <c r="AD3">
        <v>2</v>
      </c>
      <c r="AE3" t="s">
        <v>329</v>
      </c>
      <c r="AF3" t="s">
        <v>549</v>
      </c>
      <c r="AG3">
        <v>1</v>
      </c>
      <c r="AK3" s="1" t="s">
        <v>33</v>
      </c>
      <c r="AN3">
        <v>2</v>
      </c>
      <c r="AO3" t="s">
        <v>332</v>
      </c>
      <c r="AP3" t="s">
        <v>644</v>
      </c>
      <c r="AQ3">
        <v>0</v>
      </c>
      <c r="AR3" t="s">
        <v>852</v>
      </c>
    </row>
    <row r="4" spans="1:44" ht="16" x14ac:dyDescent="0.2">
      <c r="A4" s="1" t="s">
        <v>42</v>
      </c>
      <c r="D4">
        <v>3</v>
      </c>
      <c r="E4" t="s">
        <v>329</v>
      </c>
      <c r="F4" t="s">
        <v>331</v>
      </c>
      <c r="G4" s="5">
        <v>0</v>
      </c>
      <c r="I4" s="15">
        <v>43906</v>
      </c>
      <c r="L4">
        <v>3</v>
      </c>
      <c r="M4" t="s">
        <v>332</v>
      </c>
      <c r="N4" t="s">
        <v>370</v>
      </c>
      <c r="O4">
        <v>1</v>
      </c>
      <c r="R4" s="15">
        <v>43916</v>
      </c>
      <c r="U4">
        <v>3</v>
      </c>
      <c r="V4" t="s">
        <v>332</v>
      </c>
      <c r="W4" t="s">
        <v>618</v>
      </c>
      <c r="X4">
        <v>1</v>
      </c>
      <c r="AA4" s="26">
        <v>43971</v>
      </c>
      <c r="AD4">
        <v>3</v>
      </c>
      <c r="AE4" t="s">
        <v>329</v>
      </c>
      <c r="AF4" t="s">
        <v>624</v>
      </c>
      <c r="AG4">
        <v>1</v>
      </c>
      <c r="AK4" s="26">
        <v>44027</v>
      </c>
      <c r="AN4">
        <v>3</v>
      </c>
      <c r="AO4" t="s">
        <v>332</v>
      </c>
      <c r="AP4" t="s">
        <v>652</v>
      </c>
      <c r="AQ4">
        <v>1</v>
      </c>
    </row>
    <row r="5" spans="1:44" x14ac:dyDescent="0.2">
      <c r="D5">
        <v>4</v>
      </c>
      <c r="E5" t="s">
        <v>332</v>
      </c>
      <c r="F5" t="s">
        <v>333</v>
      </c>
      <c r="G5">
        <v>1</v>
      </c>
      <c r="L5">
        <v>4</v>
      </c>
      <c r="M5" t="s">
        <v>332</v>
      </c>
      <c r="N5" t="s">
        <v>368</v>
      </c>
      <c r="O5">
        <v>1</v>
      </c>
      <c r="R5" s="5" t="s">
        <v>426</v>
      </c>
      <c r="U5">
        <v>4</v>
      </c>
      <c r="V5" t="s">
        <v>332</v>
      </c>
      <c r="W5" t="s">
        <v>619</v>
      </c>
      <c r="X5">
        <v>1</v>
      </c>
      <c r="AA5" t="s">
        <v>722</v>
      </c>
      <c r="AD5">
        <v>4</v>
      </c>
      <c r="AE5" t="s">
        <v>329</v>
      </c>
      <c r="AF5" t="s">
        <v>630</v>
      </c>
      <c r="AG5">
        <v>1</v>
      </c>
      <c r="AK5" t="s">
        <v>855</v>
      </c>
      <c r="AN5">
        <v>4</v>
      </c>
      <c r="AO5" t="s">
        <v>329</v>
      </c>
      <c r="AP5" t="s">
        <v>549</v>
      </c>
      <c r="AQ5">
        <v>1</v>
      </c>
    </row>
    <row r="6" spans="1:44" x14ac:dyDescent="0.2">
      <c r="D6">
        <v>5</v>
      </c>
      <c r="E6" t="s">
        <v>332</v>
      </c>
      <c r="F6" t="s">
        <v>334</v>
      </c>
      <c r="G6">
        <v>1</v>
      </c>
      <c r="I6" s="13" t="s">
        <v>779</v>
      </c>
      <c r="L6">
        <v>5</v>
      </c>
      <c r="M6" t="s">
        <v>329</v>
      </c>
      <c r="N6" t="s">
        <v>361</v>
      </c>
      <c r="O6">
        <v>1</v>
      </c>
      <c r="R6" s="19" t="s">
        <v>673</v>
      </c>
      <c r="U6">
        <v>5</v>
      </c>
      <c r="V6" t="s">
        <v>329</v>
      </c>
      <c r="W6" t="s">
        <v>620</v>
      </c>
      <c r="X6">
        <v>1</v>
      </c>
      <c r="AD6">
        <v>5</v>
      </c>
      <c r="AE6" t="s">
        <v>332</v>
      </c>
      <c r="AF6" t="s">
        <v>644</v>
      </c>
      <c r="AG6">
        <v>1</v>
      </c>
      <c r="AN6">
        <v>5</v>
      </c>
      <c r="AO6" t="s">
        <v>327</v>
      </c>
      <c r="AP6" t="s">
        <v>632</v>
      </c>
      <c r="AQ6">
        <v>1</v>
      </c>
    </row>
    <row r="7" spans="1:44" x14ac:dyDescent="0.2">
      <c r="D7">
        <v>6</v>
      </c>
      <c r="E7" t="s">
        <v>332</v>
      </c>
      <c r="F7" t="s">
        <v>335</v>
      </c>
      <c r="G7">
        <v>1</v>
      </c>
      <c r="L7">
        <v>6</v>
      </c>
      <c r="M7" t="s">
        <v>327</v>
      </c>
      <c r="N7" t="s">
        <v>363</v>
      </c>
      <c r="O7">
        <v>1</v>
      </c>
      <c r="U7">
        <v>6</v>
      </c>
      <c r="V7" t="s">
        <v>329</v>
      </c>
      <c r="W7" t="s">
        <v>621</v>
      </c>
      <c r="X7">
        <v>1</v>
      </c>
      <c r="AD7">
        <v>6</v>
      </c>
      <c r="AE7" t="s">
        <v>329</v>
      </c>
      <c r="AF7" t="s">
        <v>628</v>
      </c>
      <c r="AG7">
        <v>1</v>
      </c>
      <c r="AN7">
        <v>6</v>
      </c>
      <c r="AO7" t="s">
        <v>329</v>
      </c>
      <c r="AP7" t="s">
        <v>639</v>
      </c>
      <c r="AQ7">
        <v>1</v>
      </c>
    </row>
    <row r="8" spans="1:44" x14ac:dyDescent="0.2">
      <c r="D8">
        <v>7</v>
      </c>
      <c r="E8" t="s">
        <v>332</v>
      </c>
      <c r="F8" t="s">
        <v>336</v>
      </c>
      <c r="G8">
        <v>1</v>
      </c>
      <c r="L8">
        <v>7</v>
      </c>
      <c r="M8" t="s">
        <v>332</v>
      </c>
      <c r="N8" t="s">
        <v>345</v>
      </c>
      <c r="O8">
        <v>0</v>
      </c>
      <c r="P8" t="s">
        <v>774</v>
      </c>
      <c r="U8">
        <v>7</v>
      </c>
      <c r="V8" t="s">
        <v>329</v>
      </c>
      <c r="W8" t="s">
        <v>622</v>
      </c>
      <c r="X8">
        <v>1</v>
      </c>
      <c r="AD8">
        <v>7</v>
      </c>
      <c r="AE8" t="s">
        <v>327</v>
      </c>
      <c r="AF8" t="s">
        <v>648</v>
      </c>
      <c r="AG8">
        <v>1</v>
      </c>
      <c r="AN8">
        <v>7</v>
      </c>
      <c r="AO8" t="s">
        <v>332</v>
      </c>
      <c r="AP8" t="s">
        <v>618</v>
      </c>
      <c r="AQ8">
        <v>1</v>
      </c>
    </row>
    <row r="9" spans="1:44" x14ac:dyDescent="0.2">
      <c r="D9">
        <v>8</v>
      </c>
      <c r="E9" t="s">
        <v>327</v>
      </c>
      <c r="F9" t="s">
        <v>337</v>
      </c>
      <c r="G9">
        <v>1</v>
      </c>
      <c r="L9">
        <v>8</v>
      </c>
      <c r="M9" t="s">
        <v>327</v>
      </c>
      <c r="N9" t="s">
        <v>346</v>
      </c>
      <c r="O9">
        <v>1</v>
      </c>
      <c r="U9">
        <v>8</v>
      </c>
      <c r="V9" t="s">
        <v>329</v>
      </c>
      <c r="W9" t="s">
        <v>623</v>
      </c>
      <c r="X9">
        <v>1</v>
      </c>
      <c r="AD9">
        <v>8</v>
      </c>
      <c r="AE9" t="s">
        <v>329</v>
      </c>
      <c r="AF9" t="s">
        <v>621</v>
      </c>
      <c r="AG9">
        <v>1</v>
      </c>
      <c r="AN9">
        <v>8</v>
      </c>
      <c r="AO9" t="s">
        <v>332</v>
      </c>
      <c r="AP9" t="s">
        <v>637</v>
      </c>
      <c r="AQ9">
        <v>1</v>
      </c>
    </row>
    <row r="10" spans="1:44" x14ac:dyDescent="0.2">
      <c r="D10">
        <v>9</v>
      </c>
      <c r="E10" t="s">
        <v>327</v>
      </c>
      <c r="F10" t="s">
        <v>338</v>
      </c>
      <c r="G10" s="5">
        <v>0</v>
      </c>
      <c r="H10" t="s">
        <v>375</v>
      </c>
      <c r="L10">
        <v>9</v>
      </c>
      <c r="M10" t="s">
        <v>329</v>
      </c>
      <c r="N10" t="s">
        <v>339</v>
      </c>
      <c r="O10">
        <v>1</v>
      </c>
      <c r="U10">
        <v>9</v>
      </c>
      <c r="V10" t="s">
        <v>329</v>
      </c>
      <c r="W10" t="s">
        <v>624</v>
      </c>
      <c r="X10">
        <v>1</v>
      </c>
      <c r="AD10">
        <v>9</v>
      </c>
      <c r="AE10" t="s">
        <v>329</v>
      </c>
      <c r="AF10" t="s">
        <v>623</v>
      </c>
      <c r="AG10">
        <v>1</v>
      </c>
      <c r="AN10">
        <v>9</v>
      </c>
      <c r="AO10" t="s">
        <v>327</v>
      </c>
      <c r="AP10" t="s">
        <v>640</v>
      </c>
      <c r="AQ10">
        <v>1</v>
      </c>
    </row>
    <row r="11" spans="1:44" x14ac:dyDescent="0.2">
      <c r="D11">
        <v>10</v>
      </c>
      <c r="E11" t="s">
        <v>329</v>
      </c>
      <c r="F11" t="s">
        <v>339</v>
      </c>
      <c r="G11">
        <v>1</v>
      </c>
      <c r="L11">
        <v>10</v>
      </c>
      <c r="M11" t="s">
        <v>329</v>
      </c>
      <c r="N11" t="s">
        <v>357</v>
      </c>
      <c r="O11">
        <v>1</v>
      </c>
      <c r="U11">
        <v>10</v>
      </c>
      <c r="V11" t="s">
        <v>327</v>
      </c>
      <c r="W11" t="s">
        <v>625</v>
      </c>
      <c r="X11">
        <v>1</v>
      </c>
      <c r="AD11">
        <v>10</v>
      </c>
      <c r="AE11" t="s">
        <v>332</v>
      </c>
      <c r="AF11" t="s">
        <v>629</v>
      </c>
      <c r="AG11">
        <v>1</v>
      </c>
      <c r="AN11">
        <v>10</v>
      </c>
      <c r="AO11" t="s">
        <v>327</v>
      </c>
      <c r="AP11" t="s">
        <v>642</v>
      </c>
      <c r="AQ11">
        <v>0</v>
      </c>
      <c r="AR11" t="s">
        <v>853</v>
      </c>
    </row>
    <row r="12" spans="1:44" x14ac:dyDescent="0.2">
      <c r="D12">
        <v>11</v>
      </c>
      <c r="E12" t="s">
        <v>332</v>
      </c>
      <c r="F12" t="s">
        <v>340</v>
      </c>
      <c r="G12">
        <v>1</v>
      </c>
      <c r="L12">
        <v>11</v>
      </c>
      <c r="M12" t="s">
        <v>332</v>
      </c>
      <c r="N12" t="s">
        <v>354</v>
      </c>
      <c r="O12">
        <v>1</v>
      </c>
      <c r="U12">
        <v>11</v>
      </c>
      <c r="V12" t="s">
        <v>329</v>
      </c>
      <c r="W12" t="s">
        <v>626</v>
      </c>
      <c r="X12">
        <v>1</v>
      </c>
      <c r="AD12">
        <v>11</v>
      </c>
      <c r="AE12" t="s">
        <v>332</v>
      </c>
      <c r="AF12" t="s">
        <v>637</v>
      </c>
      <c r="AG12">
        <v>1</v>
      </c>
      <c r="AN12">
        <v>11</v>
      </c>
      <c r="AO12" t="s">
        <v>329</v>
      </c>
      <c r="AP12" t="s">
        <v>622</v>
      </c>
      <c r="AQ12">
        <v>1</v>
      </c>
    </row>
    <row r="13" spans="1:44" x14ac:dyDescent="0.2">
      <c r="D13">
        <v>12</v>
      </c>
      <c r="E13" t="s">
        <v>329</v>
      </c>
      <c r="F13" t="s">
        <v>341</v>
      </c>
      <c r="G13">
        <v>1</v>
      </c>
      <c r="L13">
        <v>12</v>
      </c>
      <c r="M13" t="s">
        <v>329</v>
      </c>
      <c r="N13" t="s">
        <v>331</v>
      </c>
      <c r="O13">
        <v>1</v>
      </c>
      <c r="U13">
        <v>12</v>
      </c>
      <c r="V13" t="s">
        <v>327</v>
      </c>
      <c r="W13" t="s">
        <v>627</v>
      </c>
      <c r="X13">
        <v>1</v>
      </c>
      <c r="AD13">
        <v>12</v>
      </c>
      <c r="AE13" t="s">
        <v>332</v>
      </c>
      <c r="AF13" t="s">
        <v>646</v>
      </c>
      <c r="AG13">
        <v>1</v>
      </c>
      <c r="AN13">
        <v>12</v>
      </c>
      <c r="AO13" t="s">
        <v>327</v>
      </c>
      <c r="AP13" t="s">
        <v>633</v>
      </c>
      <c r="AQ13">
        <v>1</v>
      </c>
    </row>
    <row r="14" spans="1:44" x14ac:dyDescent="0.2">
      <c r="D14">
        <v>13</v>
      </c>
      <c r="E14" t="s">
        <v>329</v>
      </c>
      <c r="F14" t="s">
        <v>342</v>
      </c>
      <c r="G14">
        <v>1</v>
      </c>
      <c r="L14">
        <v>13</v>
      </c>
      <c r="M14" t="s">
        <v>327</v>
      </c>
      <c r="N14" t="s">
        <v>374</v>
      </c>
      <c r="O14">
        <v>1</v>
      </c>
      <c r="U14">
        <v>13</v>
      </c>
      <c r="V14" t="s">
        <v>329</v>
      </c>
      <c r="W14" t="s">
        <v>628</v>
      </c>
      <c r="X14">
        <v>1</v>
      </c>
      <c r="AD14">
        <v>13</v>
      </c>
      <c r="AE14" t="s">
        <v>327</v>
      </c>
      <c r="AF14" t="s">
        <v>634</v>
      </c>
      <c r="AG14">
        <v>1</v>
      </c>
      <c r="AN14">
        <v>13</v>
      </c>
      <c r="AO14" t="s">
        <v>332</v>
      </c>
      <c r="AP14" t="s">
        <v>650</v>
      </c>
      <c r="AQ14">
        <v>1</v>
      </c>
    </row>
    <row r="15" spans="1:44" x14ac:dyDescent="0.2">
      <c r="D15">
        <v>14</v>
      </c>
      <c r="E15" t="s">
        <v>327</v>
      </c>
      <c r="F15" t="s">
        <v>343</v>
      </c>
      <c r="G15">
        <v>1</v>
      </c>
      <c r="L15">
        <v>14</v>
      </c>
      <c r="M15" t="s">
        <v>327</v>
      </c>
      <c r="N15" t="s">
        <v>367</v>
      </c>
      <c r="O15">
        <v>1</v>
      </c>
      <c r="U15">
        <v>14</v>
      </c>
      <c r="V15" t="s">
        <v>329</v>
      </c>
      <c r="W15" t="s">
        <v>549</v>
      </c>
      <c r="X15">
        <v>1</v>
      </c>
      <c r="AD15">
        <v>14</v>
      </c>
      <c r="AE15" t="s">
        <v>329</v>
      </c>
      <c r="AF15" t="s">
        <v>620</v>
      </c>
      <c r="AG15">
        <v>1</v>
      </c>
      <c r="AN15">
        <v>14</v>
      </c>
      <c r="AO15" t="s">
        <v>327</v>
      </c>
      <c r="AP15" t="s">
        <v>625</v>
      </c>
      <c r="AQ15">
        <v>1</v>
      </c>
    </row>
    <row r="16" spans="1:44" x14ac:dyDescent="0.2">
      <c r="D16">
        <v>15</v>
      </c>
      <c r="E16" t="s">
        <v>327</v>
      </c>
      <c r="F16" t="s">
        <v>344</v>
      </c>
      <c r="G16">
        <v>1</v>
      </c>
      <c r="L16">
        <v>15</v>
      </c>
      <c r="M16" t="s">
        <v>329</v>
      </c>
      <c r="N16" t="s">
        <v>352</v>
      </c>
      <c r="O16">
        <v>1</v>
      </c>
      <c r="U16">
        <v>15</v>
      </c>
      <c r="V16" t="s">
        <v>329</v>
      </c>
      <c r="W16" t="s">
        <v>555</v>
      </c>
      <c r="X16">
        <v>1</v>
      </c>
      <c r="AD16">
        <v>15</v>
      </c>
      <c r="AE16" t="s">
        <v>327</v>
      </c>
      <c r="AF16" t="s">
        <v>617</v>
      </c>
      <c r="AG16">
        <v>1</v>
      </c>
      <c r="AN16">
        <v>15</v>
      </c>
      <c r="AO16" t="s">
        <v>332</v>
      </c>
      <c r="AP16" t="s">
        <v>616</v>
      </c>
      <c r="AQ16">
        <v>1</v>
      </c>
    </row>
    <row r="17" spans="4:44" x14ac:dyDescent="0.2">
      <c r="D17">
        <v>16</v>
      </c>
      <c r="E17" t="s">
        <v>332</v>
      </c>
      <c r="F17" t="s">
        <v>345</v>
      </c>
      <c r="G17">
        <v>1</v>
      </c>
      <c r="L17">
        <v>16</v>
      </c>
      <c r="M17" t="s">
        <v>332</v>
      </c>
      <c r="N17" t="s">
        <v>366</v>
      </c>
      <c r="O17">
        <v>1</v>
      </c>
      <c r="U17">
        <v>16</v>
      </c>
      <c r="V17" t="s">
        <v>332</v>
      </c>
      <c r="W17" t="s">
        <v>629</v>
      </c>
      <c r="X17">
        <v>1</v>
      </c>
      <c r="AD17">
        <v>16</v>
      </c>
      <c r="AE17" t="s">
        <v>327</v>
      </c>
      <c r="AF17" t="s">
        <v>636</v>
      </c>
      <c r="AG17">
        <v>0</v>
      </c>
      <c r="AH17" t="s">
        <v>690</v>
      </c>
      <c r="AN17">
        <v>16</v>
      </c>
      <c r="AO17" t="s">
        <v>329</v>
      </c>
      <c r="AP17" t="s">
        <v>621</v>
      </c>
      <c r="AQ17">
        <v>1</v>
      </c>
    </row>
    <row r="18" spans="4:44" x14ac:dyDescent="0.2">
      <c r="D18">
        <v>7</v>
      </c>
      <c r="E18" t="s">
        <v>327</v>
      </c>
      <c r="F18" t="s">
        <v>346</v>
      </c>
      <c r="G18">
        <v>1</v>
      </c>
      <c r="L18">
        <v>17</v>
      </c>
      <c r="M18" t="s">
        <v>332</v>
      </c>
      <c r="N18" t="s">
        <v>340</v>
      </c>
      <c r="O18">
        <v>1</v>
      </c>
      <c r="U18">
        <v>17</v>
      </c>
      <c r="V18" t="s">
        <v>329</v>
      </c>
      <c r="W18" t="s">
        <v>630</v>
      </c>
      <c r="X18">
        <v>1</v>
      </c>
      <c r="AD18">
        <v>17</v>
      </c>
      <c r="AE18" t="s">
        <v>329</v>
      </c>
      <c r="AF18" t="s">
        <v>622</v>
      </c>
      <c r="AG18">
        <v>1</v>
      </c>
      <c r="AN18">
        <v>17</v>
      </c>
      <c r="AO18" t="s">
        <v>327</v>
      </c>
      <c r="AP18" t="s">
        <v>643</v>
      </c>
      <c r="AQ18">
        <v>1</v>
      </c>
    </row>
    <row r="19" spans="4:44" x14ac:dyDescent="0.2">
      <c r="D19">
        <v>18</v>
      </c>
      <c r="E19" t="s">
        <v>327</v>
      </c>
      <c r="F19" t="s">
        <v>347</v>
      </c>
      <c r="G19">
        <v>1</v>
      </c>
      <c r="L19">
        <v>18</v>
      </c>
      <c r="M19" t="s">
        <v>327</v>
      </c>
      <c r="N19" t="s">
        <v>343</v>
      </c>
      <c r="O19">
        <v>1</v>
      </c>
      <c r="U19">
        <v>18</v>
      </c>
      <c r="V19" t="s">
        <v>327</v>
      </c>
      <c r="W19" t="s">
        <v>631</v>
      </c>
      <c r="X19">
        <v>1</v>
      </c>
      <c r="AD19">
        <v>18</v>
      </c>
      <c r="AE19" t="s">
        <v>332</v>
      </c>
      <c r="AF19" t="s">
        <v>618</v>
      </c>
      <c r="AG19">
        <v>1</v>
      </c>
      <c r="AN19">
        <v>18</v>
      </c>
      <c r="AO19" t="s">
        <v>332</v>
      </c>
      <c r="AP19" t="s">
        <v>619</v>
      </c>
      <c r="AQ19">
        <v>1</v>
      </c>
    </row>
    <row r="20" spans="4:44" x14ac:dyDescent="0.2">
      <c r="D20">
        <v>19</v>
      </c>
      <c r="E20" t="s">
        <v>327</v>
      </c>
      <c r="F20" t="s">
        <v>348</v>
      </c>
      <c r="G20" s="5">
        <v>0</v>
      </c>
      <c r="H20" t="s">
        <v>376</v>
      </c>
      <c r="L20">
        <v>19</v>
      </c>
      <c r="M20" t="s">
        <v>329</v>
      </c>
      <c r="N20" t="s">
        <v>356</v>
      </c>
      <c r="O20">
        <v>1</v>
      </c>
      <c r="U20">
        <v>19</v>
      </c>
      <c r="V20" t="s">
        <v>327</v>
      </c>
      <c r="W20" t="s">
        <v>632</v>
      </c>
      <c r="X20">
        <v>0</v>
      </c>
      <c r="Y20" s="22" t="s">
        <v>689</v>
      </c>
      <c r="AD20">
        <v>19</v>
      </c>
      <c r="AE20" t="s">
        <v>327</v>
      </c>
      <c r="AF20" t="s">
        <v>654</v>
      </c>
      <c r="AG20">
        <v>0</v>
      </c>
      <c r="AH20" t="s">
        <v>747</v>
      </c>
      <c r="AN20">
        <v>19</v>
      </c>
      <c r="AO20" t="s">
        <v>327</v>
      </c>
      <c r="AP20" t="s">
        <v>654</v>
      </c>
      <c r="AQ20">
        <v>0</v>
      </c>
      <c r="AR20" t="s">
        <v>747</v>
      </c>
    </row>
    <row r="21" spans="4:44" x14ac:dyDescent="0.2">
      <c r="D21">
        <v>20</v>
      </c>
      <c r="E21" t="s">
        <v>332</v>
      </c>
      <c r="F21" t="s">
        <v>349</v>
      </c>
      <c r="G21">
        <v>1</v>
      </c>
      <c r="L21">
        <v>20</v>
      </c>
      <c r="M21" t="s">
        <v>329</v>
      </c>
      <c r="N21" t="s">
        <v>330</v>
      </c>
      <c r="O21">
        <v>1</v>
      </c>
      <c r="U21">
        <v>20</v>
      </c>
      <c r="V21" t="s">
        <v>327</v>
      </c>
      <c r="W21" t="s">
        <v>633</v>
      </c>
      <c r="X21">
        <v>1</v>
      </c>
      <c r="AD21">
        <v>20</v>
      </c>
      <c r="AE21" t="s">
        <v>329</v>
      </c>
      <c r="AF21" t="s">
        <v>639</v>
      </c>
      <c r="AG21">
        <v>1</v>
      </c>
      <c r="AN21">
        <v>20</v>
      </c>
      <c r="AO21" t="s">
        <v>332</v>
      </c>
      <c r="AP21" t="s">
        <v>651</v>
      </c>
      <c r="AQ21">
        <v>1</v>
      </c>
    </row>
    <row r="22" spans="4:44" x14ac:dyDescent="0.2">
      <c r="D22">
        <v>21</v>
      </c>
      <c r="E22" t="s">
        <v>329</v>
      </c>
      <c r="F22" t="s">
        <v>350</v>
      </c>
      <c r="G22">
        <v>1</v>
      </c>
      <c r="L22">
        <v>21</v>
      </c>
      <c r="M22" t="s">
        <v>332</v>
      </c>
      <c r="N22" t="s">
        <v>333</v>
      </c>
      <c r="O22">
        <v>1</v>
      </c>
      <c r="U22">
        <v>21</v>
      </c>
      <c r="V22" t="s">
        <v>327</v>
      </c>
      <c r="W22" t="s">
        <v>634</v>
      </c>
      <c r="X22">
        <v>1</v>
      </c>
      <c r="AD22">
        <v>21</v>
      </c>
      <c r="AE22" t="s">
        <v>332</v>
      </c>
      <c r="AF22" t="s">
        <v>650</v>
      </c>
      <c r="AG22">
        <v>1</v>
      </c>
      <c r="AN22">
        <v>21</v>
      </c>
      <c r="AO22" t="s">
        <v>329</v>
      </c>
      <c r="AP22" t="s">
        <v>630</v>
      </c>
      <c r="AQ22">
        <v>1</v>
      </c>
    </row>
    <row r="23" spans="4:44" x14ac:dyDescent="0.2">
      <c r="D23">
        <v>22</v>
      </c>
      <c r="E23" t="s">
        <v>327</v>
      </c>
      <c r="F23" t="s">
        <v>351</v>
      </c>
      <c r="G23">
        <v>1</v>
      </c>
      <c r="L23">
        <v>22</v>
      </c>
      <c r="M23" t="s">
        <v>329</v>
      </c>
      <c r="N23" t="s">
        <v>360</v>
      </c>
      <c r="O23">
        <v>1</v>
      </c>
      <c r="U23">
        <v>22</v>
      </c>
      <c r="V23" t="s">
        <v>329</v>
      </c>
      <c r="W23" t="s">
        <v>635</v>
      </c>
      <c r="X23">
        <v>1</v>
      </c>
      <c r="AD23">
        <v>22</v>
      </c>
      <c r="AE23" t="s">
        <v>327</v>
      </c>
      <c r="AF23" t="s">
        <v>632</v>
      </c>
      <c r="AG23">
        <v>1</v>
      </c>
      <c r="AN23">
        <v>22</v>
      </c>
      <c r="AO23" t="s">
        <v>327</v>
      </c>
      <c r="AP23" t="s">
        <v>631</v>
      </c>
      <c r="AQ23">
        <v>1</v>
      </c>
    </row>
    <row r="24" spans="4:44" x14ac:dyDescent="0.2">
      <c r="D24">
        <v>23</v>
      </c>
      <c r="E24" t="s">
        <v>329</v>
      </c>
      <c r="F24" t="s">
        <v>352</v>
      </c>
      <c r="G24">
        <v>1</v>
      </c>
      <c r="L24">
        <v>23</v>
      </c>
      <c r="M24" t="s">
        <v>327</v>
      </c>
      <c r="N24" t="s">
        <v>338</v>
      </c>
      <c r="O24">
        <v>0</v>
      </c>
      <c r="P24" t="s">
        <v>775</v>
      </c>
      <c r="U24">
        <v>23</v>
      </c>
      <c r="V24" t="s">
        <v>327</v>
      </c>
      <c r="W24" t="s">
        <v>636</v>
      </c>
      <c r="X24">
        <v>0</v>
      </c>
      <c r="Y24" t="s">
        <v>690</v>
      </c>
      <c r="AD24">
        <v>23</v>
      </c>
      <c r="AE24" t="s">
        <v>327</v>
      </c>
      <c r="AF24" t="s">
        <v>638</v>
      </c>
      <c r="AG24">
        <v>1</v>
      </c>
      <c r="AN24">
        <v>23</v>
      </c>
      <c r="AO24" t="s">
        <v>332</v>
      </c>
      <c r="AP24" t="s">
        <v>655</v>
      </c>
      <c r="AQ24">
        <v>1</v>
      </c>
    </row>
    <row r="25" spans="4:44" x14ac:dyDescent="0.2">
      <c r="D25">
        <v>24</v>
      </c>
      <c r="E25" t="s">
        <v>329</v>
      </c>
      <c r="F25" t="s">
        <v>353</v>
      </c>
      <c r="G25">
        <v>1</v>
      </c>
      <c r="L25">
        <v>24</v>
      </c>
      <c r="M25" t="s">
        <v>329</v>
      </c>
      <c r="N25" t="s">
        <v>355</v>
      </c>
      <c r="O25">
        <v>0</v>
      </c>
      <c r="P25" s="22" t="s">
        <v>776</v>
      </c>
      <c r="U25">
        <v>24</v>
      </c>
      <c r="V25" t="s">
        <v>332</v>
      </c>
      <c r="W25" t="s">
        <v>637</v>
      </c>
      <c r="X25">
        <v>1</v>
      </c>
      <c r="AD25">
        <v>24</v>
      </c>
      <c r="AE25" t="s">
        <v>332</v>
      </c>
      <c r="AF25" t="s">
        <v>655</v>
      </c>
      <c r="AG25">
        <v>1</v>
      </c>
      <c r="AN25">
        <v>24</v>
      </c>
      <c r="AO25" t="s">
        <v>327</v>
      </c>
      <c r="AP25" t="s">
        <v>617</v>
      </c>
      <c r="AQ25">
        <v>1</v>
      </c>
    </row>
    <row r="26" spans="4:44" x14ac:dyDescent="0.2">
      <c r="D26">
        <v>25</v>
      </c>
      <c r="E26" t="s">
        <v>332</v>
      </c>
      <c r="F26" t="s">
        <v>354</v>
      </c>
      <c r="G26">
        <v>1</v>
      </c>
      <c r="L26">
        <v>25</v>
      </c>
      <c r="M26" t="s">
        <v>332</v>
      </c>
      <c r="N26" t="s">
        <v>334</v>
      </c>
      <c r="O26">
        <v>1</v>
      </c>
      <c r="U26">
        <v>25</v>
      </c>
      <c r="V26" t="s">
        <v>327</v>
      </c>
      <c r="W26" t="s">
        <v>638</v>
      </c>
      <c r="X26">
        <v>1</v>
      </c>
      <c r="AD26">
        <v>25</v>
      </c>
      <c r="AE26" t="s">
        <v>329</v>
      </c>
      <c r="AF26" t="s">
        <v>658</v>
      </c>
      <c r="AG26">
        <v>1</v>
      </c>
      <c r="AN26">
        <v>25</v>
      </c>
      <c r="AO26" t="s">
        <v>327</v>
      </c>
      <c r="AP26" t="s">
        <v>641</v>
      </c>
      <c r="AQ26">
        <v>1</v>
      </c>
    </row>
    <row r="27" spans="4:44" x14ac:dyDescent="0.2">
      <c r="D27">
        <v>26</v>
      </c>
      <c r="E27" t="s">
        <v>329</v>
      </c>
      <c r="F27" t="s">
        <v>355</v>
      </c>
      <c r="G27" s="5">
        <v>0</v>
      </c>
      <c r="H27" t="s">
        <v>377</v>
      </c>
      <c r="L27">
        <v>26</v>
      </c>
      <c r="M27" t="s">
        <v>327</v>
      </c>
      <c r="N27" t="s">
        <v>337</v>
      </c>
      <c r="O27">
        <v>0</v>
      </c>
      <c r="P27" t="s">
        <v>777</v>
      </c>
      <c r="U27">
        <v>26</v>
      </c>
      <c r="V27" t="s">
        <v>329</v>
      </c>
      <c r="W27" t="s">
        <v>639</v>
      </c>
      <c r="X27">
        <v>1</v>
      </c>
      <c r="AD27">
        <v>26</v>
      </c>
      <c r="AE27" t="s">
        <v>329</v>
      </c>
      <c r="AF27" t="s">
        <v>645</v>
      </c>
      <c r="AG27">
        <v>1</v>
      </c>
      <c r="AN27">
        <v>26</v>
      </c>
      <c r="AO27" t="s">
        <v>329</v>
      </c>
      <c r="AP27" t="s">
        <v>624</v>
      </c>
      <c r="AQ27">
        <v>1</v>
      </c>
    </row>
    <row r="28" spans="4:44" x14ac:dyDescent="0.2">
      <c r="D28">
        <v>27</v>
      </c>
      <c r="E28" t="s">
        <v>329</v>
      </c>
      <c r="F28" t="s">
        <v>356</v>
      </c>
      <c r="G28">
        <v>1</v>
      </c>
      <c r="L28">
        <v>27</v>
      </c>
      <c r="M28" t="s">
        <v>329</v>
      </c>
      <c r="N28" t="s">
        <v>350</v>
      </c>
      <c r="O28">
        <v>1</v>
      </c>
      <c r="U28">
        <v>27</v>
      </c>
      <c r="V28" t="s">
        <v>327</v>
      </c>
      <c r="W28" t="s">
        <v>640</v>
      </c>
      <c r="X28">
        <v>1</v>
      </c>
      <c r="AD28">
        <v>27</v>
      </c>
      <c r="AE28" t="s">
        <v>327</v>
      </c>
      <c r="AF28" t="s">
        <v>643</v>
      </c>
      <c r="AG28">
        <v>1</v>
      </c>
      <c r="AN28">
        <v>27</v>
      </c>
      <c r="AO28" t="s">
        <v>327</v>
      </c>
      <c r="AP28" t="s">
        <v>634</v>
      </c>
      <c r="AQ28">
        <v>1</v>
      </c>
    </row>
    <row r="29" spans="4:44" x14ac:dyDescent="0.2">
      <c r="D29">
        <v>28</v>
      </c>
      <c r="E29" t="s">
        <v>329</v>
      </c>
      <c r="F29" t="s">
        <v>357</v>
      </c>
      <c r="G29">
        <v>1</v>
      </c>
      <c r="L29">
        <v>28</v>
      </c>
      <c r="M29" t="s">
        <v>329</v>
      </c>
      <c r="N29" t="s">
        <v>342</v>
      </c>
      <c r="O29">
        <v>1</v>
      </c>
      <c r="U29">
        <v>28</v>
      </c>
      <c r="V29" t="s">
        <v>327</v>
      </c>
      <c r="W29" t="s">
        <v>641</v>
      </c>
      <c r="X29">
        <v>1</v>
      </c>
      <c r="AD29">
        <v>28</v>
      </c>
      <c r="AE29" t="s">
        <v>332</v>
      </c>
      <c r="AF29" t="s">
        <v>657</v>
      </c>
      <c r="AG29">
        <v>1</v>
      </c>
      <c r="AN29">
        <v>28</v>
      </c>
      <c r="AO29" t="s">
        <v>332</v>
      </c>
      <c r="AP29" t="s">
        <v>646</v>
      </c>
      <c r="AQ29">
        <v>1</v>
      </c>
    </row>
    <row r="30" spans="4:44" x14ac:dyDescent="0.2">
      <c r="D30">
        <v>29</v>
      </c>
      <c r="E30" t="s">
        <v>327</v>
      </c>
      <c r="F30" t="s">
        <v>358</v>
      </c>
      <c r="G30">
        <v>1</v>
      </c>
      <c r="L30">
        <v>29</v>
      </c>
      <c r="M30" t="s">
        <v>327</v>
      </c>
      <c r="N30" t="s">
        <v>328</v>
      </c>
      <c r="O30">
        <v>1</v>
      </c>
      <c r="U30">
        <v>29</v>
      </c>
      <c r="V30" t="s">
        <v>327</v>
      </c>
      <c r="W30" t="s">
        <v>642</v>
      </c>
      <c r="X30">
        <v>0</v>
      </c>
      <c r="Y30" t="s">
        <v>691</v>
      </c>
      <c r="AD30">
        <v>29</v>
      </c>
      <c r="AE30" t="s">
        <v>327</v>
      </c>
      <c r="AF30" t="s">
        <v>641</v>
      </c>
      <c r="AG30">
        <v>1</v>
      </c>
      <c r="AN30">
        <v>29</v>
      </c>
      <c r="AO30" t="s">
        <v>327</v>
      </c>
      <c r="AP30" t="s">
        <v>638</v>
      </c>
      <c r="AQ30">
        <v>1</v>
      </c>
    </row>
    <row r="31" spans="4:44" x14ac:dyDescent="0.2">
      <c r="D31">
        <v>30</v>
      </c>
      <c r="E31" t="s">
        <v>332</v>
      </c>
      <c r="F31" t="s">
        <v>359</v>
      </c>
      <c r="G31">
        <v>1</v>
      </c>
      <c r="L31">
        <v>30</v>
      </c>
      <c r="M31" t="s">
        <v>329</v>
      </c>
      <c r="N31" t="s">
        <v>372</v>
      </c>
      <c r="O31">
        <v>1</v>
      </c>
      <c r="U31">
        <v>30</v>
      </c>
      <c r="V31" t="s">
        <v>327</v>
      </c>
      <c r="W31" t="s">
        <v>643</v>
      </c>
      <c r="X31">
        <v>1</v>
      </c>
      <c r="AD31">
        <v>30</v>
      </c>
      <c r="AE31" t="s">
        <v>332</v>
      </c>
      <c r="AF31" t="s">
        <v>619</v>
      </c>
      <c r="AG31">
        <v>1</v>
      </c>
      <c r="AN31">
        <v>30</v>
      </c>
      <c r="AO31" t="s">
        <v>329</v>
      </c>
      <c r="AP31" t="s">
        <v>623</v>
      </c>
      <c r="AQ31">
        <v>1</v>
      </c>
    </row>
    <row r="32" spans="4:44" x14ac:dyDescent="0.2">
      <c r="D32">
        <v>31</v>
      </c>
      <c r="E32" t="s">
        <v>329</v>
      </c>
      <c r="F32" t="s">
        <v>360</v>
      </c>
      <c r="G32">
        <v>1</v>
      </c>
      <c r="L32">
        <v>31</v>
      </c>
      <c r="M32" t="s">
        <v>327</v>
      </c>
      <c r="N32" t="s">
        <v>358</v>
      </c>
      <c r="O32">
        <v>1</v>
      </c>
      <c r="U32">
        <v>31</v>
      </c>
      <c r="V32" t="s">
        <v>332</v>
      </c>
      <c r="W32" t="s">
        <v>644</v>
      </c>
      <c r="X32">
        <v>1</v>
      </c>
      <c r="AD32">
        <v>31</v>
      </c>
      <c r="AE32" t="s">
        <v>332</v>
      </c>
      <c r="AF32" t="s">
        <v>653</v>
      </c>
      <c r="AG32">
        <v>1</v>
      </c>
      <c r="AN32">
        <v>31</v>
      </c>
      <c r="AO32" t="s">
        <v>327</v>
      </c>
      <c r="AP32" t="s">
        <v>636</v>
      </c>
      <c r="AQ32">
        <v>0</v>
      </c>
      <c r="AR32" t="s">
        <v>690</v>
      </c>
    </row>
    <row r="33" spans="4:44" x14ac:dyDescent="0.2">
      <c r="D33">
        <v>32</v>
      </c>
      <c r="E33" t="s">
        <v>329</v>
      </c>
      <c r="F33" t="s">
        <v>361</v>
      </c>
      <c r="G33">
        <v>1</v>
      </c>
      <c r="L33">
        <v>32</v>
      </c>
      <c r="M33" t="s">
        <v>327</v>
      </c>
      <c r="N33" t="s">
        <v>344</v>
      </c>
      <c r="O33">
        <v>1</v>
      </c>
      <c r="U33">
        <v>32</v>
      </c>
      <c r="V33" t="s">
        <v>329</v>
      </c>
      <c r="W33" t="s">
        <v>645</v>
      </c>
      <c r="X33">
        <v>1</v>
      </c>
      <c r="AD33">
        <v>32</v>
      </c>
      <c r="AE33" t="s">
        <v>332</v>
      </c>
      <c r="AF33" t="s">
        <v>647</v>
      </c>
      <c r="AG33">
        <v>1</v>
      </c>
      <c r="AN33">
        <v>32</v>
      </c>
      <c r="AO33" t="s">
        <v>329</v>
      </c>
      <c r="AP33" t="s">
        <v>620</v>
      </c>
      <c r="AQ33">
        <v>1</v>
      </c>
    </row>
    <row r="34" spans="4:44" x14ac:dyDescent="0.2">
      <c r="D34">
        <v>33</v>
      </c>
      <c r="E34" t="s">
        <v>327</v>
      </c>
      <c r="F34" t="s">
        <v>362</v>
      </c>
      <c r="G34">
        <v>1</v>
      </c>
      <c r="L34">
        <v>33</v>
      </c>
      <c r="M34" t="s">
        <v>332</v>
      </c>
      <c r="N34" t="s">
        <v>373</v>
      </c>
      <c r="O34">
        <v>1</v>
      </c>
      <c r="U34">
        <v>33</v>
      </c>
      <c r="V34" t="s">
        <v>332</v>
      </c>
      <c r="W34" t="s">
        <v>646</v>
      </c>
      <c r="X34">
        <v>1</v>
      </c>
      <c r="AD34">
        <v>33</v>
      </c>
      <c r="AE34" t="s">
        <v>329</v>
      </c>
      <c r="AF34" t="s">
        <v>656</v>
      </c>
      <c r="AG34">
        <v>1</v>
      </c>
      <c r="AN34">
        <v>33</v>
      </c>
      <c r="AO34" t="s">
        <v>329</v>
      </c>
      <c r="AP34" t="s">
        <v>635</v>
      </c>
      <c r="AQ34">
        <v>1</v>
      </c>
    </row>
    <row r="35" spans="4:44" x14ac:dyDescent="0.2">
      <c r="D35">
        <v>34</v>
      </c>
      <c r="E35" t="s">
        <v>327</v>
      </c>
      <c r="F35" t="s">
        <v>363</v>
      </c>
      <c r="G35">
        <v>1</v>
      </c>
      <c r="L35">
        <v>34</v>
      </c>
      <c r="M35" t="s">
        <v>327</v>
      </c>
      <c r="N35" t="s">
        <v>371</v>
      </c>
      <c r="O35">
        <v>1</v>
      </c>
      <c r="U35">
        <v>34</v>
      </c>
      <c r="V35" t="s">
        <v>332</v>
      </c>
      <c r="W35" t="s">
        <v>647</v>
      </c>
      <c r="X35">
        <v>1</v>
      </c>
      <c r="AD35">
        <v>34</v>
      </c>
      <c r="AE35" t="s">
        <v>332</v>
      </c>
      <c r="AF35" t="s">
        <v>652</v>
      </c>
      <c r="AG35">
        <v>1</v>
      </c>
      <c r="AN35">
        <v>34</v>
      </c>
      <c r="AO35" t="s">
        <v>332</v>
      </c>
      <c r="AP35" t="s">
        <v>657</v>
      </c>
      <c r="AQ35">
        <v>1</v>
      </c>
    </row>
    <row r="36" spans="4:44" x14ac:dyDescent="0.2">
      <c r="D36">
        <v>35</v>
      </c>
      <c r="E36" t="s">
        <v>329</v>
      </c>
      <c r="F36" t="s">
        <v>364</v>
      </c>
      <c r="G36">
        <v>1</v>
      </c>
      <c r="L36">
        <v>35</v>
      </c>
      <c r="M36" t="s">
        <v>332</v>
      </c>
      <c r="N36" t="s">
        <v>359</v>
      </c>
      <c r="O36">
        <v>1</v>
      </c>
      <c r="U36">
        <v>35</v>
      </c>
      <c r="V36" t="s">
        <v>327</v>
      </c>
      <c r="W36" t="s">
        <v>648</v>
      </c>
      <c r="X36">
        <v>1</v>
      </c>
      <c r="AD36">
        <v>35</v>
      </c>
      <c r="AE36" t="s">
        <v>329</v>
      </c>
      <c r="AF36" t="s">
        <v>626</v>
      </c>
      <c r="AG36">
        <v>1</v>
      </c>
      <c r="AN36">
        <v>35</v>
      </c>
      <c r="AO36" t="s">
        <v>327</v>
      </c>
      <c r="AP36" t="s">
        <v>627</v>
      </c>
      <c r="AQ36">
        <v>1</v>
      </c>
    </row>
    <row r="37" spans="4:44" x14ac:dyDescent="0.2">
      <c r="D37">
        <v>36</v>
      </c>
      <c r="E37" t="s">
        <v>332</v>
      </c>
      <c r="F37" t="s">
        <v>365</v>
      </c>
      <c r="G37">
        <v>1</v>
      </c>
      <c r="L37">
        <v>36</v>
      </c>
      <c r="M37" t="s">
        <v>332</v>
      </c>
      <c r="N37" t="s">
        <v>335</v>
      </c>
      <c r="O37">
        <v>1</v>
      </c>
      <c r="U37">
        <v>36</v>
      </c>
      <c r="V37" t="s">
        <v>332</v>
      </c>
      <c r="W37" t="s">
        <v>649</v>
      </c>
      <c r="X37">
        <v>1</v>
      </c>
      <c r="AD37">
        <v>36</v>
      </c>
      <c r="AE37" t="s">
        <v>327</v>
      </c>
      <c r="AF37" t="s">
        <v>633</v>
      </c>
      <c r="AG37">
        <v>0</v>
      </c>
      <c r="AH37" t="s">
        <v>748</v>
      </c>
      <c r="AN37">
        <v>36</v>
      </c>
      <c r="AO37" t="s">
        <v>329</v>
      </c>
      <c r="AP37" t="s">
        <v>555</v>
      </c>
      <c r="AQ37">
        <v>1</v>
      </c>
    </row>
    <row r="38" spans="4:44" x14ac:dyDescent="0.2">
      <c r="D38">
        <v>37</v>
      </c>
      <c r="E38" t="s">
        <v>332</v>
      </c>
      <c r="F38" t="s">
        <v>366</v>
      </c>
      <c r="G38">
        <v>1</v>
      </c>
      <c r="L38">
        <v>37</v>
      </c>
      <c r="M38" t="s">
        <v>327</v>
      </c>
      <c r="N38" t="s">
        <v>351</v>
      </c>
      <c r="O38">
        <v>1</v>
      </c>
      <c r="U38">
        <v>37</v>
      </c>
      <c r="V38" t="s">
        <v>332</v>
      </c>
      <c r="W38" t="s">
        <v>650</v>
      </c>
      <c r="X38">
        <v>1</v>
      </c>
      <c r="AD38">
        <v>37</v>
      </c>
      <c r="AE38" t="s">
        <v>332</v>
      </c>
      <c r="AF38" t="s">
        <v>616</v>
      </c>
      <c r="AG38">
        <v>1</v>
      </c>
      <c r="AN38">
        <v>37</v>
      </c>
      <c r="AO38" t="s">
        <v>332</v>
      </c>
      <c r="AP38" t="s">
        <v>629</v>
      </c>
      <c r="AQ38">
        <v>1</v>
      </c>
    </row>
    <row r="39" spans="4:44" x14ac:dyDescent="0.2">
      <c r="D39">
        <v>38</v>
      </c>
      <c r="E39" t="s">
        <v>327</v>
      </c>
      <c r="F39" t="s">
        <v>367</v>
      </c>
      <c r="G39">
        <v>1</v>
      </c>
      <c r="L39">
        <v>38</v>
      </c>
      <c r="M39" t="s">
        <v>332</v>
      </c>
      <c r="N39" t="s">
        <v>369</v>
      </c>
      <c r="O39">
        <v>1</v>
      </c>
      <c r="U39">
        <v>38</v>
      </c>
      <c r="V39" t="s">
        <v>332</v>
      </c>
      <c r="W39" t="s">
        <v>651</v>
      </c>
      <c r="X39">
        <v>1</v>
      </c>
      <c r="AD39">
        <v>38</v>
      </c>
      <c r="AE39" t="s">
        <v>327</v>
      </c>
      <c r="AF39" t="s">
        <v>631</v>
      </c>
      <c r="AG39">
        <v>1</v>
      </c>
      <c r="AN39">
        <v>38</v>
      </c>
      <c r="AO39" t="s">
        <v>332</v>
      </c>
      <c r="AP39" t="s">
        <v>649</v>
      </c>
      <c r="AQ39">
        <v>1</v>
      </c>
      <c r="AR39" t="s">
        <v>854</v>
      </c>
    </row>
    <row r="40" spans="4:44" x14ac:dyDescent="0.2">
      <c r="D40">
        <v>39</v>
      </c>
      <c r="E40" t="s">
        <v>332</v>
      </c>
      <c r="F40" t="s">
        <v>368</v>
      </c>
      <c r="G40">
        <v>1</v>
      </c>
      <c r="L40">
        <v>39</v>
      </c>
      <c r="M40" t="s">
        <v>332</v>
      </c>
      <c r="N40" t="s">
        <v>349</v>
      </c>
      <c r="O40">
        <v>1</v>
      </c>
      <c r="U40">
        <v>39</v>
      </c>
      <c r="V40" t="s">
        <v>332</v>
      </c>
      <c r="W40" t="s">
        <v>652</v>
      </c>
      <c r="X40">
        <v>0</v>
      </c>
      <c r="Y40" s="23" t="s">
        <v>692</v>
      </c>
      <c r="AD40">
        <v>39</v>
      </c>
      <c r="AE40" t="s">
        <v>327</v>
      </c>
      <c r="AF40" t="s">
        <v>640</v>
      </c>
      <c r="AG40">
        <v>1</v>
      </c>
      <c r="AN40">
        <v>39</v>
      </c>
      <c r="AO40" t="s">
        <v>329</v>
      </c>
      <c r="AP40" t="s">
        <v>626</v>
      </c>
      <c r="AQ40">
        <v>1</v>
      </c>
    </row>
    <row r="41" spans="4:44" x14ac:dyDescent="0.2">
      <c r="D41">
        <v>40</v>
      </c>
      <c r="E41" t="s">
        <v>332</v>
      </c>
      <c r="F41" t="s">
        <v>369</v>
      </c>
      <c r="G41">
        <v>1</v>
      </c>
      <c r="L41">
        <v>40</v>
      </c>
      <c r="M41" t="s">
        <v>332</v>
      </c>
      <c r="N41" t="s">
        <v>336</v>
      </c>
      <c r="O41">
        <v>1</v>
      </c>
      <c r="U41">
        <v>40</v>
      </c>
      <c r="V41" t="s">
        <v>332</v>
      </c>
      <c r="W41" t="s">
        <v>653</v>
      </c>
      <c r="X41">
        <v>1</v>
      </c>
      <c r="AD41">
        <v>40</v>
      </c>
      <c r="AE41" t="s">
        <v>329</v>
      </c>
      <c r="AF41" t="s">
        <v>635</v>
      </c>
      <c r="AG41">
        <v>1</v>
      </c>
      <c r="AN41">
        <v>40</v>
      </c>
      <c r="AO41" t="s">
        <v>329</v>
      </c>
      <c r="AP41" t="s">
        <v>658</v>
      </c>
      <c r="AQ41">
        <v>1</v>
      </c>
    </row>
    <row r="42" spans="4:44" x14ac:dyDescent="0.2">
      <c r="D42">
        <v>41</v>
      </c>
      <c r="E42" t="s">
        <v>332</v>
      </c>
      <c r="F42" t="s">
        <v>370</v>
      </c>
      <c r="G42">
        <v>1</v>
      </c>
      <c r="L42">
        <v>41</v>
      </c>
      <c r="M42" t="s">
        <v>327</v>
      </c>
      <c r="N42" t="s">
        <v>348</v>
      </c>
      <c r="O42">
        <v>0</v>
      </c>
      <c r="P42" t="s">
        <v>778</v>
      </c>
      <c r="U42">
        <v>41</v>
      </c>
      <c r="V42" t="s">
        <v>327</v>
      </c>
      <c r="W42" t="s">
        <v>654</v>
      </c>
      <c r="X42">
        <v>1</v>
      </c>
      <c r="AD42">
        <v>41</v>
      </c>
      <c r="AE42" t="s">
        <v>332</v>
      </c>
      <c r="AF42" t="s">
        <v>649</v>
      </c>
      <c r="AG42">
        <v>1</v>
      </c>
      <c r="AN42">
        <v>41</v>
      </c>
      <c r="AO42" t="s">
        <v>327</v>
      </c>
      <c r="AP42" t="s">
        <v>648</v>
      </c>
      <c r="AQ42">
        <v>1</v>
      </c>
    </row>
    <row r="43" spans="4:44" x14ac:dyDescent="0.2">
      <c r="D43">
        <v>42</v>
      </c>
      <c r="E43" t="s">
        <v>327</v>
      </c>
      <c r="F43" t="s">
        <v>371</v>
      </c>
      <c r="G43">
        <v>1</v>
      </c>
      <c r="L43">
        <v>42</v>
      </c>
      <c r="M43" t="s">
        <v>329</v>
      </c>
      <c r="N43" t="s">
        <v>353</v>
      </c>
      <c r="O43">
        <v>1</v>
      </c>
      <c r="U43">
        <v>42</v>
      </c>
      <c r="V43" t="s">
        <v>332</v>
      </c>
      <c r="W43" t="s">
        <v>655</v>
      </c>
      <c r="X43">
        <v>1</v>
      </c>
      <c r="AD43">
        <v>42</v>
      </c>
      <c r="AE43" t="s">
        <v>327</v>
      </c>
      <c r="AF43" t="s">
        <v>642</v>
      </c>
      <c r="AG43">
        <v>0</v>
      </c>
      <c r="AH43" t="s">
        <v>691</v>
      </c>
      <c r="AN43">
        <v>42</v>
      </c>
      <c r="AO43" t="s">
        <v>329</v>
      </c>
      <c r="AP43" t="s">
        <v>645</v>
      </c>
      <c r="AQ43">
        <v>1</v>
      </c>
    </row>
    <row r="44" spans="4:44" x14ac:dyDescent="0.2">
      <c r="D44">
        <v>43</v>
      </c>
      <c r="E44" t="s">
        <v>329</v>
      </c>
      <c r="F44" t="s">
        <v>372</v>
      </c>
      <c r="G44">
        <v>1</v>
      </c>
      <c r="L44">
        <v>43</v>
      </c>
      <c r="M44" t="s">
        <v>329</v>
      </c>
      <c r="N44" t="s">
        <v>341</v>
      </c>
      <c r="O44">
        <v>1</v>
      </c>
      <c r="U44">
        <v>43</v>
      </c>
      <c r="V44" t="s">
        <v>329</v>
      </c>
      <c r="W44" t="s">
        <v>656</v>
      </c>
      <c r="X44">
        <v>1</v>
      </c>
      <c r="AD44">
        <v>43</v>
      </c>
      <c r="AE44" t="s">
        <v>327</v>
      </c>
      <c r="AF44" t="s">
        <v>625</v>
      </c>
      <c r="AG44">
        <v>1</v>
      </c>
      <c r="AN44">
        <v>43</v>
      </c>
      <c r="AO44" t="s">
        <v>332</v>
      </c>
      <c r="AP44" t="s">
        <v>647</v>
      </c>
      <c r="AQ44">
        <v>1</v>
      </c>
    </row>
    <row r="45" spans="4:44" x14ac:dyDescent="0.2">
      <c r="D45">
        <v>44</v>
      </c>
      <c r="E45" t="s">
        <v>332</v>
      </c>
      <c r="F45" t="s">
        <v>373</v>
      </c>
      <c r="G45">
        <v>1</v>
      </c>
      <c r="L45">
        <v>44</v>
      </c>
      <c r="M45" t="s">
        <v>327</v>
      </c>
      <c r="N45" t="s">
        <v>362</v>
      </c>
      <c r="O45">
        <v>1</v>
      </c>
      <c r="U45">
        <v>44</v>
      </c>
      <c r="V45" t="s">
        <v>332</v>
      </c>
      <c r="W45" t="s">
        <v>657</v>
      </c>
      <c r="X45">
        <v>1</v>
      </c>
      <c r="AD45">
        <v>44</v>
      </c>
      <c r="AE45" t="s">
        <v>329</v>
      </c>
      <c r="AF45" t="s">
        <v>555</v>
      </c>
      <c r="AG45">
        <v>1</v>
      </c>
      <c r="AN45">
        <v>44</v>
      </c>
      <c r="AO45" t="s">
        <v>329</v>
      </c>
      <c r="AP45" t="s">
        <v>628</v>
      </c>
      <c r="AQ45">
        <v>1</v>
      </c>
    </row>
    <row r="46" spans="4:44" x14ac:dyDescent="0.2">
      <c r="D46">
        <v>45</v>
      </c>
      <c r="E46" t="s">
        <v>327</v>
      </c>
      <c r="F46" t="s">
        <v>374</v>
      </c>
      <c r="G46">
        <v>1</v>
      </c>
      <c r="L46">
        <v>45</v>
      </c>
      <c r="M46" t="s">
        <v>327</v>
      </c>
      <c r="N46" t="s">
        <v>347</v>
      </c>
      <c r="O46">
        <v>1</v>
      </c>
      <c r="U46">
        <v>45</v>
      </c>
      <c r="V46" t="s">
        <v>329</v>
      </c>
      <c r="W46" t="s">
        <v>658</v>
      </c>
      <c r="X46">
        <v>1</v>
      </c>
      <c r="AD46">
        <v>45</v>
      </c>
      <c r="AE46" t="s">
        <v>332</v>
      </c>
      <c r="AF46" t="s">
        <v>651</v>
      </c>
      <c r="AG46">
        <v>1</v>
      </c>
      <c r="AN46">
        <v>45</v>
      </c>
      <c r="AO46" t="s">
        <v>329</v>
      </c>
      <c r="AP46" t="s">
        <v>656</v>
      </c>
      <c r="AQ46">
        <v>1</v>
      </c>
    </row>
    <row r="47" spans="4:44" x14ac:dyDescent="0.2">
      <c r="X47" s="24">
        <f>SUM(X2:X46)</f>
        <v>41</v>
      </c>
      <c r="AG47" s="2">
        <f>SUM(AG2:AG46)</f>
        <v>41</v>
      </c>
      <c r="AQ47">
        <f>SUM(AQ2:AQ46)</f>
        <v>41</v>
      </c>
    </row>
    <row r="48" spans="4:44" x14ac:dyDescent="0.2">
      <c r="G48" s="13">
        <f>SUM(G2:G46)</f>
        <v>41</v>
      </c>
      <c r="O48">
        <f>SUM(O2:O47)</f>
        <v>40</v>
      </c>
    </row>
  </sheetData>
  <hyperlinks>
    <hyperlink ref="Y40" r:id="rId1" tooltip="API ɔ" display="https://fr.wikipedia.org/wiki/API_%C9%94" xr:uid="{00000000-0004-0000-0900-000000000000}"/>
  </hyperlinks>
  <pageMargins left="0.7" right="0.7" top="0.75" bottom="0.75" header="0.3" footer="0.3"/>
  <pageSetup paperSize="9" orientation="portrait" horizontalDpi="4294967294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W24"/>
  <sheetViews>
    <sheetView workbookViewId="0">
      <selection activeCell="AW16" sqref="AW16"/>
    </sheetView>
  </sheetViews>
  <sheetFormatPr baseColWidth="10" defaultColWidth="11.5" defaultRowHeight="15" x14ac:dyDescent="0.2"/>
  <cols>
    <col min="1" max="1" width="17.5" customWidth="1"/>
    <col min="6" max="6" width="17" bestFit="1" customWidth="1"/>
    <col min="7" max="7" width="31.6640625" bestFit="1" customWidth="1"/>
    <col min="11" max="11" width="16.5" bestFit="1" customWidth="1"/>
    <col min="15" max="15" width="15.5" bestFit="1" customWidth="1"/>
    <col min="16" max="16" width="18.6640625" bestFit="1" customWidth="1"/>
    <col min="17" max="17" width="21.6640625" bestFit="1" customWidth="1"/>
    <col min="21" max="21" width="16.5" bestFit="1" customWidth="1"/>
    <col min="26" max="26" width="32" customWidth="1"/>
    <col min="27" max="27" width="21.6640625" bestFit="1" customWidth="1"/>
    <col min="31" max="31" width="16.5" bestFit="1" customWidth="1"/>
    <col min="36" max="36" width="19.83203125" customWidth="1"/>
    <col min="37" max="37" width="21.6640625" bestFit="1" customWidth="1"/>
    <col min="42" max="42" width="35.5" customWidth="1"/>
    <col min="47" max="47" width="17.5" customWidth="1"/>
  </cols>
  <sheetData>
    <row r="1" spans="1:49" ht="16" x14ac:dyDescent="0.2">
      <c r="A1" s="1" t="s">
        <v>41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213</v>
      </c>
      <c r="G1" s="2" t="s">
        <v>4</v>
      </c>
      <c r="H1" s="2" t="s">
        <v>5</v>
      </c>
      <c r="I1" s="2" t="s">
        <v>6</v>
      </c>
      <c r="K1" s="1" t="s">
        <v>41</v>
      </c>
      <c r="L1" s="2" t="s">
        <v>0</v>
      </c>
      <c r="M1" s="2" t="s">
        <v>1</v>
      </c>
      <c r="N1" s="2" t="s">
        <v>2</v>
      </c>
      <c r="O1" s="2" t="s">
        <v>3</v>
      </c>
      <c r="P1" s="2" t="s">
        <v>213</v>
      </c>
      <c r="Q1" s="2" t="s">
        <v>4</v>
      </c>
      <c r="R1" s="2" t="s">
        <v>5</v>
      </c>
      <c r="S1" s="2" t="s">
        <v>6</v>
      </c>
      <c r="U1" s="1" t="s">
        <v>41</v>
      </c>
      <c r="V1" s="2" t="s">
        <v>0</v>
      </c>
      <c r="W1" s="2" t="s">
        <v>1</v>
      </c>
      <c r="X1" s="2" t="s">
        <v>2</v>
      </c>
      <c r="Y1" s="2" t="s">
        <v>3</v>
      </c>
      <c r="Z1" s="2" t="s">
        <v>213</v>
      </c>
      <c r="AA1" s="2" t="s">
        <v>4</v>
      </c>
      <c r="AB1" s="2" t="s">
        <v>5</v>
      </c>
      <c r="AC1" s="2" t="s">
        <v>6</v>
      </c>
      <c r="AE1" s="1" t="s">
        <v>41</v>
      </c>
      <c r="AF1" s="2" t="s">
        <v>0</v>
      </c>
      <c r="AG1" s="2" t="s">
        <v>1</v>
      </c>
      <c r="AH1" s="2" t="s">
        <v>2</v>
      </c>
      <c r="AI1" s="2" t="s">
        <v>3</v>
      </c>
      <c r="AJ1" s="2" t="s">
        <v>725</v>
      </c>
      <c r="AK1" s="2" t="s">
        <v>4</v>
      </c>
      <c r="AL1" s="2" t="s">
        <v>5</v>
      </c>
      <c r="AM1" s="2" t="s">
        <v>6</v>
      </c>
      <c r="AP1" s="1" t="s">
        <v>41</v>
      </c>
      <c r="AQ1" s="2" t="s">
        <v>0</v>
      </c>
      <c r="AR1" s="2" t="s">
        <v>1</v>
      </c>
      <c r="AS1" s="2" t="s">
        <v>2</v>
      </c>
      <c r="AT1" s="2" t="s">
        <v>3</v>
      </c>
      <c r="AU1" s="2" t="s">
        <v>725</v>
      </c>
      <c r="AV1" s="2" t="s">
        <v>4</v>
      </c>
      <c r="AW1" s="2" t="s">
        <v>5</v>
      </c>
    </row>
    <row r="2" spans="1:49" ht="16" x14ac:dyDescent="0.2">
      <c r="A2" s="3" t="s">
        <v>7</v>
      </c>
      <c r="B2">
        <v>2</v>
      </c>
      <c r="C2">
        <v>1</v>
      </c>
      <c r="D2">
        <v>1</v>
      </c>
      <c r="E2" t="s">
        <v>206</v>
      </c>
      <c r="F2" t="s">
        <v>192</v>
      </c>
      <c r="G2">
        <v>0</v>
      </c>
      <c r="H2">
        <v>1</v>
      </c>
      <c r="I2">
        <v>4867</v>
      </c>
      <c r="K2" s="3" t="s">
        <v>215</v>
      </c>
      <c r="L2">
        <v>1</v>
      </c>
      <c r="M2">
        <v>2</v>
      </c>
      <c r="N2">
        <v>1</v>
      </c>
      <c r="O2" t="s">
        <v>206</v>
      </c>
      <c r="P2" t="s">
        <v>202</v>
      </c>
      <c r="R2">
        <v>1</v>
      </c>
      <c r="S2">
        <v>8755</v>
      </c>
      <c r="U2" s="3" t="s">
        <v>216</v>
      </c>
      <c r="V2">
        <v>2</v>
      </c>
      <c r="W2">
        <v>3</v>
      </c>
      <c r="X2">
        <v>1</v>
      </c>
      <c r="Y2" t="s">
        <v>212</v>
      </c>
      <c r="Z2" t="s">
        <v>659</v>
      </c>
      <c r="AA2">
        <v>1</v>
      </c>
      <c r="AB2">
        <v>1</v>
      </c>
      <c r="AE2" s="3" t="s">
        <v>720</v>
      </c>
      <c r="AF2">
        <v>1</v>
      </c>
      <c r="AG2">
        <v>3</v>
      </c>
      <c r="AH2">
        <v>1</v>
      </c>
      <c r="AI2" t="s">
        <v>211</v>
      </c>
      <c r="AJ2" t="s">
        <v>661</v>
      </c>
      <c r="AL2">
        <v>0</v>
      </c>
      <c r="AP2" s="3" t="s">
        <v>217</v>
      </c>
      <c r="AQ2">
        <v>1</v>
      </c>
      <c r="AR2">
        <v>3</v>
      </c>
      <c r="AS2">
        <v>1</v>
      </c>
      <c r="AT2" t="s">
        <v>206</v>
      </c>
      <c r="AU2" t="s">
        <v>670</v>
      </c>
      <c r="AW2">
        <v>0</v>
      </c>
    </row>
    <row r="3" spans="1:49" ht="16" x14ac:dyDescent="0.2">
      <c r="A3" s="1" t="s">
        <v>35</v>
      </c>
      <c r="D3">
        <v>2</v>
      </c>
      <c r="E3" t="s">
        <v>207</v>
      </c>
      <c r="F3" t="s">
        <v>193</v>
      </c>
      <c r="G3">
        <v>0</v>
      </c>
      <c r="H3">
        <v>1</v>
      </c>
      <c r="I3">
        <v>3480</v>
      </c>
      <c r="K3" s="1" t="s">
        <v>35</v>
      </c>
      <c r="N3">
        <v>2</v>
      </c>
      <c r="O3" t="s">
        <v>206</v>
      </c>
      <c r="P3" t="s">
        <v>198</v>
      </c>
      <c r="R3" s="5">
        <v>0</v>
      </c>
      <c r="S3" s="5">
        <v>7996</v>
      </c>
      <c r="U3" s="1" t="s">
        <v>35</v>
      </c>
      <c r="X3">
        <v>2</v>
      </c>
      <c r="Y3" t="s">
        <v>210</v>
      </c>
      <c r="Z3" t="s">
        <v>660</v>
      </c>
      <c r="AB3">
        <v>1</v>
      </c>
      <c r="AE3" s="1" t="s">
        <v>35</v>
      </c>
      <c r="AH3">
        <v>2</v>
      </c>
      <c r="AI3" t="s">
        <v>210</v>
      </c>
      <c r="AJ3" t="s">
        <v>667</v>
      </c>
      <c r="AL3">
        <v>1</v>
      </c>
      <c r="AP3" s="1" t="s">
        <v>35</v>
      </c>
      <c r="AS3">
        <v>2</v>
      </c>
      <c r="AT3" t="s">
        <v>210</v>
      </c>
      <c r="AU3" t="s">
        <v>664</v>
      </c>
      <c r="AW3">
        <v>0</v>
      </c>
    </row>
    <row r="4" spans="1:49" ht="16" x14ac:dyDescent="0.2">
      <c r="A4" s="1" t="s">
        <v>71</v>
      </c>
      <c r="D4">
        <v>3</v>
      </c>
      <c r="E4" t="s">
        <v>208</v>
      </c>
      <c r="F4" t="s">
        <v>194</v>
      </c>
      <c r="G4">
        <v>0</v>
      </c>
      <c r="H4">
        <v>1</v>
      </c>
      <c r="I4">
        <v>6130</v>
      </c>
      <c r="K4" s="1" t="s">
        <v>378</v>
      </c>
      <c r="N4">
        <v>3</v>
      </c>
      <c r="O4" t="s">
        <v>208</v>
      </c>
      <c r="P4" t="s">
        <v>194</v>
      </c>
      <c r="R4">
        <v>1</v>
      </c>
      <c r="S4">
        <v>9349</v>
      </c>
      <c r="U4" s="1" t="s">
        <v>424</v>
      </c>
      <c r="X4">
        <v>3</v>
      </c>
      <c r="Y4" t="s">
        <v>211</v>
      </c>
      <c r="Z4" t="s">
        <v>661</v>
      </c>
      <c r="AB4">
        <v>1</v>
      </c>
      <c r="AE4" s="1" t="s">
        <v>724</v>
      </c>
      <c r="AH4">
        <v>3</v>
      </c>
      <c r="AI4" t="s">
        <v>210</v>
      </c>
      <c r="AJ4" t="s">
        <v>660</v>
      </c>
      <c r="AL4">
        <v>1</v>
      </c>
      <c r="AP4" s="1" t="s">
        <v>780</v>
      </c>
      <c r="AS4">
        <v>3</v>
      </c>
      <c r="AT4" t="s">
        <v>212</v>
      </c>
      <c r="AU4" t="s">
        <v>666</v>
      </c>
      <c r="AW4">
        <v>1</v>
      </c>
    </row>
    <row r="5" spans="1:49" ht="16" x14ac:dyDescent="0.2">
      <c r="A5" s="11" t="s">
        <v>231</v>
      </c>
      <c r="D5">
        <v>4</v>
      </c>
      <c r="E5" t="s">
        <v>209</v>
      </c>
      <c r="F5" t="s">
        <v>195</v>
      </c>
      <c r="G5" t="s">
        <v>284</v>
      </c>
      <c r="H5">
        <v>1</v>
      </c>
      <c r="I5">
        <v>16487</v>
      </c>
      <c r="K5" s="11" t="s">
        <v>423</v>
      </c>
      <c r="N5">
        <v>4</v>
      </c>
      <c r="O5" t="s">
        <v>210</v>
      </c>
      <c r="P5" t="s">
        <v>196</v>
      </c>
      <c r="R5">
        <v>1</v>
      </c>
      <c r="S5">
        <v>10387</v>
      </c>
      <c r="U5" s="11" t="s">
        <v>425</v>
      </c>
      <c r="X5">
        <v>4</v>
      </c>
      <c r="Y5" t="s">
        <v>206</v>
      </c>
      <c r="Z5" t="s">
        <v>662</v>
      </c>
      <c r="AB5">
        <v>0</v>
      </c>
      <c r="AE5" s="1" t="s">
        <v>231</v>
      </c>
      <c r="AH5">
        <v>4</v>
      </c>
      <c r="AI5" t="s">
        <v>210</v>
      </c>
      <c r="AJ5" t="s">
        <v>664</v>
      </c>
      <c r="AL5">
        <v>0</v>
      </c>
      <c r="AP5" s="1" t="s">
        <v>781</v>
      </c>
      <c r="AS5">
        <v>4</v>
      </c>
      <c r="AT5" t="s">
        <v>206</v>
      </c>
      <c r="AU5" t="s">
        <v>662</v>
      </c>
      <c r="AW5">
        <v>0</v>
      </c>
    </row>
    <row r="6" spans="1:49" ht="16" x14ac:dyDescent="0.2">
      <c r="A6" s="11" t="s">
        <v>285</v>
      </c>
      <c r="D6">
        <v>5</v>
      </c>
      <c r="E6" t="s">
        <v>210</v>
      </c>
      <c r="F6" t="s">
        <v>196</v>
      </c>
      <c r="G6">
        <v>1</v>
      </c>
      <c r="H6">
        <v>1</v>
      </c>
      <c r="I6">
        <v>15155</v>
      </c>
      <c r="K6" s="1" t="s">
        <v>40</v>
      </c>
      <c r="N6">
        <v>5</v>
      </c>
      <c r="O6" t="s">
        <v>211</v>
      </c>
      <c r="P6" t="s">
        <v>201</v>
      </c>
      <c r="R6" s="5">
        <v>0</v>
      </c>
      <c r="S6" s="5">
        <v>8785</v>
      </c>
      <c r="U6" s="1" t="s">
        <v>40</v>
      </c>
      <c r="X6">
        <v>5</v>
      </c>
      <c r="Y6" t="s">
        <v>206</v>
      </c>
      <c r="Z6" t="s">
        <v>663</v>
      </c>
      <c r="AB6">
        <v>1</v>
      </c>
      <c r="AE6" s="1" t="s">
        <v>40</v>
      </c>
      <c r="AH6">
        <v>5</v>
      </c>
      <c r="AI6" t="s">
        <v>206</v>
      </c>
      <c r="AJ6" t="s">
        <v>663</v>
      </c>
      <c r="AL6">
        <v>1</v>
      </c>
      <c r="AP6" s="1" t="s">
        <v>782</v>
      </c>
      <c r="AS6">
        <v>5</v>
      </c>
      <c r="AT6" t="s">
        <v>207</v>
      </c>
      <c r="AU6" t="s">
        <v>668</v>
      </c>
      <c r="AW6">
        <v>1</v>
      </c>
    </row>
    <row r="7" spans="1:49" ht="16" x14ac:dyDescent="0.2">
      <c r="D7">
        <v>6</v>
      </c>
      <c r="E7" t="s">
        <v>211</v>
      </c>
      <c r="F7" t="s">
        <v>197</v>
      </c>
      <c r="G7">
        <v>0</v>
      </c>
      <c r="H7">
        <v>1</v>
      </c>
      <c r="I7">
        <v>9883</v>
      </c>
      <c r="N7">
        <v>6</v>
      </c>
      <c r="O7" t="s">
        <v>211</v>
      </c>
      <c r="P7" t="s">
        <v>197</v>
      </c>
      <c r="R7">
        <v>1</v>
      </c>
      <c r="S7">
        <v>4728</v>
      </c>
      <c r="U7" s="20" t="s">
        <v>673</v>
      </c>
      <c r="X7">
        <v>6</v>
      </c>
      <c r="Y7" t="s">
        <v>210</v>
      </c>
      <c r="Z7" t="s">
        <v>664</v>
      </c>
      <c r="AB7">
        <v>0</v>
      </c>
      <c r="AH7">
        <v>6</v>
      </c>
      <c r="AI7" t="s">
        <v>210</v>
      </c>
      <c r="AJ7" t="s">
        <v>669</v>
      </c>
      <c r="AL7">
        <v>0</v>
      </c>
      <c r="AS7">
        <v>6</v>
      </c>
      <c r="AT7" t="s">
        <v>211</v>
      </c>
      <c r="AU7" t="s">
        <v>661</v>
      </c>
      <c r="AW7">
        <v>0</v>
      </c>
    </row>
    <row r="8" spans="1:49" ht="16" x14ac:dyDescent="0.2">
      <c r="D8">
        <v>7</v>
      </c>
      <c r="E8" t="s">
        <v>206</v>
      </c>
      <c r="F8" t="s">
        <v>198</v>
      </c>
      <c r="G8">
        <v>0</v>
      </c>
      <c r="H8">
        <v>1</v>
      </c>
      <c r="I8">
        <v>8581</v>
      </c>
      <c r="N8">
        <v>7</v>
      </c>
      <c r="O8" t="s">
        <v>210</v>
      </c>
      <c r="P8" t="s">
        <v>205</v>
      </c>
      <c r="R8">
        <v>1</v>
      </c>
      <c r="S8">
        <v>8824</v>
      </c>
      <c r="X8">
        <v>7</v>
      </c>
      <c r="Y8" t="s">
        <v>206</v>
      </c>
      <c r="Z8" t="s">
        <v>665</v>
      </c>
      <c r="AB8">
        <v>0</v>
      </c>
      <c r="AH8">
        <v>7</v>
      </c>
      <c r="AI8" t="s">
        <v>206</v>
      </c>
      <c r="AJ8" t="s">
        <v>665</v>
      </c>
      <c r="AL8">
        <v>1</v>
      </c>
      <c r="AP8" s="1" t="s">
        <v>783</v>
      </c>
      <c r="AS8">
        <v>7</v>
      </c>
      <c r="AT8" t="s">
        <v>211</v>
      </c>
      <c r="AU8" t="s">
        <v>672</v>
      </c>
      <c r="AW8">
        <v>0</v>
      </c>
    </row>
    <row r="9" spans="1:49" x14ac:dyDescent="0.2">
      <c r="D9">
        <v>8</v>
      </c>
      <c r="E9" t="s">
        <v>211</v>
      </c>
      <c r="F9" t="s">
        <v>199</v>
      </c>
      <c r="G9">
        <v>1</v>
      </c>
      <c r="H9">
        <v>1</v>
      </c>
      <c r="I9">
        <v>9611</v>
      </c>
      <c r="N9">
        <v>8</v>
      </c>
      <c r="O9" t="s">
        <v>207</v>
      </c>
      <c r="P9" t="s">
        <v>193</v>
      </c>
      <c r="R9">
        <v>1</v>
      </c>
      <c r="S9">
        <v>5551</v>
      </c>
      <c r="X9">
        <v>8</v>
      </c>
      <c r="Y9" t="s">
        <v>212</v>
      </c>
      <c r="Z9" t="s">
        <v>666</v>
      </c>
      <c r="AB9">
        <v>1</v>
      </c>
      <c r="AH9">
        <v>8</v>
      </c>
      <c r="AI9" t="s">
        <v>212</v>
      </c>
      <c r="AJ9" t="s">
        <v>659</v>
      </c>
      <c r="AL9">
        <v>1</v>
      </c>
      <c r="AS9">
        <v>8</v>
      </c>
      <c r="AT9" t="s">
        <v>210</v>
      </c>
      <c r="AU9" t="s">
        <v>660</v>
      </c>
      <c r="AW9">
        <v>1</v>
      </c>
    </row>
    <row r="10" spans="1:49" x14ac:dyDescent="0.2">
      <c r="D10">
        <v>9</v>
      </c>
      <c r="E10" t="s">
        <v>206</v>
      </c>
      <c r="F10" t="s">
        <v>200</v>
      </c>
      <c r="G10">
        <v>0</v>
      </c>
      <c r="H10">
        <v>1</v>
      </c>
      <c r="I10">
        <v>15622</v>
      </c>
      <c r="N10">
        <v>9</v>
      </c>
      <c r="O10" t="s">
        <v>206</v>
      </c>
      <c r="P10" t="s">
        <v>200</v>
      </c>
      <c r="R10">
        <v>1</v>
      </c>
      <c r="S10">
        <v>8704</v>
      </c>
      <c r="X10">
        <v>9</v>
      </c>
      <c r="Y10" t="s">
        <v>210</v>
      </c>
      <c r="Z10" t="s">
        <v>667</v>
      </c>
      <c r="AB10">
        <v>1</v>
      </c>
      <c r="AH10">
        <v>9</v>
      </c>
      <c r="AI10" t="s">
        <v>206</v>
      </c>
      <c r="AJ10" t="s">
        <v>662</v>
      </c>
      <c r="AL10">
        <v>0</v>
      </c>
      <c r="AS10">
        <v>9</v>
      </c>
      <c r="AT10" t="s">
        <v>212</v>
      </c>
      <c r="AU10" t="s">
        <v>659</v>
      </c>
      <c r="AV10">
        <v>1</v>
      </c>
      <c r="AW10">
        <v>1</v>
      </c>
    </row>
    <row r="11" spans="1:49" x14ac:dyDescent="0.2">
      <c r="D11">
        <v>10</v>
      </c>
      <c r="E11" t="s">
        <v>211</v>
      </c>
      <c r="F11" t="s">
        <v>201</v>
      </c>
      <c r="G11">
        <v>0</v>
      </c>
      <c r="H11" s="5">
        <v>0</v>
      </c>
      <c r="I11" s="5">
        <v>7049</v>
      </c>
      <c r="N11">
        <v>10</v>
      </c>
      <c r="O11" t="s">
        <v>211</v>
      </c>
      <c r="P11" t="s">
        <v>199</v>
      </c>
      <c r="R11">
        <v>1</v>
      </c>
      <c r="S11">
        <v>4789</v>
      </c>
      <c r="X11">
        <v>10</v>
      </c>
      <c r="Y11" t="s">
        <v>207</v>
      </c>
      <c r="Z11" t="s">
        <v>668</v>
      </c>
      <c r="AB11">
        <v>1</v>
      </c>
      <c r="AH11">
        <v>10</v>
      </c>
      <c r="AI11" t="s">
        <v>211</v>
      </c>
      <c r="AJ11" t="s">
        <v>672</v>
      </c>
      <c r="AL11">
        <v>1</v>
      </c>
      <c r="AS11">
        <v>10</v>
      </c>
      <c r="AT11" t="s">
        <v>206</v>
      </c>
      <c r="AU11" t="s">
        <v>665</v>
      </c>
      <c r="AW11">
        <v>0</v>
      </c>
    </row>
    <row r="12" spans="1:49" x14ac:dyDescent="0.2">
      <c r="D12">
        <v>11</v>
      </c>
      <c r="E12" t="s">
        <v>206</v>
      </c>
      <c r="F12" t="s">
        <v>202</v>
      </c>
      <c r="G12">
        <v>0</v>
      </c>
      <c r="H12" s="5">
        <v>0</v>
      </c>
      <c r="I12" s="5">
        <v>7094</v>
      </c>
      <c r="N12">
        <v>11</v>
      </c>
      <c r="O12" t="s">
        <v>206</v>
      </c>
      <c r="P12" t="s">
        <v>192</v>
      </c>
      <c r="R12">
        <v>1</v>
      </c>
      <c r="S12">
        <v>6870</v>
      </c>
      <c r="X12">
        <v>11</v>
      </c>
      <c r="Y12" t="s">
        <v>210</v>
      </c>
      <c r="Z12" t="s">
        <v>669</v>
      </c>
      <c r="AB12">
        <v>1</v>
      </c>
      <c r="AH12">
        <v>11</v>
      </c>
      <c r="AI12" t="s">
        <v>206</v>
      </c>
      <c r="AJ12" t="s">
        <v>670</v>
      </c>
      <c r="AL12">
        <v>1</v>
      </c>
      <c r="AS12">
        <v>11</v>
      </c>
      <c r="AT12" t="s">
        <v>210</v>
      </c>
      <c r="AU12" t="s">
        <v>669</v>
      </c>
      <c r="AW12">
        <v>1</v>
      </c>
    </row>
    <row r="13" spans="1:49" x14ac:dyDescent="0.2">
      <c r="D13">
        <v>12</v>
      </c>
      <c r="E13" t="s">
        <v>210</v>
      </c>
      <c r="F13" t="s">
        <v>203</v>
      </c>
      <c r="G13">
        <v>0</v>
      </c>
      <c r="H13" s="5">
        <v>0</v>
      </c>
      <c r="I13" s="5">
        <v>12542</v>
      </c>
      <c r="N13">
        <v>12</v>
      </c>
      <c r="O13" t="s">
        <v>209</v>
      </c>
      <c r="P13" t="s">
        <v>195</v>
      </c>
      <c r="R13">
        <v>1</v>
      </c>
      <c r="S13">
        <v>4411</v>
      </c>
      <c r="X13">
        <v>12</v>
      </c>
      <c r="Y13" t="s">
        <v>206</v>
      </c>
      <c r="Z13" t="s">
        <v>670</v>
      </c>
      <c r="AB13">
        <v>0</v>
      </c>
      <c r="AH13">
        <v>12</v>
      </c>
      <c r="AI13" t="s">
        <v>209</v>
      </c>
      <c r="AJ13" t="s">
        <v>671</v>
      </c>
      <c r="AL13">
        <v>1</v>
      </c>
      <c r="AS13">
        <v>12</v>
      </c>
      <c r="AT13" t="s">
        <v>210</v>
      </c>
      <c r="AU13" t="s">
        <v>667</v>
      </c>
      <c r="AW13">
        <v>0</v>
      </c>
    </row>
    <row r="14" spans="1:49" x14ac:dyDescent="0.2">
      <c r="D14">
        <v>13</v>
      </c>
      <c r="E14" t="s">
        <v>212</v>
      </c>
      <c r="F14" t="s">
        <v>204</v>
      </c>
      <c r="G14">
        <v>0</v>
      </c>
      <c r="H14">
        <v>1</v>
      </c>
      <c r="I14">
        <v>11240</v>
      </c>
      <c r="N14">
        <v>13</v>
      </c>
      <c r="O14" t="s">
        <v>210</v>
      </c>
      <c r="P14" t="s">
        <v>203</v>
      </c>
      <c r="R14" s="5">
        <v>0</v>
      </c>
      <c r="S14" s="5">
        <v>4766</v>
      </c>
      <c r="X14">
        <v>13</v>
      </c>
      <c r="Y14" t="s">
        <v>209</v>
      </c>
      <c r="Z14" t="s">
        <v>671</v>
      </c>
      <c r="AB14">
        <v>1</v>
      </c>
      <c r="AH14">
        <v>13</v>
      </c>
      <c r="AI14" t="s">
        <v>212</v>
      </c>
      <c r="AJ14" t="s">
        <v>666</v>
      </c>
      <c r="AL14">
        <v>1</v>
      </c>
      <c r="AS14">
        <v>13</v>
      </c>
      <c r="AT14" t="s">
        <v>206</v>
      </c>
      <c r="AU14" t="s">
        <v>663</v>
      </c>
      <c r="AW14">
        <v>1</v>
      </c>
    </row>
    <row r="15" spans="1:49" x14ac:dyDescent="0.2">
      <c r="D15">
        <v>14</v>
      </c>
      <c r="E15" t="s">
        <v>210</v>
      </c>
      <c r="F15" t="s">
        <v>205</v>
      </c>
      <c r="G15">
        <v>0</v>
      </c>
      <c r="H15" s="5">
        <v>0</v>
      </c>
      <c r="I15" s="5">
        <v>4880</v>
      </c>
      <c r="N15">
        <v>14</v>
      </c>
      <c r="O15" t="s">
        <v>212</v>
      </c>
      <c r="P15" t="s">
        <v>204</v>
      </c>
      <c r="R15">
        <v>1</v>
      </c>
      <c r="S15">
        <v>6101</v>
      </c>
      <c r="X15">
        <v>14</v>
      </c>
      <c r="Y15" t="s">
        <v>211</v>
      </c>
      <c r="Z15" t="s">
        <v>672</v>
      </c>
      <c r="AB15">
        <v>0</v>
      </c>
      <c r="AH15">
        <v>14</v>
      </c>
      <c r="AI15" t="s">
        <v>207</v>
      </c>
      <c r="AJ15" t="s">
        <v>668</v>
      </c>
      <c r="AL15">
        <v>1</v>
      </c>
      <c r="AS15">
        <v>14</v>
      </c>
      <c r="AT15" t="s">
        <v>209</v>
      </c>
      <c r="AU15" t="s">
        <v>671</v>
      </c>
      <c r="AW15">
        <v>1</v>
      </c>
    </row>
    <row r="16" spans="1:49" ht="16" x14ac:dyDescent="0.2">
      <c r="AL16" s="1">
        <f>SUM(AL2:AL15)</f>
        <v>10</v>
      </c>
      <c r="AW16" s="2">
        <f>SUM(AW2:AW15)</f>
        <v>7</v>
      </c>
    </row>
    <row r="17" spans="3:28" x14ac:dyDescent="0.2">
      <c r="G17">
        <f>SUM(G2:G15)</f>
        <v>2</v>
      </c>
      <c r="H17" s="2">
        <f>SUM(H2:H15)</f>
        <v>10</v>
      </c>
      <c r="I17" s="2">
        <f>AVERAGE(I2:I10,I14)</f>
        <v>10105.6</v>
      </c>
      <c r="R17" s="2">
        <f>SUM(R2:R15)</f>
        <v>11</v>
      </c>
      <c r="S17" s="2">
        <f>AVERAGE(S2,S4:S5,S7:S13,S15)</f>
        <v>7133.545454545455</v>
      </c>
      <c r="AB17" s="28">
        <f>SUM(AB2:AB16)</f>
        <v>9</v>
      </c>
    </row>
    <row r="23" spans="3:28" x14ac:dyDescent="0.2">
      <c r="D23" t="s">
        <v>749</v>
      </c>
      <c r="E23" t="s">
        <v>215</v>
      </c>
      <c r="F23" t="s">
        <v>750</v>
      </c>
      <c r="G23" t="s">
        <v>751</v>
      </c>
    </row>
    <row r="24" spans="3:28" x14ac:dyDescent="0.2">
      <c r="C24" t="s">
        <v>763</v>
      </c>
      <c r="D24">
        <v>10</v>
      </c>
      <c r="E24">
        <v>11</v>
      </c>
      <c r="F24">
        <v>9</v>
      </c>
      <c r="G24">
        <v>10</v>
      </c>
    </row>
  </sheetData>
  <pageMargins left="0.7" right="0.7" top="0.75" bottom="0.75" header="0.3" footer="0.3"/>
  <pageSetup paperSize="9" orientation="portrait" horizont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PAT</vt:lpstr>
      <vt:lpstr>AS verbale</vt:lpstr>
      <vt:lpstr>AS visuelle</vt:lpstr>
      <vt:lpstr>EXE verb.</vt:lpstr>
      <vt:lpstr>EXE visu.</vt:lpstr>
      <vt:lpstr>FLUENCE cat.</vt:lpstr>
      <vt:lpstr>FLUENCE verb.</vt:lpstr>
      <vt:lpstr>DC cat.</vt:lpstr>
      <vt:lpstr>DENO</vt:lpstr>
      <vt:lpstr>LECTURE</vt:lpstr>
      <vt:lpstr>BIP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2023-06-15T09:19:13Z</dcterms:modified>
</cp:coreProperties>
</file>