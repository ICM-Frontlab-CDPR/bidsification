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0"/>
  </bookViews>
  <sheets>
    <sheet name="PAT" sheetId="11" r:id="rId1"/>
    <sheet name="AS verbale" sheetId="1" r:id="rId2"/>
    <sheet name="AS visuelle" sheetId="2" r:id="rId3"/>
    <sheet name="EXE verb." sheetId="3" r:id="rId4"/>
    <sheet name="EXE visu." sheetId="4" r:id="rId5"/>
    <sheet name="FLUENCE cat." sheetId="5" r:id="rId6"/>
    <sheet name="FLUENCE verb." sheetId="6" r:id="rId7"/>
    <sheet name="DC cat." sheetId="7" r:id="rId8"/>
    <sheet name="DENO" sheetId="8" r:id="rId9"/>
    <sheet name="LECTURE" sheetId="9" r:id="rId10"/>
    <sheet name="BIP" sheetId="10" r:id="rId11"/>
  </sheets>
  <calcPr calcId="152511"/>
</workbook>
</file>

<file path=xl/calcChain.xml><?xml version="1.0" encoding="utf-8"?>
<calcChain xmlns="http://schemas.openxmlformats.org/spreadsheetml/2006/main">
  <c r="AJ47" i="9" l="1"/>
  <c r="BU29" i="2" l="1"/>
  <c r="BT28" i="2"/>
  <c r="BV28" i="2"/>
  <c r="BK29" i="2"/>
  <c r="BL28" i="2"/>
  <c r="BJ28" i="2"/>
  <c r="BZ29" i="1"/>
  <c r="BX29" i="1"/>
  <c r="BO29" i="1"/>
  <c r="BN30" i="1" s="1"/>
  <c r="BM29" i="1"/>
  <c r="BY30" i="1" l="1"/>
  <c r="AZ28" i="2"/>
  <c r="BA28" i="2"/>
  <c r="AY28" i="2"/>
  <c r="BB29" i="1"/>
  <c r="AZ29" i="1"/>
  <c r="BA29" i="1" l="1"/>
  <c r="AN16" i="10"/>
  <c r="I42" i="7"/>
  <c r="AQ44" i="7"/>
  <c r="AP43" i="7"/>
  <c r="AR43" i="7"/>
  <c r="AL29" i="4"/>
  <c r="AK30" i="4" s="1"/>
  <c r="AJ29" i="4"/>
  <c r="AZ28" i="3"/>
  <c r="AY29" i="3" s="1"/>
  <c r="AX28" i="3"/>
  <c r="AO29" i="2"/>
  <c r="AP28" i="2"/>
  <c r="AN28" i="2"/>
  <c r="AP29" i="1"/>
  <c r="AN29" i="1"/>
  <c r="AO31" i="1" l="1"/>
  <c r="Y47" i="9"/>
  <c r="P47" i="9"/>
  <c r="G47" i="9"/>
  <c r="AI42" i="8" l="1"/>
  <c r="AG43" i="7" l="1"/>
  <c r="AG44" i="7" s="1"/>
  <c r="AE43" i="7"/>
  <c r="AB28" i="4" l="1"/>
  <c r="AB29" i="4" s="1"/>
  <c r="Z29" i="4"/>
  <c r="AP28" i="3"/>
  <c r="AP29" i="3" s="1"/>
  <c r="AN28" i="3"/>
  <c r="AE28" i="2" l="1"/>
  <c r="AC28" i="2"/>
  <c r="AD30" i="2" s="1"/>
  <c r="AE29" i="1"/>
  <c r="AC29" i="1"/>
  <c r="AC16" i="10"/>
  <c r="AD31" i="1" l="1"/>
  <c r="R16" i="10"/>
  <c r="I42" i="8"/>
  <c r="V42" i="8"/>
  <c r="U43" i="7"/>
  <c r="T45" i="7" s="1"/>
  <c r="S43" i="7"/>
  <c r="M13" i="6"/>
  <c r="H29" i="4"/>
  <c r="P29" i="4"/>
  <c r="R29" i="4"/>
  <c r="Q30" i="4" s="1"/>
  <c r="AD28" i="3"/>
  <c r="AE28" i="3"/>
  <c r="AE30" i="3" s="1"/>
  <c r="T28" i="2"/>
  <c r="S30" i="2" s="1"/>
  <c r="R28" i="2"/>
  <c r="T29" i="1"/>
  <c r="R29" i="1"/>
  <c r="T31" i="1" l="1"/>
  <c r="S31" i="1"/>
  <c r="H16" i="10"/>
  <c r="G42" i="7"/>
  <c r="H43" i="7" s="1"/>
  <c r="D8" i="6"/>
  <c r="F29" i="4"/>
  <c r="G31" i="4" s="1"/>
  <c r="T28" i="3"/>
  <c r="R28" i="3"/>
  <c r="F29" i="3"/>
  <c r="S29" i="3" l="1"/>
  <c r="I28" i="2"/>
  <c r="H28" i="2" s="1"/>
  <c r="G28" i="2"/>
  <c r="I29" i="1"/>
  <c r="G29" i="1"/>
  <c r="H31" i="1" l="1"/>
</calcChain>
</file>

<file path=xl/sharedStrings.xml><?xml version="1.0" encoding="utf-8"?>
<sst xmlns="http://schemas.openxmlformats.org/spreadsheetml/2006/main" count="2858" uniqueCount="883">
  <si>
    <t>Version</t>
  </si>
  <si>
    <t>Session</t>
  </si>
  <si>
    <t>Trial</t>
  </si>
  <si>
    <t>ImageDisplay2.ACC</t>
  </si>
  <si>
    <t>ImageDisplay2.RT</t>
  </si>
  <si>
    <t>RT correct</t>
  </si>
  <si>
    <t>Prétraitement</t>
  </si>
  <si>
    <t>non vivant</t>
  </si>
  <si>
    <t>AS verbale</t>
  </si>
  <si>
    <t>vivant</t>
  </si>
  <si>
    <t>condtarget</t>
  </si>
  <si>
    <t>target</t>
  </si>
  <si>
    <t>viv.mot1.bmp</t>
  </si>
  <si>
    <t>nonviv.mot6.bmp</t>
  </si>
  <si>
    <t>viv.mot23.bmp</t>
  </si>
  <si>
    <t>nonviv.mot2.bmp</t>
  </si>
  <si>
    <t>viv.mot13.bmp</t>
  </si>
  <si>
    <t>viv.mot10.bmp</t>
  </si>
  <si>
    <t>nonviv.mot1.bmp</t>
  </si>
  <si>
    <t>nonviv.mot23.bmp</t>
  </si>
  <si>
    <t>viv.mot22.bmp</t>
  </si>
  <si>
    <t>viv.mot4.bmp</t>
  </si>
  <si>
    <t>nonviv.mot24.bmp</t>
  </si>
  <si>
    <t>viv.mot2.bmp</t>
  </si>
  <si>
    <t>viv.mot3.bmp</t>
  </si>
  <si>
    <t>nonviv.mot20.bmp</t>
  </si>
  <si>
    <t>nonviv.mot4.bmp</t>
  </si>
  <si>
    <t>viv.mot21.bmp</t>
  </si>
  <si>
    <t>viv.mot12.bmp</t>
  </si>
  <si>
    <t>viv.mot16.bmp</t>
  </si>
  <si>
    <t>nonviv.mot25.bmp</t>
  </si>
  <si>
    <t>nonviv.mot21.bmp</t>
  </si>
  <si>
    <t>viv.mot20.bmp</t>
  </si>
  <si>
    <t>nonviv.mot22.bmp</t>
  </si>
  <si>
    <t>nonviv.mot5.bmp</t>
  </si>
  <si>
    <t>viv.mot19.bmp</t>
  </si>
  <si>
    <t>nonviv.mot26.bmp</t>
  </si>
  <si>
    <t>nonviv.mot3.bmp</t>
  </si>
  <si>
    <t>viv23.bmp</t>
  </si>
  <si>
    <t>nonviv23.bmp</t>
  </si>
  <si>
    <t>viv2.bmp</t>
  </si>
  <si>
    <t>viv20.bmp</t>
  </si>
  <si>
    <t>nonviv20.bmp</t>
  </si>
  <si>
    <t>nonviv5.bmp</t>
  </si>
  <si>
    <t>viv22.bmp</t>
  </si>
  <si>
    <t>nonviv25.bmp</t>
  </si>
  <si>
    <t>viv3.bmp</t>
  </si>
  <si>
    <t>nonviv4.bmp</t>
  </si>
  <si>
    <t>nonviv22.bmp</t>
  </si>
  <si>
    <t>viv21.bmp</t>
  </si>
  <si>
    <t>viv13.bmp</t>
  </si>
  <si>
    <t>viv12.bmp</t>
  </si>
  <si>
    <t>viv4.bmp</t>
  </si>
  <si>
    <t>nonviv6.bmp</t>
  </si>
  <si>
    <t>nonviv21.bmp</t>
  </si>
  <si>
    <t>viv16.bmp</t>
  </si>
  <si>
    <t>nonviv24.bmp</t>
  </si>
  <si>
    <t>viv1.bmp</t>
  </si>
  <si>
    <t>nonviv3.bmp</t>
  </si>
  <si>
    <t>viv10.bmp</t>
  </si>
  <si>
    <t>nonviv1.bmp</t>
  </si>
  <si>
    <t>viv19.bmp</t>
  </si>
  <si>
    <t>nonviv2.bmp</t>
  </si>
  <si>
    <t>nonviv26.bmp</t>
  </si>
  <si>
    <t>RT Corr</t>
  </si>
  <si>
    <t>Personnalités reconnues</t>
  </si>
  <si>
    <t>BIP.ACC</t>
  </si>
  <si>
    <t>Category</t>
  </si>
  <si>
    <t>Chanteur</t>
  </si>
  <si>
    <t>Présentateur TV</t>
  </si>
  <si>
    <t>Presentateur TV</t>
  </si>
  <si>
    <t>Acteur</t>
  </si>
  <si>
    <t>Politique</t>
  </si>
  <si>
    <t>Présentatrice TV</t>
  </si>
  <si>
    <t>Actrice</t>
  </si>
  <si>
    <t>Name</t>
  </si>
  <si>
    <t>Serge Gainsbourg</t>
  </si>
  <si>
    <t>Michel Drucker</t>
  </si>
  <si>
    <t>PPDA</t>
  </si>
  <si>
    <t>Georges Brassens</t>
  </si>
  <si>
    <t>Daniel Auteuil</t>
  </si>
  <si>
    <t>Sean Connery</t>
  </si>
  <si>
    <t>Arlette Laguiller</t>
  </si>
  <si>
    <t>Johnny Halliday</t>
  </si>
  <si>
    <t>Danièle Gilbert</t>
  </si>
  <si>
    <t>Brigitte Bardot</t>
  </si>
  <si>
    <t>Thierry Lhermitte</t>
  </si>
  <si>
    <t xml:space="preserve">Catherine Deneuve </t>
  </si>
  <si>
    <t>Fernandel</t>
  </si>
  <si>
    <t>Jeanne Moreau</t>
  </si>
  <si>
    <t>Trials</t>
  </si>
  <si>
    <t>status</t>
  </si>
  <si>
    <t>stimulus</t>
  </si>
  <si>
    <t>TextDisplay2.ACC</t>
  </si>
  <si>
    <t>TextDisplay2.RT</t>
  </si>
  <si>
    <t>living</t>
  </si>
  <si>
    <t>manmade</t>
  </si>
  <si>
    <t>PAT001-0034-HB</t>
  </si>
  <si>
    <t>prétraitement</t>
  </si>
  <si>
    <t>09.06.2020</t>
  </si>
  <si>
    <t>Mot7v1.tif</t>
  </si>
  <si>
    <t>EXE verb</t>
  </si>
  <si>
    <t>Mot9v1.tif</t>
  </si>
  <si>
    <t>Mot26v1.tif</t>
  </si>
  <si>
    <t>Mot19v1.tif</t>
  </si>
  <si>
    <t>Mot6v1.tif</t>
  </si>
  <si>
    <t>Mot20v1.tif</t>
  </si>
  <si>
    <t>Mot17v1.tif</t>
  </si>
  <si>
    <t>Mot18v1.tif</t>
  </si>
  <si>
    <t>Mot23v1.tif</t>
  </si>
  <si>
    <t>Mot1v1.tif</t>
  </si>
  <si>
    <t>Mot4v1.tif</t>
  </si>
  <si>
    <t>Mot24v1.tif</t>
  </si>
  <si>
    <t>Mot12v1.tif</t>
  </si>
  <si>
    <t>Mot13v1.tif</t>
  </si>
  <si>
    <t>Mot8v1.tif</t>
  </si>
  <si>
    <t>Mot21v1.tif</t>
  </si>
  <si>
    <t>Mot25v1.tif</t>
  </si>
  <si>
    <t>Mot5v1.tif</t>
  </si>
  <si>
    <t>Mot2v1.tif</t>
  </si>
  <si>
    <t>Mot22v1.tif</t>
  </si>
  <si>
    <t>Mot3v1.tif</t>
  </si>
  <si>
    <t>Mot14v1.tif</t>
  </si>
  <si>
    <t>Mot10v1.tif</t>
  </si>
  <si>
    <t>Mot15v1.tif</t>
  </si>
  <si>
    <t>Mot16v1.tif</t>
  </si>
  <si>
    <t>Mot11v1.tif</t>
  </si>
  <si>
    <t>EXE visu</t>
  </si>
  <si>
    <t>Mot8v2.tif</t>
  </si>
  <si>
    <t>Mot5v2.tif</t>
  </si>
  <si>
    <t>Mot6v2.tif</t>
  </si>
  <si>
    <t>Mot9v2.tif</t>
  </si>
  <si>
    <t>Mot18v2.tif</t>
  </si>
  <si>
    <t>Mot19v2.tif</t>
  </si>
  <si>
    <t>Mot4v2.tif</t>
  </si>
  <si>
    <t>Mot20v2.tif</t>
  </si>
  <si>
    <t>Mot25v2.tif</t>
  </si>
  <si>
    <t>Mot10v2.tif</t>
  </si>
  <si>
    <t>Mot16v2.tif</t>
  </si>
  <si>
    <t>Mot13v2.tif</t>
  </si>
  <si>
    <t>Mot21v2.tif</t>
  </si>
  <si>
    <t>Mot26v2.tif</t>
  </si>
  <si>
    <t>Mot14v2.tif</t>
  </si>
  <si>
    <t>Mot1v2.tif</t>
  </si>
  <si>
    <t>Mot15v2.tif</t>
  </si>
  <si>
    <t>Mot23v2.tif</t>
  </si>
  <si>
    <t>Mot22v2.tif</t>
  </si>
  <si>
    <t>Mot2v2.tif</t>
  </si>
  <si>
    <t>Mot11v2.tif</t>
  </si>
  <si>
    <t>Mot24v2.tif</t>
  </si>
  <si>
    <t>Mot3v2.tif</t>
  </si>
  <si>
    <t>Mot7v2.tif</t>
  </si>
  <si>
    <t>Mot12v2.tif</t>
  </si>
  <si>
    <t>Mot17v2.tif</t>
  </si>
  <si>
    <t>Non valide, la version 1 validée à la place</t>
  </si>
  <si>
    <t xml:space="preserve">le patient ne comprenait pas ce que c'est </t>
  </si>
  <si>
    <t>qu'une lettre d'alphabet, ni première ni dernière.</t>
  </si>
  <si>
    <t>24/26</t>
  </si>
  <si>
    <t>Fig11v2.tif</t>
  </si>
  <si>
    <t>Fig3v2.tif</t>
  </si>
  <si>
    <t>Fig5v2.tif</t>
  </si>
  <si>
    <t>Fig7v2.tif</t>
  </si>
  <si>
    <t>Fig2v2.tif</t>
  </si>
  <si>
    <t>Fig26v2.tif</t>
  </si>
  <si>
    <t>Fig20v2.tif</t>
  </si>
  <si>
    <t>Fig23v2.tif</t>
  </si>
  <si>
    <t>Fig16v2.tif</t>
  </si>
  <si>
    <t>Fig24v2.tif</t>
  </si>
  <si>
    <t>Fig10v2.tif</t>
  </si>
  <si>
    <t>Fig17v2.tif</t>
  </si>
  <si>
    <t>Fig6v2.tif</t>
  </si>
  <si>
    <t>Fig15v2.tif</t>
  </si>
  <si>
    <t>Fig13v2.tif</t>
  </si>
  <si>
    <t>Fig18v2.tif</t>
  </si>
  <si>
    <t>Fig4v2.tif</t>
  </si>
  <si>
    <t>Fig21v2.tif</t>
  </si>
  <si>
    <t>Fig9v2.tif</t>
  </si>
  <si>
    <t>Fig8v2.tif</t>
  </si>
  <si>
    <t>Fig25v2.tif</t>
  </si>
  <si>
    <t>Fig14v2.tif</t>
  </si>
  <si>
    <t>Fig12v2.tif</t>
  </si>
  <si>
    <t>Fig19v2.tif</t>
  </si>
  <si>
    <t>Fig1v2.tif</t>
  </si>
  <si>
    <t>Fig22v2.tif</t>
  </si>
  <si>
    <t>Items</t>
  </si>
  <si>
    <t>Nombre</t>
  </si>
  <si>
    <t>FLUENCE catégorielle</t>
  </si>
  <si>
    <t xml:space="preserve">Score </t>
  </si>
  <si>
    <t>sucres</t>
  </si>
  <si>
    <t>après coup : fraises</t>
  </si>
  <si>
    <t>n°</t>
  </si>
  <si>
    <t>FLUENCE littérale</t>
  </si>
  <si>
    <t>Chemin</t>
  </si>
  <si>
    <t>chemise</t>
  </si>
  <si>
    <t>conseil</t>
  </si>
  <si>
    <t>chambre</t>
  </si>
  <si>
    <t>coronavirus</t>
  </si>
  <si>
    <t>couteau</t>
  </si>
  <si>
    <t>Décision categorielle</t>
  </si>
  <si>
    <t>hélice</t>
  </si>
  <si>
    <t>lime</t>
  </si>
  <si>
    <t xml:space="preserve">taupe </t>
  </si>
  <si>
    <t>tambourin</t>
  </si>
  <si>
    <t>koala</t>
  </si>
  <si>
    <t xml:space="preserve">oie </t>
  </si>
  <si>
    <t>léopard</t>
  </si>
  <si>
    <t>pichet</t>
  </si>
  <si>
    <t>méduse</t>
  </si>
  <si>
    <t>toucan</t>
  </si>
  <si>
    <t>cor</t>
  </si>
  <si>
    <t>poêle</t>
  </si>
  <si>
    <t>hyène</t>
  </si>
  <si>
    <t xml:space="preserve">pigeon </t>
  </si>
  <si>
    <t>coq</t>
  </si>
  <si>
    <t>spatule</t>
  </si>
  <si>
    <t>kangourou</t>
  </si>
  <si>
    <t>chaîne</t>
  </si>
  <si>
    <t xml:space="preserve">moustique </t>
  </si>
  <si>
    <t>mouche</t>
  </si>
  <si>
    <t>chèvre</t>
  </si>
  <si>
    <t>microscope</t>
  </si>
  <si>
    <t>tondeuse</t>
  </si>
  <si>
    <t>fouet</t>
  </si>
  <si>
    <t>autruche</t>
  </si>
  <si>
    <t>saxophone</t>
  </si>
  <si>
    <t>église</t>
  </si>
  <si>
    <t>stéthoscope</t>
  </si>
  <si>
    <t xml:space="preserve">limace </t>
  </si>
  <si>
    <t>seringue</t>
  </si>
  <si>
    <t>panda</t>
  </si>
  <si>
    <t>puits</t>
  </si>
  <si>
    <t>rhinocéros</t>
  </si>
  <si>
    <t>télescope</t>
  </si>
  <si>
    <t>sauterelle</t>
  </si>
  <si>
    <t>toupie</t>
  </si>
  <si>
    <t xml:space="preserve">poussin </t>
  </si>
  <si>
    <t>igloo</t>
  </si>
  <si>
    <t>tortue</t>
  </si>
  <si>
    <t>sifflet</t>
  </si>
  <si>
    <t>Réponse après coup</t>
  </si>
  <si>
    <t>SCORE : bonne réponse</t>
  </si>
  <si>
    <t>non living</t>
  </si>
  <si>
    <t xml:space="preserve">absence de réponse : </t>
  </si>
  <si>
    <t xml:space="preserve">erreurs : </t>
  </si>
  <si>
    <t>Dénomination</t>
  </si>
  <si>
    <t>Score 29 /40</t>
  </si>
  <si>
    <t>TELEPHON.bmp</t>
  </si>
  <si>
    <t>CAT.bmp</t>
  </si>
  <si>
    <t>PIANO.bmp</t>
  </si>
  <si>
    <t>GLASSES.bmp</t>
  </si>
  <si>
    <t>THERMOME.bmp</t>
  </si>
  <si>
    <t>SAW.bmp</t>
  </si>
  <si>
    <t>SYRINGE.bmp</t>
  </si>
  <si>
    <t>ZEBRA.bmp</t>
  </si>
  <si>
    <t>FISH.bmp</t>
  </si>
  <si>
    <t>IGLOO.bmp</t>
  </si>
  <si>
    <t>SPIDER.bmp</t>
  </si>
  <si>
    <t>LOCK.bmp</t>
  </si>
  <si>
    <t>SCALE.bmp</t>
  </si>
  <si>
    <t>MICROSCO.bmp</t>
  </si>
  <si>
    <t>PANDA.bmp</t>
  </si>
  <si>
    <t>ARROW.bmp</t>
  </si>
  <si>
    <t>GRAPES.bmp</t>
  </si>
  <si>
    <t>FORK.bmp</t>
  </si>
  <si>
    <t>KOALA.bmp</t>
  </si>
  <si>
    <t>HELICOPT.bmp</t>
  </si>
  <si>
    <t>PINEAPPL.bmp</t>
  </si>
  <si>
    <t>DOLPHIN.bmp</t>
  </si>
  <si>
    <t>LION.bmp</t>
  </si>
  <si>
    <t>WINDMILL.bmp</t>
  </si>
  <si>
    <t>HAMMER.bmp</t>
  </si>
  <si>
    <t>LIGHTBUL.bmp</t>
  </si>
  <si>
    <t>CACTUS.bmp</t>
  </si>
  <si>
    <t>PENGUIN.bmp</t>
  </si>
  <si>
    <t>BOOK.bmp</t>
  </si>
  <si>
    <t>SNAIL.bmp</t>
  </si>
  <si>
    <t>GUITAR.bmp</t>
  </si>
  <si>
    <t>SNAKE.bmp</t>
  </si>
  <si>
    <t>BUTTERFL.bmp</t>
  </si>
  <si>
    <t>SQUIRREL.bmp</t>
  </si>
  <si>
    <t>BELL.bmp</t>
  </si>
  <si>
    <t>TURTLE.bmp</t>
  </si>
  <si>
    <t>ELEPHANT.bmp</t>
  </si>
  <si>
    <t>GARBAGEC.bmp</t>
  </si>
  <si>
    <t>ARTICHOK.bmp</t>
  </si>
  <si>
    <t>FLOWER.bmp</t>
  </si>
  <si>
    <t>Profession</t>
  </si>
  <si>
    <t>BIP</t>
  </si>
  <si>
    <t>score 2/14</t>
  </si>
  <si>
    <t>Post-1</t>
  </si>
  <si>
    <t>29.06.2020</t>
  </si>
  <si>
    <t>score 8/26</t>
  </si>
  <si>
    <t>score 21/26</t>
  </si>
  <si>
    <t>Post 1</t>
  </si>
  <si>
    <t>26/26</t>
  </si>
  <si>
    <t>score 25/26</t>
  </si>
  <si>
    <t>Score 0</t>
  </si>
  <si>
    <t>fraises</t>
  </si>
  <si>
    <t>yaourts</t>
  </si>
  <si>
    <t>fruits</t>
  </si>
  <si>
    <t>légumes</t>
  </si>
  <si>
    <t>lettre C</t>
  </si>
  <si>
    <t>Chloé</t>
  </si>
  <si>
    <t>conserve</t>
  </si>
  <si>
    <t>concert</t>
  </si>
  <si>
    <t>Colette</t>
  </si>
  <si>
    <t>Cleménce</t>
  </si>
  <si>
    <t>canard</t>
  </si>
  <si>
    <t>capitaux</t>
  </si>
  <si>
    <t>clous</t>
  </si>
  <si>
    <t>chamaux</t>
  </si>
  <si>
    <t>Score 22 /40</t>
  </si>
  <si>
    <t>Status</t>
  </si>
  <si>
    <r>
      <t>Score  :</t>
    </r>
    <r>
      <rPr>
        <b/>
        <sz val="12"/>
        <color rgb="FFFF0000"/>
        <rFont val="Calibri"/>
        <family val="2"/>
        <scheme val="minor"/>
      </rPr>
      <t xml:space="preserve"> 4</t>
    </r>
    <r>
      <rPr>
        <b/>
        <sz val="12"/>
        <color theme="1"/>
        <rFont val="Calibri"/>
        <family val="2"/>
        <scheme val="minor"/>
      </rPr>
      <t xml:space="preserve"> /40</t>
    </r>
  </si>
  <si>
    <t>Post 2</t>
  </si>
  <si>
    <t>Romy Schneider</t>
  </si>
  <si>
    <t>Gérard Depardieu</t>
  </si>
  <si>
    <t>Charles Aznavour</t>
  </si>
  <si>
    <t>Yves Montand</t>
  </si>
  <si>
    <t>Sylvie Vartan</t>
  </si>
  <si>
    <t>Juliette Greco</t>
  </si>
  <si>
    <t>Pierre Richard</t>
  </si>
  <si>
    <t>Jean Pierre Foulcault</t>
  </si>
  <si>
    <t>Edouard Balladur</t>
  </si>
  <si>
    <t>Bourvil</t>
  </si>
  <si>
    <t>Miou Miou</t>
  </si>
  <si>
    <t>Renaud</t>
  </si>
  <si>
    <t>Pascal Sevran</t>
  </si>
  <si>
    <t>Jacques Chirac</t>
  </si>
  <si>
    <t>score 4/14</t>
  </si>
  <si>
    <t>09.07.2020</t>
  </si>
  <si>
    <t>fleurs</t>
  </si>
  <si>
    <t>pique</t>
  </si>
  <si>
    <t>08.07.2020</t>
  </si>
  <si>
    <t>lettre P</t>
  </si>
  <si>
    <t>papa</t>
  </si>
  <si>
    <t>petit</t>
  </si>
  <si>
    <t>poisson</t>
  </si>
  <si>
    <t>Paul</t>
  </si>
  <si>
    <t>fournitures</t>
  </si>
  <si>
    <t>plan</t>
  </si>
  <si>
    <t>08/07.2020</t>
  </si>
  <si>
    <t>Post-2</t>
  </si>
  <si>
    <t>viv18.bmp</t>
  </si>
  <si>
    <t>nonviv8.bmp</t>
  </si>
  <si>
    <t>nonviv10.bmp</t>
  </si>
  <si>
    <t>viv17.bmp</t>
  </si>
  <si>
    <t>viv9.bmp</t>
  </si>
  <si>
    <t>viv26.bmp</t>
  </si>
  <si>
    <t>nonviv18.bmp</t>
  </si>
  <si>
    <t>viv24.bmp</t>
  </si>
  <si>
    <t>nonviv14.bmp</t>
  </si>
  <si>
    <t>nonviv11.bmp</t>
  </si>
  <si>
    <t>viv15.bmp</t>
  </si>
  <si>
    <t>nonviv17.bmp</t>
  </si>
  <si>
    <t>viv7.bmp</t>
  </si>
  <si>
    <t>viv5.bmp</t>
  </si>
  <si>
    <t>nonviv12.bmp</t>
  </si>
  <si>
    <t>nonviv13.bmp</t>
  </si>
  <si>
    <t>viv14.bmp</t>
  </si>
  <si>
    <t>nonviv19.bmp</t>
  </si>
  <si>
    <t>viv11.bmp</t>
  </si>
  <si>
    <t>nonviv15.bmp</t>
  </si>
  <si>
    <t>viv6.bmp</t>
  </si>
  <si>
    <t>nonviv7.bmp</t>
  </si>
  <si>
    <t>viv8.bmp</t>
  </si>
  <si>
    <t>viv25.bmp</t>
  </si>
  <si>
    <t>nonviv9.bmp</t>
  </si>
  <si>
    <t>nonviv16.bmp</t>
  </si>
  <si>
    <t>Fig1v1.tif</t>
  </si>
  <si>
    <t>Fig12v1.tif</t>
  </si>
  <si>
    <t>Fig10v1.tif</t>
  </si>
  <si>
    <t>Fig14v1.tif</t>
  </si>
  <si>
    <t>Fig13v1.tif</t>
  </si>
  <si>
    <t>Fig26v1.tif</t>
  </si>
  <si>
    <t>Fig22v1.tif</t>
  </si>
  <si>
    <t>Fig15v1.tif</t>
  </si>
  <si>
    <t>Fig24v1.tif</t>
  </si>
  <si>
    <t>Fig6v1.tif</t>
  </si>
  <si>
    <t>Fig5v1.tif</t>
  </si>
  <si>
    <t>Fig20v1.tif</t>
  </si>
  <si>
    <t>Fig25v1.tif</t>
  </si>
  <si>
    <t>Fig18v1.tif</t>
  </si>
  <si>
    <t>Fig3v1.tif</t>
  </si>
  <si>
    <t>Fig7v1.tif</t>
  </si>
  <si>
    <t>Fig9v1.tif</t>
  </si>
  <si>
    <t>Fig21v1.tif</t>
  </si>
  <si>
    <t>Fig4v1.tif</t>
  </si>
  <si>
    <t>Fig8v1.tif</t>
  </si>
  <si>
    <t>Fig17v1.tif</t>
  </si>
  <si>
    <t>Fig19v1.tif</t>
  </si>
  <si>
    <t>Fig11v1.tif</t>
  </si>
  <si>
    <t>Fig16v1.tif</t>
  </si>
  <si>
    <t>Fig23v1.tif</t>
  </si>
  <si>
    <t>Fig2v1.tif</t>
  </si>
  <si>
    <t>score 24/26</t>
  </si>
  <si>
    <t>hippopotame</t>
  </si>
  <si>
    <t>bouilloire</t>
  </si>
  <si>
    <t>landau</t>
  </si>
  <si>
    <t xml:space="preserve">crevette </t>
  </si>
  <si>
    <t>fourchette</t>
  </si>
  <si>
    <t>hippocampe</t>
  </si>
  <si>
    <t>parachute</t>
  </si>
  <si>
    <t>blatte</t>
  </si>
  <si>
    <t>luge</t>
  </si>
  <si>
    <t>grenouille</t>
  </si>
  <si>
    <t>bassine</t>
  </si>
  <si>
    <t xml:space="preserve">hérisson </t>
  </si>
  <si>
    <t>ballon</t>
  </si>
  <si>
    <t>entonnoir</t>
  </si>
  <si>
    <t>éléphant</t>
  </si>
  <si>
    <t xml:space="preserve">lionceau </t>
  </si>
  <si>
    <t>buffle</t>
  </si>
  <si>
    <t>flèche</t>
  </si>
  <si>
    <t>boussole</t>
  </si>
  <si>
    <t>agneau</t>
  </si>
  <si>
    <t>compas</t>
  </si>
  <si>
    <t>cloche</t>
  </si>
  <si>
    <t>baleine</t>
  </si>
  <si>
    <t>hamac</t>
  </si>
  <si>
    <t>cygne</t>
  </si>
  <si>
    <t>bocal</t>
  </si>
  <si>
    <t>cerf</t>
  </si>
  <si>
    <t>barbecue</t>
  </si>
  <si>
    <t>fourmilier</t>
  </si>
  <si>
    <t>élan</t>
  </si>
  <si>
    <t>accordéon</t>
  </si>
  <si>
    <t>paon</t>
  </si>
  <si>
    <t>balançoire</t>
  </si>
  <si>
    <t>éventail</t>
  </si>
  <si>
    <t>dauphin</t>
  </si>
  <si>
    <t xml:space="preserve">huître </t>
  </si>
  <si>
    <t>cymbales</t>
  </si>
  <si>
    <t>enclume</t>
  </si>
  <si>
    <t xml:space="preserve">colombe </t>
  </si>
  <si>
    <t>Score 26 /40</t>
  </si>
  <si>
    <t>HIPPOPOT.bmp</t>
  </si>
  <si>
    <t>PEANUT.bmp</t>
  </si>
  <si>
    <t>WHISTLE.bmp</t>
  </si>
  <si>
    <t>BRUSH.bmp</t>
  </si>
  <si>
    <t>MOTORCYC.bmp</t>
  </si>
  <si>
    <t>DEER.bmp</t>
  </si>
  <si>
    <t>GIRAFFE.bmp</t>
  </si>
  <si>
    <t>FAUCET.bmp</t>
  </si>
  <si>
    <t>SHARK.bmp</t>
  </si>
  <si>
    <t>PIPE.bmp</t>
  </si>
  <si>
    <t>CIGAR.bmp</t>
  </si>
  <si>
    <t>SWAN.bmp</t>
  </si>
  <si>
    <t>PANTS.bmp</t>
  </si>
  <si>
    <t>HORSE.bmp</t>
  </si>
  <si>
    <t>CROWN.bmp</t>
  </si>
  <si>
    <t>SCORPION.bmp</t>
  </si>
  <si>
    <t>CRAB.bmp</t>
  </si>
  <si>
    <t>AXE.bmp</t>
  </si>
  <si>
    <t>TIGER.bmp</t>
  </si>
  <si>
    <t>RABBIT.bmp</t>
  </si>
  <si>
    <t>OSTRICH.bmp</t>
  </si>
  <si>
    <t>WHALE.bmp</t>
  </si>
  <si>
    <t>CANDLE.bmp</t>
  </si>
  <si>
    <t>HARP.bmp</t>
  </si>
  <si>
    <t>APPLE.bmp</t>
  </si>
  <si>
    <t>TABLE.bmp</t>
  </si>
  <si>
    <t>ANCHOR.bmp</t>
  </si>
  <si>
    <t>BINOCULA.bmp</t>
  </si>
  <si>
    <t>BEAR.bmp</t>
  </si>
  <si>
    <t>CARROT.bmp</t>
  </si>
  <si>
    <t>MUSHROOM.bmp</t>
  </si>
  <si>
    <t>HANGER.bmp</t>
  </si>
  <si>
    <t>RHINOCER.bmp</t>
  </si>
  <si>
    <t>GLASS.bmp</t>
  </si>
  <si>
    <t>SWING.bmp</t>
  </si>
  <si>
    <t>PEAR.bmp</t>
  </si>
  <si>
    <t>KANGAROO.bmp</t>
  </si>
  <si>
    <t>PYRAMID.bmp</t>
  </si>
  <si>
    <t>VIOLIN.bmp</t>
  </si>
  <si>
    <t>BROOM.bmp</t>
  </si>
  <si>
    <t>Réponse</t>
  </si>
  <si>
    <t>c'est un animal mais je ne sais plus son nom</t>
  </si>
  <si>
    <t>ça je ne sais pas ce que c'est , c'est un fruit ?</t>
  </si>
  <si>
    <t>ça c'est je savais ce que c'était mais je ne sais plus</t>
  </si>
  <si>
    <t>oui,ça c'est pour euh frotter</t>
  </si>
  <si>
    <t>une moto</t>
  </si>
  <si>
    <t>c'est un animal, bien sûr il y a en France ça</t>
  </si>
  <si>
    <t>ça c'est en Chine, en Chine c'est en, bas de la France c'est en …chez les noirs</t>
  </si>
  <si>
    <t>ça c'est pour se laver les mains</t>
  </si>
  <si>
    <t>ça c'est un poisson</t>
  </si>
  <si>
    <t>ça ne se fait plus c'était pour fumer, il y en a moins alors quand on était jeunes</t>
  </si>
  <si>
    <t>ça je ne vois pas ce que c'est ça</t>
  </si>
  <si>
    <t>ça c'est un animal mais chais pas où ils sont</t>
  </si>
  <si>
    <t>ça c'est une euh….</t>
  </si>
  <si>
    <t>ça c'est un c'est un animal je faisais ça je montais sur…</t>
  </si>
  <si>
    <t>ça c'est pour mettre sur la tête surtout les petits enfants</t>
  </si>
  <si>
    <t>ça c'est un animal aussi et ça se mange ce ceux qui sont euh</t>
  </si>
  <si>
    <t>ça aussi c'est animal</t>
  </si>
  <si>
    <t xml:space="preserve">ça c'est un couteau </t>
  </si>
  <si>
    <t>c'est un animal qui n'est pas en France</t>
  </si>
  <si>
    <t>c'est c'est bien sûr que c'est en France</t>
  </si>
  <si>
    <t>ça aussi c'est un animal je ne sais plus comment il s'appelle</t>
  </si>
  <si>
    <t>c'est une poisson</t>
  </si>
  <si>
    <t>ça c'est pour le la lumière</t>
  </si>
  <si>
    <t>ça c'est pour la musiquie</t>
  </si>
  <si>
    <t>ça se mange</t>
  </si>
  <si>
    <t>ça c'est un un plat</t>
  </si>
  <si>
    <t>ça c'est pour la , dans l'eau pou arrêter…</t>
  </si>
  <si>
    <t>ça c'est pour voir euh plus haut, bien et</t>
  </si>
  <si>
    <t>très loin</t>
  </si>
  <si>
    <t>un animal mais je ne sais plus comment il s'appelle non plus, ah c'est pas en France ça</t>
  </si>
  <si>
    <t>ça ça se mange</t>
  </si>
  <si>
    <t>ah oui, j'adorais ça, mais ça peut il faut faire attention ça peut flinguer</t>
  </si>
  <si>
    <t>ça oui, c'est pour les chemises</t>
  </si>
  <si>
    <t>ça c'est aussi en, chez les noirs</t>
  </si>
  <si>
    <t>ça c'est les euh les verres</t>
  </si>
  <si>
    <t>ça c'est pour mettre les vêtements</t>
  </si>
  <si>
    <t>c'est encore quelque chose qu'on ma,ge</t>
  </si>
  <si>
    <t>ah ouin c'est aussi en , c'est pas en France</t>
  </si>
  <si>
    <t>ça c'est en  euh…c'est à côté</t>
  </si>
  <si>
    <t>ça c'est pour le la lumière (fait le geste comme guitare)</t>
  </si>
  <si>
    <t>ça c'est pour nettoyer</t>
  </si>
  <si>
    <r>
      <t>Score  :</t>
    </r>
    <r>
      <rPr>
        <b/>
        <sz val="12"/>
        <color rgb="FFFF0000"/>
        <rFont val="Calibri"/>
        <family val="2"/>
        <scheme val="minor"/>
      </rPr>
      <t xml:space="preserve"> 2</t>
    </r>
    <r>
      <rPr>
        <b/>
        <sz val="12"/>
        <color theme="1"/>
        <rFont val="Calibri"/>
        <family val="2"/>
        <scheme val="minor"/>
      </rPr>
      <t xml:space="preserve"> /40</t>
    </r>
  </si>
  <si>
    <t>Stimulus</t>
  </si>
  <si>
    <t>API</t>
  </si>
  <si>
    <t>regulier</t>
  </si>
  <si>
    <t>languette</t>
  </si>
  <si>
    <t>non mot</t>
  </si>
  <si>
    <t>noumiste</t>
  </si>
  <si>
    <t>irregulier</t>
  </si>
  <si>
    <t>faisan</t>
  </si>
  <si>
    <t>Lecture</t>
  </si>
  <si>
    <t>figoir</t>
  </si>
  <si>
    <t>caspau</t>
  </si>
  <si>
    <t>pouliche</t>
  </si>
  <si>
    <t>couguar</t>
  </si>
  <si>
    <t>dompteur</t>
  </si>
  <si>
    <t>vakou</t>
  </si>
  <si>
    <t>monsieur</t>
  </si>
  <si>
    <t>légume</t>
  </si>
  <si>
    <t>répoune</t>
  </si>
  <si>
    <t>bloc</t>
  </si>
  <si>
    <t>vapou</t>
  </si>
  <si>
    <t>achupe</t>
  </si>
  <si>
    <t>charisme</t>
  </si>
  <si>
    <t>ʃaᴚismə</t>
  </si>
  <si>
    <t>lichen</t>
  </si>
  <si>
    <t>iguane</t>
  </si>
  <si>
    <t>service</t>
  </si>
  <si>
    <t>chêne</t>
  </si>
  <si>
    <t>mirsane</t>
  </si>
  <si>
    <t>saul</t>
  </si>
  <si>
    <t>square</t>
  </si>
  <si>
    <t>quartz</t>
  </si>
  <si>
    <t>pintatine</t>
  </si>
  <si>
    <t>vatreuil</t>
  </si>
  <si>
    <t>chapelure</t>
  </si>
  <si>
    <t>orchidée</t>
  </si>
  <si>
    <t>coualte</t>
  </si>
  <si>
    <t>reliquat</t>
  </si>
  <si>
    <t>aric</t>
  </si>
  <si>
    <t>pentagone</t>
  </si>
  <si>
    <t>géranium</t>
  </si>
  <si>
    <t>pouls</t>
  </si>
  <si>
    <t>équation</t>
  </si>
  <si>
    <t>houle</t>
  </si>
  <si>
    <t>mythe</t>
  </si>
  <si>
    <t>outil</t>
  </si>
  <si>
    <t>util</t>
  </si>
  <si>
    <t>pendentif</t>
  </si>
  <si>
    <t>porche</t>
  </si>
  <si>
    <t>balcon</t>
  </si>
  <si>
    <t>instinct</t>
  </si>
  <si>
    <t>contact</t>
  </si>
  <si>
    <t>locrume</t>
  </si>
  <si>
    <t>crofilu</t>
  </si>
  <si>
    <t>wagon</t>
  </si>
  <si>
    <t>wagɔ̃</t>
  </si>
  <si>
    <t>tonguelle</t>
  </si>
  <si>
    <t>ochisse</t>
  </si>
  <si>
    <t>sédiment</t>
  </si>
  <si>
    <t>galop</t>
  </si>
  <si>
    <t>sagon</t>
  </si>
  <si>
    <t>tronc</t>
  </si>
  <si>
    <t>kiosque</t>
  </si>
  <si>
    <t>bec</t>
  </si>
  <si>
    <t>astrigon</t>
  </si>
  <si>
    <t>pougo</t>
  </si>
  <si>
    <t>laitue</t>
  </si>
  <si>
    <t>pied</t>
  </si>
  <si>
    <t>marecte</t>
  </si>
  <si>
    <t>respect</t>
  </si>
  <si>
    <t>izome</t>
  </si>
  <si>
    <t>sculpture</t>
  </si>
  <si>
    <t>covric</t>
  </si>
  <si>
    <t>réflexion</t>
  </si>
  <si>
    <t>emmenthal</t>
  </si>
  <si>
    <t>volupté</t>
  </si>
  <si>
    <t>bitume</t>
  </si>
  <si>
    <t>consul</t>
  </si>
  <si>
    <t>lecture</t>
  </si>
  <si>
    <t>ubron</t>
  </si>
  <si>
    <t>amachile</t>
  </si>
  <si>
    <t>spune</t>
  </si>
  <si>
    <t>paltice</t>
  </si>
  <si>
    <t>tabac</t>
  </si>
  <si>
    <t>clef</t>
  </si>
  <si>
    <t>saoul</t>
  </si>
  <si>
    <t>koumilié</t>
  </si>
  <si>
    <t>jaguar</t>
  </si>
  <si>
    <t>flanc</t>
  </si>
  <si>
    <t>arkiton</t>
  </si>
  <si>
    <t>choeur</t>
  </si>
  <si>
    <t>chlore</t>
  </si>
  <si>
    <t>oisillon</t>
  </si>
  <si>
    <t>manioc</t>
  </si>
  <si>
    <t>oignon</t>
  </si>
  <si>
    <t xml:space="preserve">waɲɔ̃ </t>
  </si>
  <si>
    <t>dolcon</t>
  </si>
  <si>
    <t>ciel</t>
  </si>
  <si>
    <t>estomac</t>
  </si>
  <si>
    <t>εstᴐmak</t>
  </si>
  <si>
    <t>colume</t>
  </si>
  <si>
    <t>ɛ̃ stak</t>
  </si>
  <si>
    <t>wazilɔ̃</t>
  </si>
  <si>
    <r>
      <t>li</t>
    </r>
    <r>
      <rPr>
        <sz val="11"/>
        <color theme="1"/>
        <rFont val="Calibri"/>
        <family val="2"/>
      </rPr>
      <t>ʃεn</t>
    </r>
  </si>
  <si>
    <r>
      <t>kl</t>
    </r>
    <r>
      <rPr>
        <sz val="11"/>
        <color theme="1"/>
        <rFont val="Calibri"/>
        <family val="2"/>
      </rPr>
      <t>εʃ</t>
    </r>
  </si>
  <si>
    <r>
      <t>l</t>
    </r>
    <r>
      <rPr>
        <sz val="11"/>
        <color theme="1"/>
        <rFont val="Calibri"/>
        <family val="2"/>
      </rPr>
      <t>ᴐgᴚum</t>
    </r>
  </si>
  <si>
    <t>ᴐᴚʃide</t>
  </si>
  <si>
    <r>
      <t>p</t>
    </r>
    <r>
      <rPr>
        <sz val="11"/>
        <color theme="1"/>
        <rFont val="Calibri"/>
        <family val="2"/>
      </rPr>
      <t>ἕtadin</t>
    </r>
  </si>
  <si>
    <t>38/45</t>
  </si>
  <si>
    <t>tabak</t>
  </si>
  <si>
    <r>
      <t>s</t>
    </r>
    <r>
      <rPr>
        <sz val="11"/>
        <color theme="1"/>
        <rFont val="Calibri"/>
        <family val="2"/>
      </rPr>
      <t>εgmɔ̃</t>
    </r>
  </si>
  <si>
    <r>
      <t>li</t>
    </r>
    <r>
      <rPr>
        <sz val="11"/>
        <color theme="1"/>
        <rFont val="Calibri"/>
        <family val="2"/>
      </rPr>
      <t>ʃᾰ</t>
    </r>
  </si>
  <si>
    <t>ᴐʃizə</t>
  </si>
  <si>
    <t>S</t>
  </si>
  <si>
    <r>
      <t>vat</t>
    </r>
    <r>
      <rPr>
        <sz val="11"/>
        <color theme="1"/>
        <rFont val="Calibri"/>
        <family val="2"/>
      </rPr>
      <t>ᴚijel</t>
    </r>
  </si>
  <si>
    <t>ʃɶᴚ</t>
  </si>
  <si>
    <t>igan</t>
  </si>
  <si>
    <t>ӡagaᴚ</t>
  </si>
  <si>
    <t xml:space="preserve">aspᴚigɔ̃ </t>
  </si>
  <si>
    <t>corrigé après coup</t>
  </si>
  <si>
    <r>
      <t>ku</t>
    </r>
    <r>
      <rPr>
        <sz val="11"/>
        <color theme="1"/>
        <rFont val="Calibri"/>
        <family val="2"/>
      </rPr>
      <t>ɳaᴚ</t>
    </r>
  </si>
  <si>
    <r>
      <t>ka</t>
    </r>
    <r>
      <rPr>
        <sz val="11"/>
        <color theme="1"/>
        <rFont val="Calibri"/>
        <family val="2"/>
      </rPr>
      <t>ᴚts</t>
    </r>
  </si>
  <si>
    <r>
      <t>pul</t>
    </r>
    <r>
      <rPr>
        <sz val="11"/>
        <color theme="1"/>
        <rFont val="Calibri"/>
        <family val="2"/>
      </rPr>
      <t>ə/ pus</t>
    </r>
  </si>
  <si>
    <r>
      <t>t</t>
    </r>
    <r>
      <rPr>
        <sz val="11"/>
        <color theme="1"/>
        <rFont val="Calibri"/>
        <family val="2"/>
      </rPr>
      <t>ᴚɔ̃k</t>
    </r>
  </si>
  <si>
    <t>31/45</t>
  </si>
  <si>
    <t>AS verb</t>
  </si>
  <si>
    <t>INC</t>
  </si>
  <si>
    <t>Post 3</t>
  </si>
  <si>
    <t>AS visu</t>
  </si>
  <si>
    <t>Exe visu</t>
  </si>
  <si>
    <t>Flu Cat</t>
  </si>
  <si>
    <t>Flu litt.</t>
  </si>
  <si>
    <t>DC</t>
  </si>
  <si>
    <t>DENO</t>
  </si>
  <si>
    <t>Post-3</t>
  </si>
  <si>
    <t>27/10.2020</t>
  </si>
  <si>
    <t>AS visuelle</t>
  </si>
  <si>
    <t>27.10.2020</t>
  </si>
  <si>
    <t>25/26</t>
  </si>
  <si>
    <t>oranges</t>
  </si>
  <si>
    <t>ça pique</t>
  </si>
  <si>
    <t>rouges</t>
  </si>
  <si>
    <t>Picasso</t>
  </si>
  <si>
    <t>petite</t>
  </si>
  <si>
    <t>pouvoir</t>
  </si>
  <si>
    <t xml:space="preserve">pour </t>
  </si>
  <si>
    <t>DC TR</t>
  </si>
  <si>
    <t>Score 19 /40</t>
  </si>
  <si>
    <t>c'est pour la musique</t>
  </si>
  <si>
    <t>ça c'est un animal, je ne sais plus le nom c'est pas en France</t>
  </si>
  <si>
    <t>ça je ne vois pas ce que c'est comme c'est sombre</t>
  </si>
  <si>
    <t>ça c'est aussi un animal c'est pas en France non plus</t>
  </si>
  <si>
    <t>un animal encore</t>
  </si>
  <si>
    <t>ça …</t>
  </si>
  <si>
    <t>ça cest pour euh grandir...</t>
  </si>
  <si>
    <t>ça c'est pour sur la tête</t>
  </si>
  <si>
    <t>ça je ne vois pas ce que c'est</t>
  </si>
  <si>
    <t>un animal j'ai plus les mots je ne sais pas comment il s'appelle</t>
  </si>
  <si>
    <t>c'est la musique</t>
  </si>
  <si>
    <t>ça c'est pour fumer mais c'est très rare, c'est très ancien</t>
  </si>
  <si>
    <t>ça c'est pour euh frotter</t>
  </si>
  <si>
    <t>encore un animal mais je sais plus le nom</t>
  </si>
  <si>
    <t>ça c'est dans la dans l'eau plur bloquer les …bloquer les</t>
  </si>
  <si>
    <t>ça c'est pour fumer la lumière</t>
  </si>
  <si>
    <t>ça je le faisais avant, je montais dessus</t>
  </si>
  <si>
    <t>que'est ce que c'est ça, c'est dans l'eau ça ?</t>
  </si>
  <si>
    <t>ça je l'utilise pour taper</t>
  </si>
  <si>
    <t>ça c'est dans le dans le sud, très loin très en Allemagne</t>
  </si>
  <si>
    <t>ça ça peut être en France ça, un animal</t>
  </si>
  <si>
    <t>ah oui, c'est un truc très ancioen à côté de l'Afrique</t>
  </si>
  <si>
    <t>ça oui, c'est un …( faut le geste de toucher la table)</t>
  </si>
  <si>
    <t>je sais plus à quoi ça sert ça</t>
  </si>
  <si>
    <t>c'est pour manger….c'est un oiseau</t>
  </si>
  <si>
    <t>ça c'est pas en France non plus et il y en a qui flanguait pour</t>
  </si>
  <si>
    <t>c'est pour frotter, nettoyer</t>
  </si>
  <si>
    <t>encote un oiseau mais qui est dans l'eau</t>
  </si>
  <si>
    <t>ça c'est on en a souvent…des</t>
  </si>
  <si>
    <t>ça c'est un, dans l'eau aussi</t>
  </si>
  <si>
    <t>ça s'est pour euh mettre les cho….</t>
  </si>
  <si>
    <t>ça se mange aussi mais il faut faire attention, ça peut …</t>
  </si>
  <si>
    <t>ça euh ça se mange aussi c'est dans l'eau, c'est super ça</t>
  </si>
  <si>
    <t>ça c'est pour l'eau</t>
  </si>
  <si>
    <t>ça c'est un euh….</t>
  </si>
  <si>
    <t>c'est encore à, ça se mange</t>
  </si>
  <si>
    <t>ça je ne vois pas ce que c'est ça c'est pour peser les</t>
  </si>
  <si>
    <t>ça c'est un un animal</t>
  </si>
  <si>
    <t>ça c'est une pour euh, verre , voir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</si>
  <si>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1/40</t>
    </r>
  </si>
  <si>
    <t>AS verb TR</t>
  </si>
  <si>
    <t>AS visu TR</t>
  </si>
  <si>
    <t>EXE verb RT</t>
  </si>
  <si>
    <t>Exe visu RT</t>
  </si>
  <si>
    <t>j'ai plus les mots</t>
  </si>
  <si>
    <t>INC Nacc</t>
  </si>
  <si>
    <t>nonviv.mot19.bmp</t>
  </si>
  <si>
    <t>viv.mot18.bmp</t>
  </si>
  <si>
    <t>viv.mot11.bmp</t>
  </si>
  <si>
    <t>nonviv.mot11.bmp</t>
  </si>
  <si>
    <t>nonviv.mot16.bmp</t>
  </si>
  <si>
    <t>nonviv.mot12.bmp</t>
  </si>
  <si>
    <t>viv.mot6.bmp</t>
  </si>
  <si>
    <t>nonviv.mot17.bmp</t>
  </si>
  <si>
    <t>viv.mot5.bmp</t>
  </si>
  <si>
    <t>viv.mot26.bmp</t>
  </si>
  <si>
    <t>viv.mot24.bmp</t>
  </si>
  <si>
    <t>nonviv.mot8.bmp</t>
  </si>
  <si>
    <t>nonviv.mot7.bmp</t>
  </si>
  <si>
    <t>viv.mot8.bmp</t>
  </si>
  <si>
    <t>viv.mot14.bmp</t>
  </si>
  <si>
    <t>viv.mot25.bmp</t>
  </si>
  <si>
    <t>viv.mot17.bmp</t>
  </si>
  <si>
    <t>nonviv.mot9.bmp</t>
  </si>
  <si>
    <t>nonviv.mot15.bmp</t>
  </si>
  <si>
    <t>nonviv.mot18.bmp</t>
  </si>
  <si>
    <t>viv.mot9.bmp</t>
  </si>
  <si>
    <t>viv.mot15.bmp</t>
  </si>
  <si>
    <t>nonviv.mot14.bmp</t>
  </si>
  <si>
    <t>nonviv.mot10.bmp</t>
  </si>
  <si>
    <t>viv.mot7.bmp</t>
  </si>
  <si>
    <t>nonviv.mot13.bmp</t>
  </si>
  <si>
    <t>08/032021</t>
  </si>
  <si>
    <t>score 17/26</t>
  </si>
  <si>
    <t>score 16/26</t>
  </si>
  <si>
    <t>score 13/26</t>
  </si>
  <si>
    <t>Post Nacc</t>
  </si>
  <si>
    <t>ça c'est la… la… halo? ( fait le geste)</t>
  </si>
  <si>
    <t>ça c'est pour la musique euh je ne sais plus comment ça s'appelle</t>
  </si>
  <si>
    <t>ça c'est pour euh savoiur le chauffage, je ne sais plus comment ça s'appelle</t>
  </si>
  <si>
    <t>ça c'est …. Outil ( réecouter)</t>
  </si>
  <si>
    <t>ça c'était, les médecins comme on était, pour piquer</t>
  </si>
  <si>
    <t>ça, oui, je ne sais plus comment il s'appelle</t>
  </si>
  <si>
    <t>ça … un oiseau non ?</t>
  </si>
  <si>
    <t>ça c'est une une euh…</t>
  </si>
  <si>
    <t>ça c'est (petit fruit) (é réecouter)</t>
  </si>
  <si>
    <t>ça c'est pour fermer aussi, à clé, je ne sais plus comment il s'appelle</t>
  </si>
  <si>
    <t xml:space="preserve">ça je ne sais pas ce que c'est </t>
  </si>
  <si>
    <t>ça c'est pour euh….je ne sais plus non plus</t>
  </si>
  <si>
    <t>ça oui, c'est un …. Un petit, fin grand en plus, je ne sais pas ce que c'est</t>
  </si>
  <si>
    <t>ça c'est … j'en au dans mon cabinet, c'est pour faire du vin</t>
  </si>
  <si>
    <t>ça c'est le …. C'est pour manger, j'ai plus le nom maintenant</t>
  </si>
  <si>
    <t>ça c'est des… je sais plus, ces animaus, comment ils s'appellent</t>
  </si>
  <si>
    <t>ça c'est oui…. Je sais plus</t>
  </si>
  <si>
    <t>ça j'en mange régulièrement ça, je me fais….j'ouvre, il me le coupe</t>
  </si>
  <si>
    <t>ça c'est un oiseau, je ne sais pas ce que c'est</t>
  </si>
  <si>
    <t>je n'ai pas le mot non plus, c'est terrible</t>
  </si>
  <si>
    <t>ça c'est pour faire de l'éléctricité ou bien de l'eau, on en a plus en France ça</t>
  </si>
  <si>
    <t>ça c'est pour taper, j'en utilise régilièrement</t>
  </si>
  <si>
    <t>ça c'est li… lizeouille, fin les….</t>
  </si>
  <si>
    <t>ça c'est un …..</t>
  </si>
  <si>
    <t>ça c'est un, un animal aussi</t>
  </si>
  <si>
    <t>un papier</t>
  </si>
  <si>
    <t>ça, il sont plein dans mon jardin</t>
  </si>
  <si>
    <t>ça c'est pour la musique</t>
  </si>
  <si>
    <t>ah, il faut faire attention ça pique.</t>
  </si>
  <si>
    <t>ça il y en a de couleurs très différentes, peut être ils sont….</t>
  </si>
  <si>
    <t>je n'ai plus le mot non plus</t>
  </si>
  <si>
    <t>ça pour la cling cling dui soleuil euh la nuit</t>
  </si>
  <si>
    <t>comme ça c'est … (réecouter)</t>
  </si>
  <si>
    <t>ça c'est en Afrique mais pas en France</t>
  </si>
  <si>
    <t>ça c'est …. (réecouter)</t>
  </si>
  <si>
    <t>c'est sur les arbres</t>
  </si>
  <si>
    <t>ça c'est dans un, dans un jardin</t>
  </si>
  <si>
    <t>ça c'est un animaux mais je ne sais pas comment il s'appelle</t>
  </si>
  <si>
    <t>ça aussi c'est un animal mais je n'ai plus le nom</t>
  </si>
  <si>
    <t>un oiseau</t>
  </si>
  <si>
    <t>oui, ça c'est près de la mer, j'ai plus le nom non plus</t>
  </si>
  <si>
    <t>ça c'est un ….. Terrioble j'ai plus le nom</t>
  </si>
  <si>
    <t>ça ça peut être dangeureux si ça mort… en Afrique</t>
  </si>
  <si>
    <t>ça c'est …y'en a plein</t>
  </si>
  <si>
    <t>ça je m'en sers ( il fait le geste)</t>
  </si>
  <si>
    <t>un… ( fait le geste au lit)…. On luit, ça oui…</t>
  </si>
  <si>
    <t>ça c'est pour percer ( fait le geste)</t>
  </si>
  <si>
    <t>ça c'est lunettes</t>
  </si>
  <si>
    <t>ça c'est un oiseau</t>
  </si>
  <si>
    <t xml:space="preserve"> (fait le geste de scier et le bruit)</t>
  </si>
  <si>
    <t>hen N c'est pas haricot ?</t>
  </si>
  <si>
    <t>ça c'est pour la lumière mes parents en avaient</t>
  </si>
  <si>
    <t>ça y 'en a presque plus en France il y en a au nord</t>
  </si>
  <si>
    <t>ça c'est pour fair du vin on peut le boire aussi</t>
  </si>
  <si>
    <t>ça c'est pour boucher</t>
  </si>
  <si>
    <t>ça c'est, c'est dans l'eau</t>
  </si>
  <si>
    <t>oui, ça c'est pareil, il y en a plus non plus pour savoir le, le poids</t>
  </si>
  <si>
    <t xml:space="preserve">ça c'est pour euh mettre euh </t>
  </si>
  <si>
    <t>ça j'en prends, j'en mange</t>
  </si>
  <si>
    <t>ça c'est pour la, pour la chaleur</t>
  </si>
  <si>
    <t>la lumière</t>
  </si>
  <si>
    <t>c'est pour serrer</t>
  </si>
  <si>
    <t>chais pas ce que c'est ça</t>
  </si>
  <si>
    <t>c'est pour aller à gauche</t>
  </si>
  <si>
    <t>c'est pour faire le ding ding ding</t>
  </si>
  <si>
    <t>ça c'est le chat aussi non</t>
  </si>
  <si>
    <t>j'ai plus le mot</t>
  </si>
  <si>
    <t>ça c'est ce qui est dangeureux qui peut piquer</t>
  </si>
  <si>
    <t>fait le geste de mouvement</t>
  </si>
  <si>
    <t>des animaux</t>
  </si>
  <si>
    <t>ça c'est oui ce qui fait : (fait le geste)</t>
  </si>
  <si>
    <t>satus</t>
  </si>
  <si>
    <t>Text</t>
  </si>
  <si>
    <r>
      <t>vat</t>
    </r>
    <r>
      <rPr>
        <sz val="11"/>
        <color theme="1"/>
        <rFont val="Calibri"/>
        <family val="2"/>
      </rPr>
      <t>ᴚiεl</t>
    </r>
  </si>
  <si>
    <t>s</t>
  </si>
  <si>
    <t>ᴚεspεkt</t>
  </si>
  <si>
    <t>ʃaᴙismə</t>
  </si>
  <si>
    <r>
      <t>pj</t>
    </r>
    <r>
      <rPr>
        <sz val="11"/>
        <color theme="1"/>
        <rFont val="Calibri"/>
        <family val="2"/>
      </rPr>
      <t>εd</t>
    </r>
  </si>
  <si>
    <t>puls</t>
  </si>
  <si>
    <t>ʃᴐᴚ</t>
  </si>
  <si>
    <r>
      <t>kuga</t>
    </r>
    <r>
      <rPr>
        <sz val="11"/>
        <color theme="1"/>
        <rFont val="Calibri"/>
        <family val="2"/>
      </rPr>
      <t>ᴚ</t>
    </r>
  </si>
  <si>
    <r>
      <t>m</t>
    </r>
    <r>
      <rPr>
        <sz val="11"/>
        <color theme="1"/>
        <rFont val="Calibri"/>
        <family val="2"/>
      </rPr>
      <t>ᴐsjɶᴚ</t>
    </r>
  </si>
  <si>
    <t>INC- NACC</t>
  </si>
  <si>
    <t>POST1-NACC</t>
  </si>
  <si>
    <t>POST1 bis NACC</t>
  </si>
  <si>
    <t xml:space="preserve">Identification : </t>
  </si>
  <si>
    <t>Examen Clinique :</t>
  </si>
  <si>
    <t>Langage :</t>
  </si>
  <si>
    <t xml:space="preserve">ECRF </t>
  </si>
  <si>
    <t>examen neurologique élémentaire</t>
  </si>
  <si>
    <t>Echelle de sévérité de l'aphasie (BDAE)</t>
  </si>
  <si>
    <t>base de données EXCEL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</si>
  <si>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</si>
  <si>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</si>
  <si>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</si>
  <si>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</si>
  <si>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</si>
  <si>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</si>
  <si>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</si>
  <si>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</si>
  <si>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</si>
  <si>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</si>
  <si>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</si>
  <si>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</si>
  <si>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</si>
  <si>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</si>
  <si>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</si>
  <si>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</si>
  <si>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</si>
  <si>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</si>
  <si>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</si>
  <si>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</si>
  <si>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</si>
  <si>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</si>
  <si>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</si>
  <si>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</si>
  <si>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Empans chiffres directs</t>
  </si>
  <si>
    <t>Pyramide and Palm test (PPTI) verbal</t>
  </si>
  <si>
    <t>niveau d'études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</si>
  <si>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</si>
  <si>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</si>
  <si>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</si>
  <si>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</si>
  <si>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</si>
  <si>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</si>
  <si>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</si>
  <si>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</si>
  <si>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TMT B</t>
  </si>
  <si>
    <t>Test des portes A</t>
  </si>
  <si>
    <t>antécédents familiaux</t>
  </si>
  <si>
    <t>Test des portes B</t>
  </si>
  <si>
    <t>Praxies Mahieux</t>
  </si>
  <si>
    <t>001-0034-HB</t>
  </si>
  <si>
    <t>001-0032-HB</t>
  </si>
  <si>
    <t>homme</t>
  </si>
  <si>
    <t>droitier</t>
  </si>
  <si>
    <t>Bac +8 &gt;</t>
  </si>
  <si>
    <t>non</t>
  </si>
  <si>
    <t>normal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</si>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</sst>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9" tint="0.7999816888943144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17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0" xfId="0" applyFont="1" applyFill="1"/>
    <xf numFmtId="14" fontId="0" fillId="0" borderId="0" xfId="0" applyNumberFormat="1"/>
    <xf numFmtId="0" fontId="5" fillId="0" borderId="0" xfId="1" applyFont="1" applyAlignment="1" applyProtection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2" fillId="0" borderId="0" xfId="0" applyFont="1"/>
    <xf numFmtId="0" fontId="13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6" fillId="3" borderId="0" xfId="0" applyFont="1" applyFill="1"/>
    <xf numFmtId="0" fontId="14" fillId="4" borderId="0" xfId="0" applyFont="1" applyFill="1"/>
    <xf numFmtId="0" fontId="15" fillId="4" borderId="0" xfId="0" applyFont="1" applyFill="1"/>
    <xf numFmtId="0" fontId="15" fillId="0" borderId="0" xfId="0" applyFont="1" applyFill="1"/>
    <xf numFmtId="14" fontId="15" fillId="0" borderId="0" xfId="0" applyNumberFormat="1" applyFont="1"/>
    <xf numFmtId="0" fontId="15" fillId="5" borderId="0" xfId="0" applyFont="1" applyFill="1"/>
    <xf numFmtId="0" fontId="14" fillId="0" borderId="0" xfId="0" applyFont="1" applyFill="1"/>
    <xf numFmtId="0" fontId="15" fillId="3" borderId="0" xfId="0" applyFont="1" applyFill="1"/>
    <xf numFmtId="17" fontId="15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verbale'!$E$35</c:f>
              <c:strCache>
                <c:ptCount val="1"/>
                <c:pt idx="0">
                  <c:v>AS verb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verbale'!$F$34:$I$34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verbale'!$F$35:$I$35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C8-4444-83B8-96F6EBB20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862088"/>
        <c:axId val="311365224"/>
      </c:lineChart>
      <c:catAx>
        <c:axId val="23986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5224"/>
        <c:crosses val="autoZero"/>
        <c:auto val="1"/>
        <c:lblAlgn val="ctr"/>
        <c:lblOffset val="100"/>
        <c:noMultiLvlLbl val="0"/>
      </c:catAx>
      <c:valAx>
        <c:axId val="31136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9862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verbale'!$L$35</c:f>
              <c:strCache>
                <c:ptCount val="1"/>
                <c:pt idx="0">
                  <c:v>AS verb 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verbale'!$M$34:$P$34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verbale'!$M$35:$P$35</c:f>
              <c:numCache>
                <c:formatCode>General</c:formatCode>
                <c:ptCount val="4"/>
                <c:pt idx="0">
                  <c:v>6673.5</c:v>
                </c:pt>
                <c:pt idx="1">
                  <c:v>6279.5</c:v>
                </c:pt>
                <c:pt idx="2">
                  <c:v>5948.333333333333</c:v>
                </c:pt>
                <c:pt idx="3">
                  <c:v>6422.666666666667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244-4565-A788-AD377EED9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26128"/>
        <c:axId val="240726520"/>
      </c:lineChart>
      <c:catAx>
        <c:axId val="2407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726520"/>
        <c:crosses val="autoZero"/>
        <c:auto val="1"/>
        <c:lblAlgn val="ctr"/>
        <c:lblOffset val="100"/>
        <c:noMultiLvlLbl val="0"/>
      </c:catAx>
      <c:valAx>
        <c:axId val="24072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7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visuelle'!$C$35</c:f>
              <c:strCache>
                <c:ptCount val="1"/>
                <c:pt idx="0">
                  <c:v>AS visu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visuelle'!$D$34:$G$34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visuelle'!$D$35:$G$35</c:f>
              <c:numCache>
                <c:formatCode>General</c:formatCode>
                <c:ptCount val="4"/>
                <c:pt idx="0">
                  <c:v>19</c:v>
                </c:pt>
                <c:pt idx="1">
                  <c:v>21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699-4B11-8555-8C519FE1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27304"/>
        <c:axId val="240727696"/>
      </c:lineChart>
      <c:catAx>
        <c:axId val="24072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727696"/>
        <c:crosses val="autoZero"/>
        <c:auto val="1"/>
        <c:lblAlgn val="ctr"/>
        <c:lblOffset val="100"/>
        <c:noMultiLvlLbl val="0"/>
      </c:catAx>
      <c:valAx>
        <c:axId val="2407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72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visuelle'!$I$35</c:f>
              <c:strCache>
                <c:ptCount val="1"/>
                <c:pt idx="0">
                  <c:v>AS visu 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 visuelle'!$J$34:$M$34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'AS visuelle'!$J$35:$M$35</c:f>
              <c:numCache>
                <c:formatCode>General</c:formatCode>
                <c:ptCount val="4"/>
                <c:pt idx="0">
                  <c:v>4504.2105263157891</c:v>
                </c:pt>
                <c:pt idx="1">
                  <c:v>3532.3809523809523</c:v>
                </c:pt>
                <c:pt idx="2">
                  <c:v>3783</c:v>
                </c:pt>
                <c:pt idx="3">
                  <c:v>4056.4210526315787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8-4F94-8F21-D7BD0A0A1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28480"/>
        <c:axId val="240728872"/>
      </c:lineChart>
      <c:catAx>
        <c:axId val="24072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728872"/>
        <c:crosses val="autoZero"/>
        <c:auto val="1"/>
        <c:lblAlgn val="ctr"/>
        <c:lblOffset val="100"/>
        <c:noMultiLvlLbl val="0"/>
      </c:catAx>
      <c:valAx>
        <c:axId val="24072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72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verb.'!$M$34</c:f>
              <c:strCache>
                <c:ptCount val="1"/>
                <c:pt idx="0">
                  <c:v>EXE verb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verb.'!$N$33:$Q$33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verb.'!$N$34:$Q$34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85-4417-8812-B17CF2F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31448"/>
        <c:axId val="237131840"/>
      </c:lineChart>
      <c:catAx>
        <c:axId val="23713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1840"/>
        <c:crosses val="autoZero"/>
        <c:auto val="1"/>
        <c:lblAlgn val="ctr"/>
        <c:lblOffset val="100"/>
        <c:noMultiLvlLbl val="0"/>
      </c:catAx>
      <c:valAx>
        <c:axId val="2371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verb.'!$U$34</c:f>
              <c:strCache>
                <c:ptCount val="1"/>
                <c:pt idx="0">
                  <c:v>EXE verb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verb.'!$V$33:$Y$33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verb.'!$V$34:$Y$34</c:f>
              <c:numCache>
                <c:formatCode>General</c:formatCode>
                <c:ptCount val="4"/>
                <c:pt idx="0">
                  <c:v>3049.25</c:v>
                </c:pt>
                <c:pt idx="1">
                  <c:v>2319.7307692307691</c:v>
                </c:pt>
                <c:pt idx="2">
                  <c:v>2332.88</c:v>
                </c:pt>
                <c:pt idx="3">
                  <c:v>2735.56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18A-4C24-920C-A52B8BA9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32624"/>
        <c:axId val="237133016"/>
      </c:lineChart>
      <c:catAx>
        <c:axId val="2371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3016"/>
        <c:crosses val="autoZero"/>
        <c:auto val="1"/>
        <c:lblAlgn val="ctr"/>
        <c:lblOffset val="100"/>
        <c:noMultiLvlLbl val="0"/>
      </c:catAx>
      <c:valAx>
        <c:axId val="23713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visu.'!$M$35</c:f>
              <c:strCache>
                <c:ptCount val="1"/>
                <c:pt idx="0">
                  <c:v>Exe visu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visu.'!$N$34:$Q$34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visu.'!$N$35:$Q$35</c:f>
              <c:numCache>
                <c:formatCode>General</c:formatCode>
                <c:ptCount val="4"/>
                <c:pt idx="0">
                  <c:v>3006.4583333333335</c:v>
                </c:pt>
                <c:pt idx="1">
                  <c:v>2198.08</c:v>
                </c:pt>
                <c:pt idx="2">
                  <c:v>2343.75</c:v>
                </c:pt>
                <c:pt idx="3">
                  <c:v>2401.08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A48-4D2C-A472-4F7F56B1B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33800"/>
        <c:axId val="237134192"/>
      </c:lineChart>
      <c:catAx>
        <c:axId val="23713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4192"/>
        <c:crosses val="autoZero"/>
        <c:auto val="1"/>
        <c:lblAlgn val="ctr"/>
        <c:lblOffset val="100"/>
        <c:noMultiLvlLbl val="0"/>
      </c:catAx>
      <c:valAx>
        <c:axId val="2371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visu.'!$C$35</c:f>
              <c:strCache>
                <c:ptCount val="1"/>
                <c:pt idx="0">
                  <c:v>Exe visu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 visu.'!$D$34:$G$34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visu.'!$D$35:$G$35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C-45E7-964A-57A8B347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34976"/>
        <c:axId val="307327960"/>
      </c:lineChart>
      <c:catAx>
        <c:axId val="2371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27960"/>
        <c:crosses val="autoZero"/>
        <c:auto val="1"/>
        <c:lblAlgn val="ctr"/>
        <c:lblOffset val="100"/>
        <c:noMultiLvlLbl val="0"/>
      </c:catAx>
      <c:valAx>
        <c:axId val="30732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713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'FLUENCE cat.'!$F$14</c:f>
              <c:strCache>
                <c:ptCount val="1"/>
                <c:pt idx="0">
                  <c:v>Flu Cat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'FLUENCE cat.'!$G$13:$J$13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'FLUENCE cat.'!$G$14:$J$14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52-4D25-8350-08FC948F3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328744"/>
        <c:axId val="307329136"/>
      </c:barChart>
      <c:catAx>
        <c:axId val="30732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29136"/>
        <c:crosses val="autoZero"/>
        <c:auto val="1"/>
        <c:lblAlgn val="ctr"/>
        <c:lblOffset val="100"/>
        <c:noMultiLvlLbl val="0"/>
      </c:catAx>
      <c:valAx>
        <c:axId val="3073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2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verb.'!$C$17</c:f>
              <c:strCache>
                <c:ptCount val="1"/>
                <c:pt idx="0">
                  <c:v>Flu litt.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'FLUENCE verb.'!$D$16:$G$16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'FLUENCE verb.'!$D$17:$G$17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A37-4069-B732-85FD692DB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329920"/>
        <c:axId val="307330312"/>
      </c:lineChart>
      <c:catAx>
        <c:axId val="3073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30312"/>
        <c:crosses val="autoZero"/>
        <c:auto val="1"/>
        <c:lblAlgn val="ctr"/>
        <c:lblOffset val="100"/>
        <c:noMultiLvlLbl val="0"/>
      </c:catAx>
      <c:valAx>
        <c:axId val="30733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 cat.'!$C$46</c:f>
              <c:strCache>
                <c:ptCount val="1"/>
                <c:pt idx="0">
                  <c:v>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cat.'!$D$45:$G$45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'DC cat.'!$D$46:$G$46</c:f>
              <c:numCache>
                <c:formatCode>General</c:formatCode>
                <c:ptCount val="4"/>
                <c:pt idx="0">
                  <c:v>29</c:v>
                </c:pt>
                <c:pt idx="1">
                  <c:v>22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2A-4483-B767-04909C68B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331096"/>
        <c:axId val="307331488"/>
      </c:lineChart>
      <c:catAx>
        <c:axId val="30733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31488"/>
        <c:crosses val="autoZero"/>
        <c:auto val="1"/>
        <c:lblAlgn val="ctr"/>
        <c:lblOffset val="100"/>
        <c:noMultiLvlLbl val="0"/>
      </c:catAx>
      <c:valAx>
        <c:axId val="3073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33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'DC cat.'!$L$46</c:f>
              <c:strCache>
                <c:ptCount val="1"/>
                <c:pt idx="0">
                  <c:v>DC TR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'DC cat.'!$M$45:$P$45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'DC cat.'!$M$46:$P$46</c:f>
              <c:numCache>
                <c:formatCode>General</c:formatCode>
                <c:ptCount val="4"/>
                <c:pt idx="0">
                  <c:v>2845.0689655172414</c:v>
                </c:pt>
                <c:pt idx="1">
                  <c:v>2764</c:v>
                </c:pt>
                <c:pt idx="2">
                  <c:v>2765.2307692307691</c:v>
                </c:pt>
                <c:pt idx="3">
                  <c:v>3158.6842105263158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CB9-4157-B905-3B4C726C3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57728"/>
        <c:axId val="236258120"/>
      </c:lineChart>
      <c:catAx>
        <c:axId val="23625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258120"/>
        <c:crosses val="autoZero"/>
        <c:auto val="1"/>
        <c:lblAlgn val="ctr"/>
        <c:lblOffset val="100"/>
        <c:noMultiLvlLbl val="0"/>
      </c:catAx>
      <c:valAx>
        <c:axId val="23625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2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DENO!$B$43</c:f>
              <c:strCache>
                <c:ptCount val="1"/>
                <c:pt idx="0">
                  <c:v>DENO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DENO!$C$42:$F$42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DENO!$C$43:$F$43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A00-40E3-8BBF-7ADCB5EF7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59296"/>
        <c:axId val="236259688"/>
      </c:lineChart>
      <c:catAx>
        <c:axId val="2362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259688"/>
        <c:crosses val="autoZero"/>
        <c:auto val="1"/>
        <c:lblAlgn val="ctr"/>
        <c:lblOffset val="100"/>
        <c:noMultiLvlLbl val="0"/>
      </c:catAx>
      <c:valAx>
        <c:axId val="23625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2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BIP!$C$23</c:f>
              <c:strCache>
                <c:ptCount val="1"/>
                <c:pt idx="0">
                  <c:v>BIP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BIP!$D$22:$G$22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BIP!$D$23:$G$23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FD6-4F48-812C-A6380343B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60472"/>
        <c:axId val="236260864"/>
      </c:lineChart>
      <c:catAx>
        <c:axId val="23626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260864"/>
        <c:crosses val="autoZero"/>
        <c:auto val="1"/>
        <c:lblAlgn val="ctr"/>
        <c:lblOffset val="100"/>
        <c:noMultiLvlLbl val="0"/>
      </c:catAx>
      <c:valAx>
        <c:axId val="2362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626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9</xdr:row>
      <xdr:rowOff>100012</xdr:rowOff>
    </xdr:from>
    <xdr:to>
      <xdr:col>5</xdr:col>
      <xdr:colOff>161925</xdr:colOff>
      <xdr:row>23</xdr:row>
      <xdr:rowOff>176212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12</xdr:row>
      <xdr:rowOff>52387</xdr:rowOff>
    </xdr:from>
    <xdr:to>
      <xdr:col>16</xdr:col>
      <xdr:colOff>333375</xdr:colOff>
      <xdr:row>26</xdr:row>
      <xdr:rowOff>128587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1790700</xdr:colOff>
      <xdr:row>13</xdr:row>
      <xdr:rowOff>71437</xdr:rowOff>
    </xdr:from>
    <xdr:to>
      <xdr:col>6</xdr:col>
      <xdr:colOff>619125</xdr:colOff>
      <xdr:row>27</xdr:row>
      <xdr:rowOff>147637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1009650</xdr:colOff>
      <xdr:row>12</xdr:row>
      <xdr:rowOff>52387</xdr:rowOff>
    </xdr:from>
    <xdr:to>
      <xdr:col>10</xdr:col>
      <xdr:colOff>657225</xdr:colOff>
      <xdr:row>26</xdr:row>
      <xdr:rowOff>128587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12</xdr:row>
      <xdr:rowOff>42862</xdr:rowOff>
    </xdr:from>
    <xdr:to>
      <xdr:col>15</xdr:col>
      <xdr:colOff>209550</xdr:colOff>
      <xdr:row>26</xdr:row>
      <xdr:rowOff>119062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95250</xdr:colOff>
      <xdr:row>12</xdr:row>
      <xdr:rowOff>42862</xdr:rowOff>
    </xdr:from>
    <xdr:to>
      <xdr:col>26</xdr:col>
      <xdr:colOff>180975</xdr:colOff>
      <xdr:row>26</xdr:row>
      <xdr:rowOff>119062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1114425</xdr:colOff>
      <xdr:row>12</xdr:row>
      <xdr:rowOff>42862</xdr:rowOff>
    </xdr:from>
    <xdr:to>
      <xdr:col>21</xdr:col>
      <xdr:colOff>85725</xdr:colOff>
      <xdr:row>26</xdr:row>
      <xdr:rowOff>119062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885825</xdr:colOff>
      <xdr:row>12</xdr:row>
      <xdr:rowOff>42862</xdr:rowOff>
    </xdr:from>
    <xdr:to>
      <xdr:col>11</xdr:col>
      <xdr:colOff>219075</xdr:colOff>
      <xdr:row>26</xdr:row>
      <xdr:rowOff>119062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1533525</xdr:colOff>
      <xdr:row>12</xdr:row>
      <xdr:rowOff>33337</xdr:rowOff>
    </xdr:from>
    <xdr:to>
      <xdr:col>14</xdr:col>
      <xdr:colOff>285750</xdr:colOff>
      <xdr:row>26</xdr:row>
      <xdr:rowOff>109537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12</xdr:row>
      <xdr:rowOff>14287</xdr:rowOff>
    </xdr:from>
    <xdr:to>
      <xdr:col>11</xdr:col>
      <xdr:colOff>219075</xdr:colOff>
      <xdr:row>26</xdr:row>
      <xdr:rowOff>90487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657225</xdr:colOff>
      <xdr:row>21</xdr:row>
      <xdr:rowOff>42862</xdr:rowOff>
    </xdr:from>
    <xdr:to>
      <xdr:col>14</xdr:col>
      <xdr:colOff>733425</xdr:colOff>
      <xdr:row>35</xdr:row>
      <xdr:rowOff>119062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25</xdr:row>
      <xdr:rowOff>61912</xdr:rowOff>
    </xdr:from>
    <xdr:to>
      <xdr:col>18</xdr:col>
      <xdr:colOff>1076325</xdr:colOff>
      <xdr:row>39</xdr:row>
      <xdr:rowOff>138112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21</xdr:row>
      <xdr:rowOff>138112</xdr:rowOff>
    </xdr:from>
    <xdr:to>
      <xdr:col>13</xdr:col>
      <xdr:colOff>895350</xdr:colOff>
      <xdr:row>36</xdr:row>
      <xdr:rowOff>23812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13</xdr:row>
      <xdr:rowOff>33337</xdr:rowOff>
    </xdr:from>
    <xdr:to>
      <xdr:col>14</xdr:col>
      <xdr:colOff>352425</xdr:colOff>
      <xdr:row>27</xdr:row>
      <xdr:rowOff>109537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4" sqref="F14"/>
    </sheetView>
  </sheetViews>
  <sheetFormatPr baseColWidth="10" defaultRowHeight="15" x14ac:dyDescent="0.25"/>
  <cols>
    <col min="1" max="1" width="39.42578125" customWidth="1"/>
    <col min="2" max="2" width="25" customWidth="1"/>
    <col min="3" max="3" width="36" customWidth="1"/>
    <col min="4" max="4" width="22.140625" customWidth="1"/>
    <col min="5" max="5" width="39.140625" customWidth="1"/>
    <col min="6" max="6" width="18.85546875" customWidth="1"/>
  </cols>
  <sheetData>
    <row r="1" spans="1:6" ht="18.75" x14ac:dyDescent="0.25">
      <c r="A1" s="18" t="s">
        <v>828</v>
      </c>
      <c r="C1" s="18" t="s">
        <v>829</v>
      </c>
      <c r="E1" s="18" t="s">
        <v>830</v>
      </c>
    </row>
    <row r="2" spans="1:6" ht="15.75" x14ac:dyDescent="0.25">
      <c r="A2" s="19" t="s">
        <v>831</v>
      </c>
      <c r="B2" s="20" t="s">
        <v>876</v>
      </c>
      <c r="C2" s="20" t="s">
        <v>832</v>
      </c>
      <c r="D2" s="20" t="s">
        <v>881</v>
      </c>
      <c r="E2" s="20" t="s">
        <v>833</v>
      </c>
      <c r="F2" s="20">
        <v>3</v>
      </c>
    </row>
    <row r="3" spans="1:6" ht="15.75" x14ac:dyDescent="0.25">
      <c r="A3" s="19" t="s">
        <v>834</v>
      </c>
      <c r="B3" s="20" t="s">
        <v>875</v>
      </c>
      <c r="C3" s="20" t="s">
        <v>835</v>
      </c>
      <c r="D3" s="20" t="s">
        <v>881</v>
      </c>
      <c r="E3" s="21"/>
      <c r="F3" s="28"/>
    </row>
    <row r="4" spans="1:6" ht="15.75" x14ac:dyDescent="0.25">
      <c r="A4" s="19" t="s">
        <v>836</v>
      </c>
      <c r="B4" s="20" t="s">
        <v>875</v>
      </c>
      <c r="C4" s="20" t="s">
        <v>837</v>
      </c>
      <c r="D4" s="20" t="s">
        <v>881</v>
      </c>
      <c r="E4" s="20" t="s">
        <v>838</v>
      </c>
      <c r="F4" s="20">
        <v>15</v>
      </c>
    </row>
    <row r="5" spans="1:6" ht="15.75" x14ac:dyDescent="0.25">
      <c r="A5" s="22"/>
      <c r="B5" s="23"/>
      <c r="C5" s="24" t="s">
        <v>839</v>
      </c>
      <c r="D5" s="20" t="s">
        <v>881</v>
      </c>
      <c r="E5" s="24" t="s">
        <v>840</v>
      </c>
      <c r="F5" s="24">
        <v>7</v>
      </c>
    </row>
    <row r="6" spans="1:6" ht="15.75" x14ac:dyDescent="0.25">
      <c r="A6" s="19" t="s">
        <v>841</v>
      </c>
      <c r="B6" s="20" t="s">
        <v>877</v>
      </c>
      <c r="C6" s="24" t="s">
        <v>842</v>
      </c>
      <c r="D6" s="20" t="s">
        <v>881</v>
      </c>
      <c r="E6" s="24" t="s">
        <v>843</v>
      </c>
      <c r="F6" s="20">
        <v>0</v>
      </c>
    </row>
    <row r="7" spans="1:6" ht="15.75" x14ac:dyDescent="0.25">
      <c r="A7" s="19" t="s">
        <v>844</v>
      </c>
      <c r="B7" s="25">
        <v>19448</v>
      </c>
      <c r="C7" s="26"/>
      <c r="D7" s="26"/>
      <c r="E7" s="24" t="s">
        <v>845</v>
      </c>
      <c r="F7" s="20">
        <v>58</v>
      </c>
    </row>
    <row r="8" spans="1:6" ht="15.75" x14ac:dyDescent="0.25">
      <c r="A8" s="19" t="s">
        <v>846</v>
      </c>
      <c r="B8" s="20">
        <v>67</v>
      </c>
      <c r="C8" s="27" t="s">
        <v>847</v>
      </c>
      <c r="D8" s="20"/>
      <c r="E8" s="28"/>
      <c r="F8" s="28"/>
    </row>
    <row r="9" spans="1:6" ht="15.75" x14ac:dyDescent="0.25">
      <c r="A9" s="22"/>
      <c r="B9" s="23"/>
      <c r="C9" s="24" t="s">
        <v>848</v>
      </c>
      <c r="D9" s="20">
        <v>18</v>
      </c>
      <c r="E9" s="24" t="s">
        <v>849</v>
      </c>
      <c r="F9" s="20">
        <v>9</v>
      </c>
    </row>
    <row r="10" spans="1:6" ht="15.75" x14ac:dyDescent="0.25">
      <c r="A10" s="19" t="s">
        <v>850</v>
      </c>
      <c r="B10" s="25">
        <v>43977</v>
      </c>
      <c r="C10" s="24" t="s">
        <v>851</v>
      </c>
      <c r="D10" s="20">
        <v>2</v>
      </c>
      <c r="E10" s="24" t="s">
        <v>852</v>
      </c>
      <c r="F10" s="20" t="s">
        <v>882</v>
      </c>
    </row>
    <row r="11" spans="1:6" ht="15.75" x14ac:dyDescent="0.25">
      <c r="A11" s="19" t="s">
        <v>853</v>
      </c>
      <c r="B11" s="25">
        <v>43988</v>
      </c>
      <c r="C11" s="24" t="s">
        <v>854</v>
      </c>
      <c r="D11" s="20">
        <v>11</v>
      </c>
      <c r="E11" s="24" t="s">
        <v>855</v>
      </c>
      <c r="F11" s="20">
        <v>50</v>
      </c>
    </row>
    <row r="12" spans="1:6" ht="15.75" x14ac:dyDescent="0.25">
      <c r="A12" s="22"/>
      <c r="B12" s="23"/>
      <c r="C12" s="24" t="s">
        <v>856</v>
      </c>
      <c r="D12" s="20">
        <v>106</v>
      </c>
      <c r="E12" s="24" t="s">
        <v>857</v>
      </c>
      <c r="F12" s="20">
        <v>16</v>
      </c>
    </row>
    <row r="13" spans="1:6" ht="15.75" x14ac:dyDescent="0.25">
      <c r="A13" s="19" t="s">
        <v>858</v>
      </c>
      <c r="B13" s="20" t="s">
        <v>878</v>
      </c>
      <c r="C13" s="24" t="s">
        <v>859</v>
      </c>
      <c r="D13" s="20">
        <v>6</v>
      </c>
      <c r="E13" s="24" t="s">
        <v>860</v>
      </c>
      <c r="F13" s="20">
        <v>37</v>
      </c>
    </row>
    <row r="14" spans="1:6" ht="15.75" x14ac:dyDescent="0.25">
      <c r="A14" s="19" t="s">
        <v>861</v>
      </c>
      <c r="B14" s="20" t="s">
        <v>879</v>
      </c>
      <c r="C14" s="24" t="s">
        <v>862</v>
      </c>
      <c r="D14" s="20">
        <v>4</v>
      </c>
      <c r="E14" s="24" t="s">
        <v>863</v>
      </c>
      <c r="F14" s="20">
        <v>30</v>
      </c>
    </row>
    <row r="15" spans="1:6" ht="15.75" x14ac:dyDescent="0.25">
      <c r="A15" s="23"/>
      <c r="B15" s="23"/>
      <c r="C15" s="24" t="s">
        <v>864</v>
      </c>
      <c r="D15" s="20">
        <v>5</v>
      </c>
      <c r="E15" s="20"/>
      <c r="F15" s="20"/>
    </row>
    <row r="16" spans="1:6" ht="15.75" x14ac:dyDescent="0.25">
      <c r="A16" s="19" t="s">
        <v>865</v>
      </c>
      <c r="B16" s="29">
        <v>42248</v>
      </c>
      <c r="C16" s="24" t="s">
        <v>866</v>
      </c>
      <c r="D16" s="20">
        <v>4</v>
      </c>
      <c r="E16" s="20"/>
      <c r="F16" s="20"/>
    </row>
    <row r="17" spans="1:6" ht="15.75" x14ac:dyDescent="0.25">
      <c r="A17" s="19" t="s">
        <v>867</v>
      </c>
      <c r="B17" s="29">
        <v>43070</v>
      </c>
      <c r="C17" s="24" t="s">
        <v>868</v>
      </c>
      <c r="D17" s="20">
        <v>46</v>
      </c>
      <c r="E17" s="20"/>
      <c r="F17" s="20"/>
    </row>
    <row r="18" spans="1:6" ht="15.75" x14ac:dyDescent="0.25">
      <c r="A18" s="19" t="s">
        <v>869</v>
      </c>
      <c r="B18" s="20" t="s">
        <v>880</v>
      </c>
      <c r="C18" s="24" t="s">
        <v>870</v>
      </c>
      <c r="D18" s="20">
        <v>91</v>
      </c>
      <c r="E18" s="20"/>
      <c r="F18" s="20"/>
    </row>
    <row r="19" spans="1:6" ht="15.75" x14ac:dyDescent="0.25">
      <c r="A19" s="23"/>
      <c r="B19" s="23"/>
      <c r="C19" s="24" t="s">
        <v>871</v>
      </c>
      <c r="D19" s="20">
        <v>8</v>
      </c>
      <c r="E19" s="20"/>
      <c r="F19" s="20"/>
    </row>
    <row r="20" spans="1:6" ht="15.75" x14ac:dyDescent="0.25">
      <c r="A20" s="19" t="s">
        <v>872</v>
      </c>
      <c r="B20" s="20" t="s">
        <v>880</v>
      </c>
      <c r="C20" s="24" t="s">
        <v>873</v>
      </c>
      <c r="D20" s="20">
        <v>4</v>
      </c>
      <c r="E20" s="20"/>
      <c r="F20" s="20"/>
    </row>
    <row r="21" spans="1:6" ht="15.75" x14ac:dyDescent="0.25">
      <c r="A21" s="20"/>
      <c r="B21" s="20"/>
      <c r="C21" s="24" t="s">
        <v>874</v>
      </c>
      <c r="D21" s="20">
        <v>9</v>
      </c>
      <c r="E21" s="20"/>
      <c r="F2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5"/>
  <sheetViews>
    <sheetView topLeftCell="BG1" workbookViewId="0">
      <selection activeCell="BR2" sqref="BR2"/>
    </sheetView>
  </sheetViews>
  <sheetFormatPr baseColWidth="10" defaultColWidth="9.140625" defaultRowHeight="15" x14ac:dyDescent="0.25"/>
  <cols>
    <col min="1" max="1" width="21.28515625" customWidth="1"/>
    <col min="5" max="5" width="19" customWidth="1"/>
    <col min="6" max="6" width="18.7109375" customWidth="1"/>
    <col min="7" max="7" width="17.140625" customWidth="1"/>
    <col min="8" max="8" width="23.5703125" customWidth="1"/>
    <col min="9" max="9" width="28.7109375" customWidth="1"/>
    <col min="12" max="12" width="21.85546875" customWidth="1"/>
    <col min="18" max="18" width="16.140625" customWidth="1"/>
    <col min="19" max="19" width="18" customWidth="1"/>
    <col min="20" max="20" width="23.85546875" customWidth="1"/>
    <col min="23" max="23" width="19" customWidth="1"/>
    <col min="29" max="29" width="13.140625" customWidth="1"/>
    <col min="30" max="30" width="15.5703125" customWidth="1"/>
    <col min="31" max="31" width="17.85546875" customWidth="1"/>
    <col min="34" max="34" width="21" customWidth="1"/>
    <col min="39" max="39" width="12.42578125" customWidth="1"/>
    <col min="40" max="40" width="17.42578125" customWidth="1"/>
    <col min="41" max="41" width="18.140625" customWidth="1"/>
    <col min="42" max="42" width="17.5703125" customWidth="1"/>
    <col min="46" max="46" width="35.42578125" customWidth="1"/>
    <col min="50" max="50" width="13.28515625" customWidth="1"/>
    <col min="51" max="51" width="13.42578125" customWidth="1"/>
    <col min="52" max="52" width="17.5703125" customWidth="1"/>
    <col min="59" max="59" width="19.42578125" customWidth="1"/>
    <col min="70" max="70" width="20.140625" customWidth="1"/>
  </cols>
  <sheetData>
    <row r="1" spans="1:80" ht="15.7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10</v>
      </c>
      <c r="G1" s="2" t="s">
        <v>3</v>
      </c>
      <c r="H1" s="2" t="s">
        <v>4</v>
      </c>
      <c r="I1" s="2" t="s">
        <v>5</v>
      </c>
      <c r="L1" s="1" t="s">
        <v>97</v>
      </c>
      <c r="M1" s="2" t="s">
        <v>0</v>
      </c>
      <c r="N1" s="2" t="s">
        <v>1</v>
      </c>
      <c r="O1" s="2" t="s">
        <v>2</v>
      </c>
      <c r="P1" s="2" t="s">
        <v>11</v>
      </c>
      <c r="Q1" s="2" t="s">
        <v>10</v>
      </c>
      <c r="R1" s="2" t="s">
        <v>3</v>
      </c>
      <c r="S1" s="2" t="s">
        <v>4</v>
      </c>
      <c r="T1" s="2" t="s">
        <v>5</v>
      </c>
      <c r="W1" s="1" t="s">
        <v>97</v>
      </c>
      <c r="X1" s="2" t="s">
        <v>0</v>
      </c>
      <c r="Y1" s="2" t="s">
        <v>1</v>
      </c>
      <c r="Z1" s="2" t="s">
        <v>2</v>
      </c>
      <c r="AA1" s="2" t="s">
        <v>11</v>
      </c>
      <c r="AB1" s="2" t="s">
        <v>10</v>
      </c>
      <c r="AC1" s="2" t="s">
        <v>3</v>
      </c>
      <c r="AD1" s="2" t="s">
        <v>4</v>
      </c>
      <c r="AE1" s="2" t="s">
        <v>5</v>
      </c>
      <c r="AH1" s="1" t="s">
        <v>97</v>
      </c>
      <c r="AI1" s="2" t="s">
        <v>0</v>
      </c>
      <c r="AJ1" s="2" t="s">
        <v>1</v>
      </c>
      <c r="AK1" s="2" t="s">
        <v>2</v>
      </c>
      <c r="AL1" s="2" t="s">
        <v>11</v>
      </c>
      <c r="AM1" s="2" t="s">
        <v>10</v>
      </c>
      <c r="AN1" s="2" t="s">
        <v>3</v>
      </c>
      <c r="AO1" s="2" t="s">
        <v>4</v>
      </c>
      <c r="AP1" s="2" t="s">
        <v>5</v>
      </c>
      <c r="AT1" s="1" t="s">
        <v>97</v>
      </c>
      <c r="AU1" s="2" t="s">
        <v>0</v>
      </c>
      <c r="AV1" s="2" t="s">
        <v>1</v>
      </c>
      <c r="AW1" s="2" t="s">
        <v>2</v>
      </c>
      <c r="AX1" s="2" t="s">
        <v>11</v>
      </c>
      <c r="AY1" s="2" t="s">
        <v>10</v>
      </c>
      <c r="AZ1" s="2" t="s">
        <v>3</v>
      </c>
      <c r="BA1" s="2" t="s">
        <v>4</v>
      </c>
      <c r="BB1" s="2" t="s">
        <v>5</v>
      </c>
      <c r="BG1" s="1" t="s">
        <v>97</v>
      </c>
      <c r="BH1" s="2" t="s">
        <v>0</v>
      </c>
      <c r="BI1" s="2" t="s">
        <v>1</v>
      </c>
      <c r="BJ1" s="2" t="s">
        <v>2</v>
      </c>
      <c r="BK1" s="2" t="s">
        <v>11</v>
      </c>
      <c r="BL1" s="2" t="s">
        <v>10</v>
      </c>
      <c r="BM1" s="2" t="s">
        <v>3</v>
      </c>
      <c r="BN1" s="2" t="s">
        <v>4</v>
      </c>
      <c r="BO1" s="2" t="s">
        <v>5</v>
      </c>
      <c r="BR1" s="1" t="s">
        <v>97</v>
      </c>
      <c r="BS1" s="2" t="s">
        <v>0</v>
      </c>
      <c r="BT1" s="2" t="s">
        <v>1</v>
      </c>
      <c r="BU1" s="2" t="s">
        <v>2</v>
      </c>
      <c r="BV1" s="2" t="s">
        <v>11</v>
      </c>
      <c r="BW1" s="2" t="s">
        <v>10</v>
      </c>
      <c r="BX1" s="2" t="s">
        <v>3</v>
      </c>
      <c r="BY1" s="2" t="s">
        <v>4</v>
      </c>
      <c r="BZ1" s="2" t="s">
        <v>5</v>
      </c>
      <c r="CA1" s="2"/>
      <c r="CB1" s="2"/>
    </row>
    <row r="2" spans="1:80" x14ac:dyDescent="0.25">
      <c r="A2" s="11" t="s">
        <v>98</v>
      </c>
      <c r="B2">
        <v>2</v>
      </c>
      <c r="C2">
        <v>1</v>
      </c>
      <c r="D2">
        <v>1</v>
      </c>
      <c r="E2" t="s">
        <v>33</v>
      </c>
      <c r="F2" t="s">
        <v>7</v>
      </c>
      <c r="G2" s="4">
        <v>0</v>
      </c>
      <c r="H2" s="4">
        <v>0</v>
      </c>
      <c r="I2" s="4">
        <v>0</v>
      </c>
      <c r="L2" s="11" t="s">
        <v>289</v>
      </c>
      <c r="M2">
        <v>2</v>
      </c>
      <c r="N2">
        <v>2</v>
      </c>
      <c r="O2">
        <v>1</v>
      </c>
      <c r="P2" t="s">
        <v>30</v>
      </c>
      <c r="Q2" t="s">
        <v>7</v>
      </c>
      <c r="R2">
        <v>1</v>
      </c>
      <c r="S2">
        <v>4803</v>
      </c>
      <c r="T2">
        <v>4803</v>
      </c>
      <c r="W2" s="11" t="s">
        <v>342</v>
      </c>
      <c r="X2">
        <v>1</v>
      </c>
      <c r="Y2">
        <v>3</v>
      </c>
      <c r="Z2">
        <v>1</v>
      </c>
      <c r="AB2" t="s">
        <v>7</v>
      </c>
      <c r="AC2" s="4">
        <v>0</v>
      </c>
      <c r="AD2" s="4">
        <v>3519</v>
      </c>
      <c r="AE2" s="4"/>
      <c r="AH2" s="11" t="s">
        <v>652</v>
      </c>
      <c r="AI2">
        <v>1</v>
      </c>
      <c r="AJ2">
        <v>3</v>
      </c>
      <c r="AK2">
        <v>1</v>
      </c>
      <c r="AM2" t="s">
        <v>9</v>
      </c>
      <c r="AN2">
        <v>1</v>
      </c>
      <c r="AO2">
        <v>6633</v>
      </c>
      <c r="AP2">
        <v>6633</v>
      </c>
      <c r="AT2" s="11" t="s">
        <v>711</v>
      </c>
      <c r="AU2">
        <v>1</v>
      </c>
      <c r="AV2">
        <v>5</v>
      </c>
      <c r="AW2">
        <v>1</v>
      </c>
      <c r="AX2" t="s">
        <v>712</v>
      </c>
      <c r="AY2" t="s">
        <v>7</v>
      </c>
      <c r="AZ2" s="4">
        <v>0</v>
      </c>
      <c r="BA2" s="4">
        <v>4480</v>
      </c>
      <c r="BB2" s="4"/>
      <c r="BG2" s="11" t="s">
        <v>742</v>
      </c>
      <c r="BH2">
        <v>1</v>
      </c>
      <c r="BI2">
        <v>6</v>
      </c>
      <c r="BJ2">
        <v>1</v>
      </c>
      <c r="BL2" t="s">
        <v>9</v>
      </c>
      <c r="BM2">
        <v>1</v>
      </c>
      <c r="BN2">
        <v>4477</v>
      </c>
      <c r="BO2">
        <v>4477</v>
      </c>
      <c r="BR2" s="11" t="s">
        <v>742</v>
      </c>
      <c r="BS2">
        <v>2</v>
      </c>
      <c r="BT2">
        <v>6</v>
      </c>
      <c r="BU2">
        <v>1</v>
      </c>
      <c r="BW2" t="s">
        <v>9</v>
      </c>
      <c r="BX2" s="4">
        <v>0</v>
      </c>
      <c r="BY2" s="4">
        <v>6424</v>
      </c>
      <c r="BZ2" s="4"/>
      <c r="CA2" s="4"/>
      <c r="CB2" s="4"/>
    </row>
    <row r="3" spans="1:80" x14ac:dyDescent="0.25">
      <c r="A3" t="s">
        <v>8</v>
      </c>
      <c r="D3">
        <v>2</v>
      </c>
      <c r="E3" t="s">
        <v>14</v>
      </c>
      <c r="F3" t="s">
        <v>9</v>
      </c>
      <c r="G3" s="4">
        <v>0</v>
      </c>
      <c r="H3" s="4">
        <v>0</v>
      </c>
      <c r="I3" s="4">
        <v>0</v>
      </c>
      <c r="L3" t="s">
        <v>8</v>
      </c>
      <c r="O3">
        <v>2</v>
      </c>
      <c r="P3" t="s">
        <v>23</v>
      </c>
      <c r="Q3" t="s">
        <v>9</v>
      </c>
      <c r="R3">
        <v>1</v>
      </c>
      <c r="S3">
        <v>6910</v>
      </c>
      <c r="T3">
        <v>6910</v>
      </c>
      <c r="W3" t="s">
        <v>8</v>
      </c>
      <c r="Z3">
        <v>2</v>
      </c>
      <c r="AB3" t="s">
        <v>9</v>
      </c>
      <c r="AC3" s="4">
        <v>0</v>
      </c>
      <c r="AD3" s="4">
        <v>6066</v>
      </c>
      <c r="AE3" s="4"/>
      <c r="AH3" t="s">
        <v>8</v>
      </c>
      <c r="AK3">
        <v>2</v>
      </c>
      <c r="AM3" t="s">
        <v>9</v>
      </c>
      <c r="AN3" s="4">
        <v>0</v>
      </c>
      <c r="AO3" s="4">
        <v>0</v>
      </c>
      <c r="AP3" s="4"/>
      <c r="AT3" t="s">
        <v>8</v>
      </c>
      <c r="AW3">
        <v>2</v>
      </c>
      <c r="AX3" t="s">
        <v>713</v>
      </c>
      <c r="AY3" t="s">
        <v>9</v>
      </c>
      <c r="AZ3">
        <v>1</v>
      </c>
      <c r="BA3">
        <v>4346</v>
      </c>
      <c r="BB3">
        <v>4346</v>
      </c>
      <c r="BG3" t="s">
        <v>8</v>
      </c>
      <c r="BJ3">
        <v>2</v>
      </c>
      <c r="BL3" t="s">
        <v>9</v>
      </c>
      <c r="BM3" s="4">
        <v>0</v>
      </c>
      <c r="BN3" s="4">
        <v>3923</v>
      </c>
      <c r="BO3" s="4"/>
      <c r="BR3" t="s">
        <v>8</v>
      </c>
      <c r="BU3">
        <v>2</v>
      </c>
      <c r="BW3" t="s">
        <v>9</v>
      </c>
      <c r="BX3">
        <v>1</v>
      </c>
      <c r="BY3">
        <v>2703</v>
      </c>
      <c r="BZ3">
        <v>2703</v>
      </c>
    </row>
    <row r="4" spans="1:80" x14ac:dyDescent="0.25">
      <c r="A4" t="s">
        <v>99</v>
      </c>
      <c r="D4">
        <v>3</v>
      </c>
      <c r="E4" t="s">
        <v>24</v>
      </c>
      <c r="F4" t="s">
        <v>9</v>
      </c>
      <c r="G4" s="6">
        <v>1</v>
      </c>
      <c r="H4" s="6">
        <v>5034</v>
      </c>
      <c r="I4" s="6">
        <v>5034</v>
      </c>
      <c r="L4" t="s">
        <v>290</v>
      </c>
      <c r="O4">
        <v>3</v>
      </c>
      <c r="P4" t="s">
        <v>26</v>
      </c>
      <c r="Q4" t="s">
        <v>7</v>
      </c>
      <c r="R4" s="4">
        <v>0</v>
      </c>
      <c r="S4" s="4">
        <v>5670</v>
      </c>
      <c r="T4" s="4"/>
      <c r="W4" t="s">
        <v>341</v>
      </c>
      <c r="Z4">
        <v>3</v>
      </c>
      <c r="AB4" t="s">
        <v>9</v>
      </c>
      <c r="AC4" s="4">
        <v>0</v>
      </c>
      <c r="AD4" s="4">
        <v>4973</v>
      </c>
      <c r="AE4" s="4"/>
      <c r="AH4" t="s">
        <v>653</v>
      </c>
      <c r="AK4">
        <v>3</v>
      </c>
      <c r="AM4" t="s">
        <v>9</v>
      </c>
      <c r="AN4" s="4">
        <v>0</v>
      </c>
      <c r="AO4" s="4">
        <v>0</v>
      </c>
      <c r="AP4" s="4"/>
      <c r="AT4" s="12">
        <v>44263</v>
      </c>
      <c r="AW4">
        <v>3</v>
      </c>
      <c r="AX4" t="s">
        <v>714</v>
      </c>
      <c r="AY4" t="s">
        <v>9</v>
      </c>
      <c r="AZ4">
        <v>1</v>
      </c>
      <c r="BA4">
        <v>4409</v>
      </c>
      <c r="BB4">
        <v>4409</v>
      </c>
      <c r="BG4" s="12">
        <v>44273</v>
      </c>
      <c r="BJ4">
        <v>3</v>
      </c>
      <c r="BL4" t="s">
        <v>7</v>
      </c>
      <c r="BM4" s="4">
        <v>0</v>
      </c>
      <c r="BN4" s="4">
        <v>3544</v>
      </c>
      <c r="BO4" s="4"/>
      <c r="BR4" s="12">
        <v>44273</v>
      </c>
      <c r="BU4">
        <v>3</v>
      </c>
      <c r="BW4" t="s">
        <v>9</v>
      </c>
      <c r="BX4">
        <v>1</v>
      </c>
      <c r="BY4">
        <v>4882</v>
      </c>
      <c r="BZ4">
        <v>4882</v>
      </c>
    </row>
    <row r="5" spans="1:80" x14ac:dyDescent="0.25">
      <c r="A5" s="7">
        <v>46174</v>
      </c>
      <c r="D5">
        <v>4</v>
      </c>
      <c r="E5" t="s">
        <v>36</v>
      </c>
      <c r="F5" t="s">
        <v>7</v>
      </c>
      <c r="G5" s="4">
        <v>0</v>
      </c>
      <c r="H5" s="4">
        <v>0</v>
      </c>
      <c r="I5" s="4">
        <v>0</v>
      </c>
      <c r="L5" s="7">
        <v>46174</v>
      </c>
      <c r="O5">
        <v>4</v>
      </c>
      <c r="P5" t="s">
        <v>14</v>
      </c>
      <c r="Q5" t="s">
        <v>9</v>
      </c>
      <c r="R5" s="4">
        <v>0</v>
      </c>
      <c r="S5" s="4">
        <v>5493</v>
      </c>
      <c r="T5" s="4"/>
      <c r="W5" s="7">
        <v>46174</v>
      </c>
      <c r="Z5">
        <v>4</v>
      </c>
      <c r="AB5" t="s">
        <v>9</v>
      </c>
      <c r="AC5">
        <v>1</v>
      </c>
      <c r="AD5">
        <v>6384</v>
      </c>
      <c r="AE5">
        <v>6384</v>
      </c>
      <c r="AH5" s="7">
        <v>46174</v>
      </c>
      <c r="AK5">
        <v>4</v>
      </c>
      <c r="AM5" t="s">
        <v>9</v>
      </c>
      <c r="AN5">
        <v>1</v>
      </c>
      <c r="AO5">
        <v>7145</v>
      </c>
      <c r="AP5">
        <v>7145</v>
      </c>
      <c r="AT5" s="7"/>
      <c r="AW5">
        <v>4</v>
      </c>
      <c r="AX5" t="s">
        <v>715</v>
      </c>
      <c r="AY5" t="s">
        <v>7</v>
      </c>
      <c r="AZ5">
        <v>1</v>
      </c>
      <c r="BA5">
        <v>3233</v>
      </c>
      <c r="BB5">
        <v>3233</v>
      </c>
      <c r="BG5" s="7"/>
      <c r="BJ5">
        <v>4</v>
      </c>
      <c r="BL5" t="s">
        <v>7</v>
      </c>
      <c r="BM5" s="4">
        <v>0</v>
      </c>
      <c r="BN5" s="4">
        <v>4202</v>
      </c>
      <c r="BO5" s="4"/>
      <c r="BR5" s="7"/>
      <c r="BU5">
        <v>4</v>
      </c>
      <c r="BW5" t="s">
        <v>7</v>
      </c>
      <c r="BX5">
        <v>1</v>
      </c>
      <c r="BY5">
        <v>5755</v>
      </c>
      <c r="BZ5">
        <v>5755</v>
      </c>
    </row>
    <row r="6" spans="1:80" x14ac:dyDescent="0.25">
      <c r="D6">
        <v>5</v>
      </c>
      <c r="E6" t="s">
        <v>16</v>
      </c>
      <c r="F6" t="s">
        <v>9</v>
      </c>
      <c r="G6" s="4">
        <v>0</v>
      </c>
      <c r="H6" s="4">
        <v>6429</v>
      </c>
      <c r="I6" s="4"/>
      <c r="L6" t="s">
        <v>291</v>
      </c>
      <c r="O6">
        <v>5</v>
      </c>
      <c r="P6" t="s">
        <v>20</v>
      </c>
      <c r="Q6" t="s">
        <v>9</v>
      </c>
      <c r="R6" s="4">
        <v>0</v>
      </c>
      <c r="S6" s="4">
        <v>5419</v>
      </c>
      <c r="T6" s="4"/>
      <c r="W6" t="s">
        <v>291</v>
      </c>
      <c r="Z6">
        <v>5</v>
      </c>
      <c r="AB6" t="s">
        <v>7</v>
      </c>
      <c r="AC6">
        <v>1</v>
      </c>
      <c r="AD6">
        <v>6005</v>
      </c>
      <c r="AE6">
        <v>6005</v>
      </c>
      <c r="AH6" t="s">
        <v>291</v>
      </c>
      <c r="AK6">
        <v>5</v>
      </c>
      <c r="AM6" t="s">
        <v>7</v>
      </c>
      <c r="AN6" s="4">
        <v>0</v>
      </c>
      <c r="AO6" s="4">
        <v>7980</v>
      </c>
      <c r="AP6" s="4"/>
      <c r="AT6" t="s">
        <v>739</v>
      </c>
      <c r="AW6">
        <v>5</v>
      </c>
      <c r="AX6" t="s">
        <v>716</v>
      </c>
      <c r="AY6" t="s">
        <v>7</v>
      </c>
      <c r="AZ6">
        <v>1</v>
      </c>
      <c r="BA6">
        <v>3628</v>
      </c>
      <c r="BB6">
        <v>3628</v>
      </c>
      <c r="BG6" t="s">
        <v>741</v>
      </c>
      <c r="BJ6">
        <v>5</v>
      </c>
      <c r="BL6" t="s">
        <v>9</v>
      </c>
      <c r="BM6">
        <v>1</v>
      </c>
      <c r="BN6">
        <v>2729</v>
      </c>
      <c r="BO6">
        <v>2729</v>
      </c>
      <c r="BR6" t="s">
        <v>740</v>
      </c>
      <c r="BU6">
        <v>5</v>
      </c>
      <c r="BW6" t="s">
        <v>7</v>
      </c>
      <c r="BX6">
        <v>1</v>
      </c>
      <c r="BY6">
        <v>5026</v>
      </c>
      <c r="BZ6">
        <v>5026</v>
      </c>
    </row>
    <row r="7" spans="1:80" x14ac:dyDescent="0.25">
      <c r="D7">
        <v>6</v>
      </c>
      <c r="E7" t="s">
        <v>30</v>
      </c>
      <c r="F7" t="s">
        <v>7</v>
      </c>
      <c r="G7" s="4">
        <v>0</v>
      </c>
      <c r="H7" s="4">
        <v>0</v>
      </c>
      <c r="I7" s="4">
        <v>0</v>
      </c>
      <c r="O7">
        <v>6</v>
      </c>
      <c r="P7" t="s">
        <v>18</v>
      </c>
      <c r="Q7" t="s">
        <v>7</v>
      </c>
      <c r="R7" s="4">
        <v>0</v>
      </c>
      <c r="S7" s="4">
        <v>0</v>
      </c>
      <c r="T7" s="4"/>
      <c r="Z7">
        <v>6</v>
      </c>
      <c r="AB7" t="s">
        <v>7</v>
      </c>
      <c r="AC7" s="4">
        <v>0</v>
      </c>
      <c r="AD7" s="4">
        <v>6259</v>
      </c>
      <c r="AE7" s="4"/>
      <c r="AK7">
        <v>6</v>
      </c>
      <c r="AM7" t="s">
        <v>7</v>
      </c>
      <c r="AN7" s="4">
        <v>0</v>
      </c>
      <c r="AO7" s="4">
        <v>0</v>
      </c>
      <c r="AP7" s="4"/>
      <c r="AW7">
        <v>6</v>
      </c>
      <c r="AX7" t="s">
        <v>717</v>
      </c>
      <c r="AY7" t="s">
        <v>7</v>
      </c>
      <c r="AZ7">
        <v>1</v>
      </c>
      <c r="BA7">
        <v>6731</v>
      </c>
      <c r="BB7">
        <v>6731</v>
      </c>
      <c r="BJ7">
        <v>6</v>
      </c>
      <c r="BL7" t="s">
        <v>7</v>
      </c>
      <c r="BM7">
        <v>1</v>
      </c>
      <c r="BN7">
        <v>4373</v>
      </c>
      <c r="BO7">
        <v>4373</v>
      </c>
      <c r="BU7">
        <v>6</v>
      </c>
      <c r="BW7" t="s">
        <v>9</v>
      </c>
      <c r="BX7">
        <v>1</v>
      </c>
      <c r="BY7">
        <v>5340</v>
      </c>
      <c r="BZ7">
        <v>5340</v>
      </c>
    </row>
    <row r="8" spans="1:80" x14ac:dyDescent="0.25">
      <c r="D8">
        <v>7</v>
      </c>
      <c r="E8" t="s">
        <v>18</v>
      </c>
      <c r="F8" t="s">
        <v>7</v>
      </c>
      <c r="G8">
        <v>1</v>
      </c>
      <c r="H8">
        <v>7451</v>
      </c>
      <c r="I8">
        <v>7451</v>
      </c>
      <c r="O8">
        <v>7</v>
      </c>
      <c r="P8" t="s">
        <v>12</v>
      </c>
      <c r="Q8" t="s">
        <v>9</v>
      </c>
      <c r="R8">
        <v>1</v>
      </c>
      <c r="S8">
        <v>5806</v>
      </c>
      <c r="T8">
        <v>5806</v>
      </c>
      <c r="Z8">
        <v>7</v>
      </c>
      <c r="AB8" t="s">
        <v>7</v>
      </c>
      <c r="AC8">
        <v>1</v>
      </c>
      <c r="AD8">
        <v>5434</v>
      </c>
      <c r="AE8">
        <v>5434</v>
      </c>
      <c r="AK8">
        <v>7</v>
      </c>
      <c r="AM8" t="s">
        <v>7</v>
      </c>
      <c r="AN8" s="4">
        <v>0</v>
      </c>
      <c r="AO8" s="4">
        <v>1993</v>
      </c>
      <c r="AP8" s="4"/>
      <c r="AW8">
        <v>7</v>
      </c>
      <c r="AX8" t="s">
        <v>718</v>
      </c>
      <c r="AY8" t="s">
        <v>9</v>
      </c>
      <c r="AZ8" s="4">
        <v>0</v>
      </c>
      <c r="BA8" s="4">
        <v>6363</v>
      </c>
      <c r="BB8" s="4"/>
      <c r="BJ8">
        <v>7</v>
      </c>
      <c r="BL8" t="s">
        <v>9</v>
      </c>
      <c r="BM8">
        <v>1</v>
      </c>
      <c r="BN8">
        <v>4465</v>
      </c>
      <c r="BO8">
        <v>4465</v>
      </c>
      <c r="BU8">
        <v>7</v>
      </c>
      <c r="BW8" t="s">
        <v>7</v>
      </c>
      <c r="BX8">
        <v>0</v>
      </c>
      <c r="BY8">
        <v>5526</v>
      </c>
      <c r="BZ8">
        <v>5526</v>
      </c>
    </row>
    <row r="9" spans="1:80" x14ac:dyDescent="0.25">
      <c r="D9">
        <v>8</v>
      </c>
      <c r="E9" t="s">
        <v>20</v>
      </c>
      <c r="F9" t="s">
        <v>9</v>
      </c>
      <c r="G9" s="4">
        <v>0</v>
      </c>
      <c r="H9" s="4">
        <v>0</v>
      </c>
      <c r="I9" s="4">
        <v>0</v>
      </c>
      <c r="O9">
        <v>8</v>
      </c>
      <c r="P9" t="s">
        <v>31</v>
      </c>
      <c r="Q9" t="s">
        <v>7</v>
      </c>
      <c r="R9">
        <v>1</v>
      </c>
      <c r="S9">
        <v>6885</v>
      </c>
      <c r="T9">
        <v>6885</v>
      </c>
      <c r="Z9">
        <v>8</v>
      </c>
      <c r="AB9" t="s">
        <v>9</v>
      </c>
      <c r="AC9" s="4">
        <v>0</v>
      </c>
      <c r="AD9" s="4">
        <v>0</v>
      </c>
      <c r="AE9" s="4"/>
      <c r="AK9">
        <v>8</v>
      </c>
      <c r="AM9" t="s">
        <v>9</v>
      </c>
      <c r="AN9" s="4">
        <v>0</v>
      </c>
      <c r="AO9" s="4">
        <v>0</v>
      </c>
      <c r="AP9" s="4"/>
      <c r="AW9">
        <v>8</v>
      </c>
      <c r="AX9" t="s">
        <v>719</v>
      </c>
      <c r="AY9" t="s">
        <v>7</v>
      </c>
      <c r="AZ9">
        <v>1</v>
      </c>
      <c r="BA9">
        <v>4611</v>
      </c>
      <c r="BB9">
        <v>4611</v>
      </c>
      <c r="BJ9">
        <v>8</v>
      </c>
      <c r="BL9" t="s">
        <v>7</v>
      </c>
      <c r="BM9" s="4">
        <v>0</v>
      </c>
      <c r="BN9" s="4">
        <v>2725</v>
      </c>
      <c r="BO9" s="4"/>
      <c r="BU9">
        <v>8</v>
      </c>
      <c r="BW9" t="s">
        <v>9</v>
      </c>
      <c r="BX9" s="4">
        <v>0</v>
      </c>
      <c r="BY9" s="4">
        <v>5340</v>
      </c>
      <c r="BZ9" s="4"/>
      <c r="CA9" s="4"/>
      <c r="CB9" s="4"/>
    </row>
    <row r="10" spans="1:80" x14ac:dyDescent="0.25">
      <c r="D10">
        <v>9</v>
      </c>
      <c r="E10" t="s">
        <v>29</v>
      </c>
      <c r="F10" t="s">
        <v>9</v>
      </c>
      <c r="G10" s="4">
        <v>0</v>
      </c>
      <c r="H10" s="4">
        <v>0</v>
      </c>
      <c r="I10" s="4">
        <v>0</v>
      </c>
      <c r="O10">
        <v>9</v>
      </c>
      <c r="P10" t="s">
        <v>25</v>
      </c>
      <c r="Q10" t="s">
        <v>7</v>
      </c>
      <c r="R10">
        <v>1</v>
      </c>
      <c r="S10">
        <v>7567</v>
      </c>
      <c r="T10">
        <v>7567</v>
      </c>
      <c r="Z10">
        <v>9</v>
      </c>
      <c r="AB10" t="s">
        <v>7</v>
      </c>
      <c r="AC10" s="4">
        <v>0</v>
      </c>
      <c r="AD10" s="4">
        <v>7238</v>
      </c>
      <c r="AE10" s="4"/>
      <c r="AK10">
        <v>9</v>
      </c>
      <c r="AM10" t="s">
        <v>7</v>
      </c>
      <c r="AN10">
        <v>1</v>
      </c>
      <c r="AO10">
        <v>7681</v>
      </c>
      <c r="AP10">
        <v>7681</v>
      </c>
      <c r="AW10">
        <v>9</v>
      </c>
      <c r="AX10" t="s">
        <v>720</v>
      </c>
      <c r="AY10" t="s">
        <v>9</v>
      </c>
      <c r="AZ10">
        <v>1</v>
      </c>
      <c r="BA10">
        <v>5140</v>
      </c>
      <c r="BB10">
        <v>5140</v>
      </c>
      <c r="BJ10">
        <v>9</v>
      </c>
      <c r="BL10" t="s">
        <v>9</v>
      </c>
      <c r="BM10">
        <v>1</v>
      </c>
      <c r="BN10">
        <v>4573</v>
      </c>
      <c r="BO10">
        <v>4573</v>
      </c>
      <c r="BU10">
        <v>9</v>
      </c>
      <c r="BW10" t="s">
        <v>9</v>
      </c>
      <c r="BX10">
        <v>1</v>
      </c>
      <c r="BY10">
        <v>5342</v>
      </c>
      <c r="BZ10">
        <v>5342</v>
      </c>
    </row>
    <row r="11" spans="1:80" x14ac:dyDescent="0.25">
      <c r="D11">
        <v>10</v>
      </c>
      <c r="E11" t="s">
        <v>37</v>
      </c>
      <c r="F11" t="s">
        <v>7</v>
      </c>
      <c r="G11" s="4">
        <v>0</v>
      </c>
      <c r="H11" s="4">
        <v>7447</v>
      </c>
      <c r="I11" s="4"/>
      <c r="O11">
        <v>10</v>
      </c>
      <c r="P11" t="s">
        <v>15</v>
      </c>
      <c r="Q11" t="s">
        <v>7</v>
      </c>
      <c r="R11">
        <v>1</v>
      </c>
      <c r="S11">
        <v>7269</v>
      </c>
      <c r="T11">
        <v>7269</v>
      </c>
      <c r="Z11">
        <v>10</v>
      </c>
      <c r="AB11" t="s">
        <v>9</v>
      </c>
      <c r="AC11">
        <v>1</v>
      </c>
      <c r="AD11">
        <v>4916</v>
      </c>
      <c r="AE11">
        <v>4916</v>
      </c>
      <c r="AK11">
        <v>10</v>
      </c>
      <c r="AM11" t="s">
        <v>9</v>
      </c>
      <c r="AN11">
        <v>1</v>
      </c>
      <c r="AO11">
        <v>7500</v>
      </c>
      <c r="AP11">
        <v>7500</v>
      </c>
      <c r="AW11">
        <v>10</v>
      </c>
      <c r="AX11" t="s">
        <v>721</v>
      </c>
      <c r="AY11" t="s">
        <v>9</v>
      </c>
      <c r="AZ11" s="4">
        <v>0</v>
      </c>
      <c r="BA11" s="4">
        <v>4416</v>
      </c>
      <c r="BB11" s="4"/>
      <c r="BJ11">
        <v>10</v>
      </c>
      <c r="BL11" t="s">
        <v>9</v>
      </c>
      <c r="BM11">
        <v>1</v>
      </c>
      <c r="BN11">
        <v>4153</v>
      </c>
      <c r="BO11">
        <v>4153</v>
      </c>
      <c r="BU11">
        <v>10</v>
      </c>
      <c r="BW11" t="s">
        <v>9</v>
      </c>
      <c r="BX11" s="4">
        <v>0</v>
      </c>
      <c r="BY11" s="4">
        <v>4189</v>
      </c>
      <c r="BZ11" s="4"/>
      <c r="CA11" s="4"/>
      <c r="CB11" s="4"/>
    </row>
    <row r="12" spans="1:80" x14ac:dyDescent="0.25">
      <c r="D12">
        <v>11</v>
      </c>
      <c r="E12" t="s">
        <v>23</v>
      </c>
      <c r="F12" t="s">
        <v>9</v>
      </c>
      <c r="G12" s="4">
        <v>0</v>
      </c>
      <c r="H12" s="4">
        <v>0</v>
      </c>
      <c r="I12" s="4">
        <v>0</v>
      </c>
      <c r="O12">
        <v>11</v>
      </c>
      <c r="P12" t="s">
        <v>24</v>
      </c>
      <c r="Q12" t="s">
        <v>9</v>
      </c>
      <c r="R12" s="4">
        <v>0</v>
      </c>
      <c r="S12" s="4">
        <v>6118</v>
      </c>
      <c r="T12" s="4"/>
      <c r="Z12">
        <v>11</v>
      </c>
      <c r="AB12" t="s">
        <v>9</v>
      </c>
      <c r="AC12">
        <v>1</v>
      </c>
      <c r="AD12">
        <v>6969</v>
      </c>
      <c r="AE12">
        <v>6969</v>
      </c>
      <c r="AK12">
        <v>11</v>
      </c>
      <c r="AM12" t="s">
        <v>9</v>
      </c>
      <c r="AN12" s="4">
        <v>0</v>
      </c>
      <c r="AO12" s="4">
        <v>6176</v>
      </c>
      <c r="AP12" s="4"/>
      <c r="AW12">
        <v>11</v>
      </c>
      <c r="AX12" t="s">
        <v>722</v>
      </c>
      <c r="AY12" t="s">
        <v>9</v>
      </c>
      <c r="AZ12">
        <v>1</v>
      </c>
      <c r="BA12">
        <v>3848</v>
      </c>
      <c r="BB12">
        <v>3848</v>
      </c>
      <c r="BJ12">
        <v>11</v>
      </c>
      <c r="BL12" t="s">
        <v>9</v>
      </c>
      <c r="BM12">
        <v>1</v>
      </c>
      <c r="BN12">
        <v>3118</v>
      </c>
      <c r="BO12">
        <v>3118</v>
      </c>
      <c r="BU12">
        <v>11</v>
      </c>
      <c r="BW12" t="s">
        <v>9</v>
      </c>
      <c r="BX12">
        <v>1</v>
      </c>
      <c r="BY12">
        <v>5916</v>
      </c>
      <c r="BZ12">
        <v>5916</v>
      </c>
    </row>
    <row r="13" spans="1:80" x14ac:dyDescent="0.25">
      <c r="D13">
        <v>12</v>
      </c>
      <c r="E13" t="s">
        <v>27</v>
      </c>
      <c r="F13" t="s">
        <v>9</v>
      </c>
      <c r="G13" s="4">
        <v>0</v>
      </c>
      <c r="H13" s="4">
        <v>0</v>
      </c>
      <c r="I13" s="4">
        <v>0</v>
      </c>
      <c r="O13">
        <v>12</v>
      </c>
      <c r="P13" t="s">
        <v>29</v>
      </c>
      <c r="Q13" t="s">
        <v>9</v>
      </c>
      <c r="R13" s="4">
        <v>0</v>
      </c>
      <c r="S13" s="4">
        <v>0</v>
      </c>
      <c r="T13" s="4"/>
      <c r="Z13">
        <v>12</v>
      </c>
      <c r="AB13" t="s">
        <v>7</v>
      </c>
      <c r="AC13" s="4">
        <v>0</v>
      </c>
      <c r="AD13" s="4">
        <v>6348</v>
      </c>
      <c r="AE13" s="4"/>
      <c r="AK13">
        <v>12</v>
      </c>
      <c r="AM13" t="s">
        <v>7</v>
      </c>
      <c r="AN13" s="4">
        <v>0</v>
      </c>
      <c r="AO13" s="4">
        <v>4796</v>
      </c>
      <c r="AP13" s="4"/>
      <c r="AW13">
        <v>12</v>
      </c>
      <c r="AX13" t="s">
        <v>723</v>
      </c>
      <c r="AY13" t="s">
        <v>7</v>
      </c>
      <c r="AZ13">
        <v>1</v>
      </c>
      <c r="BA13">
        <v>5859</v>
      </c>
      <c r="BB13">
        <v>5859</v>
      </c>
      <c r="BJ13">
        <v>12</v>
      </c>
      <c r="BL13" t="s">
        <v>7</v>
      </c>
      <c r="BM13" s="4">
        <v>0</v>
      </c>
      <c r="BN13" s="4">
        <v>4381</v>
      </c>
      <c r="BO13" s="4"/>
      <c r="BU13">
        <v>12</v>
      </c>
      <c r="BW13" t="s">
        <v>9</v>
      </c>
      <c r="BX13" s="4">
        <v>0</v>
      </c>
      <c r="BY13" s="4">
        <v>5659</v>
      </c>
      <c r="BZ13" s="4"/>
      <c r="CA13" s="4"/>
      <c r="CB13" s="4"/>
    </row>
    <row r="14" spans="1:80" x14ac:dyDescent="0.25">
      <c r="D14">
        <v>13</v>
      </c>
      <c r="E14" t="s">
        <v>21</v>
      </c>
      <c r="F14" t="s">
        <v>9</v>
      </c>
      <c r="G14">
        <v>1</v>
      </c>
      <c r="H14">
        <v>7518</v>
      </c>
      <c r="I14">
        <v>7518</v>
      </c>
      <c r="O14">
        <v>13</v>
      </c>
      <c r="P14" t="s">
        <v>33</v>
      </c>
      <c r="Q14" t="s">
        <v>7</v>
      </c>
      <c r="R14" s="4">
        <v>0</v>
      </c>
      <c r="S14" s="4">
        <v>7351</v>
      </c>
      <c r="T14" s="4"/>
      <c r="Z14">
        <v>13</v>
      </c>
      <c r="AB14" t="s">
        <v>9</v>
      </c>
      <c r="AC14" s="4">
        <v>0</v>
      </c>
      <c r="AD14" s="4">
        <v>6002</v>
      </c>
      <c r="AE14" s="4"/>
      <c r="AK14">
        <v>13</v>
      </c>
      <c r="AM14" t="s">
        <v>7</v>
      </c>
      <c r="AN14">
        <v>1</v>
      </c>
      <c r="AO14">
        <v>6139</v>
      </c>
      <c r="AP14">
        <v>6139</v>
      </c>
      <c r="AW14">
        <v>13</v>
      </c>
      <c r="AX14" t="s">
        <v>724</v>
      </c>
      <c r="AY14" t="s">
        <v>7</v>
      </c>
      <c r="AZ14" s="4">
        <v>0</v>
      </c>
      <c r="BA14" s="4">
        <v>4749</v>
      </c>
      <c r="BB14" s="4"/>
      <c r="BJ14">
        <v>13</v>
      </c>
      <c r="BL14" t="s">
        <v>9</v>
      </c>
      <c r="BM14">
        <v>1</v>
      </c>
      <c r="BN14">
        <v>2382</v>
      </c>
      <c r="BO14">
        <v>2382</v>
      </c>
      <c r="BU14">
        <v>13</v>
      </c>
      <c r="BW14" t="s">
        <v>7</v>
      </c>
      <c r="BX14" s="4">
        <v>0</v>
      </c>
      <c r="BY14" s="4">
        <v>5684</v>
      </c>
      <c r="BZ14" s="4"/>
      <c r="CA14" s="4"/>
      <c r="CB14" s="4"/>
    </row>
    <row r="15" spans="1:80" x14ac:dyDescent="0.25">
      <c r="D15">
        <v>14</v>
      </c>
      <c r="E15" t="s">
        <v>25</v>
      </c>
      <c r="F15" t="s">
        <v>7</v>
      </c>
      <c r="G15" s="4">
        <v>0</v>
      </c>
      <c r="H15" s="4">
        <v>0</v>
      </c>
      <c r="I15" s="4">
        <v>0</v>
      </c>
      <c r="O15">
        <v>14</v>
      </c>
      <c r="P15" t="s">
        <v>13</v>
      </c>
      <c r="Q15" t="s">
        <v>7</v>
      </c>
      <c r="R15" s="4">
        <v>0</v>
      </c>
      <c r="S15" s="4">
        <v>7737</v>
      </c>
      <c r="T15" s="4"/>
      <c r="Z15">
        <v>14</v>
      </c>
      <c r="AB15" t="s">
        <v>7</v>
      </c>
      <c r="AC15">
        <v>1</v>
      </c>
      <c r="AD15">
        <v>7253</v>
      </c>
      <c r="AE15">
        <v>7253</v>
      </c>
      <c r="AK15">
        <v>14</v>
      </c>
      <c r="AM15" t="s">
        <v>7</v>
      </c>
      <c r="AN15" s="4">
        <v>0</v>
      </c>
      <c r="AO15" s="4">
        <v>5416</v>
      </c>
      <c r="AP15" s="4"/>
      <c r="AW15">
        <v>14</v>
      </c>
      <c r="AX15" t="s">
        <v>725</v>
      </c>
      <c r="AY15" t="s">
        <v>9</v>
      </c>
      <c r="AZ15">
        <v>1</v>
      </c>
      <c r="BA15">
        <v>3692</v>
      </c>
      <c r="BB15">
        <v>3692</v>
      </c>
      <c r="BJ15">
        <v>14</v>
      </c>
      <c r="BL15" t="s">
        <v>9</v>
      </c>
      <c r="BM15">
        <v>1</v>
      </c>
      <c r="BN15">
        <v>4269</v>
      </c>
      <c r="BO15">
        <v>4269</v>
      </c>
      <c r="BU15">
        <v>14</v>
      </c>
      <c r="BW15" t="s">
        <v>9</v>
      </c>
      <c r="BX15" s="4">
        <v>0</v>
      </c>
      <c r="BY15" s="4">
        <v>7598</v>
      </c>
      <c r="BZ15" s="4"/>
      <c r="CA15" s="4"/>
      <c r="CB15" s="4"/>
    </row>
    <row r="16" spans="1:80" x14ac:dyDescent="0.25">
      <c r="D16">
        <v>15</v>
      </c>
      <c r="E16" t="s">
        <v>26</v>
      </c>
      <c r="F16" t="s">
        <v>7</v>
      </c>
      <c r="G16">
        <v>1</v>
      </c>
      <c r="H16">
        <v>6258</v>
      </c>
      <c r="I16">
        <v>6258</v>
      </c>
      <c r="O16">
        <v>15</v>
      </c>
      <c r="P16" t="s">
        <v>34</v>
      </c>
      <c r="Q16" t="s">
        <v>7</v>
      </c>
      <c r="R16" s="4">
        <v>0</v>
      </c>
      <c r="S16" s="4">
        <v>0</v>
      </c>
      <c r="T16" s="4"/>
      <c r="Z16">
        <v>15</v>
      </c>
      <c r="AB16" t="s">
        <v>7</v>
      </c>
      <c r="AC16" s="4">
        <v>0</v>
      </c>
      <c r="AD16" s="4">
        <v>5713</v>
      </c>
      <c r="AE16" s="4"/>
      <c r="AK16">
        <v>15</v>
      </c>
      <c r="AM16" t="s">
        <v>9</v>
      </c>
      <c r="AN16" s="4">
        <v>0</v>
      </c>
      <c r="AO16" s="4">
        <v>0</v>
      </c>
      <c r="AP16" s="4"/>
      <c r="AW16">
        <v>15</v>
      </c>
      <c r="AX16" t="s">
        <v>726</v>
      </c>
      <c r="AY16" t="s">
        <v>9</v>
      </c>
      <c r="AZ16">
        <v>1</v>
      </c>
      <c r="BA16">
        <v>4013</v>
      </c>
      <c r="BB16">
        <v>4013</v>
      </c>
      <c r="BJ16">
        <v>15</v>
      </c>
      <c r="BL16" t="s">
        <v>7</v>
      </c>
      <c r="BM16" s="4">
        <v>0</v>
      </c>
      <c r="BN16" s="4">
        <v>5383</v>
      </c>
      <c r="BO16" s="4"/>
      <c r="BU16">
        <v>15</v>
      </c>
      <c r="BW16" t="s">
        <v>7</v>
      </c>
      <c r="BX16">
        <v>1</v>
      </c>
      <c r="BY16">
        <v>5676</v>
      </c>
      <c r="BZ16">
        <v>5676</v>
      </c>
    </row>
    <row r="17" spans="4:80" x14ac:dyDescent="0.25">
      <c r="D17">
        <v>16</v>
      </c>
      <c r="E17" t="s">
        <v>22</v>
      </c>
      <c r="F17" t="s">
        <v>7</v>
      </c>
      <c r="G17" s="4">
        <v>0</v>
      </c>
      <c r="H17" s="4">
        <v>0</v>
      </c>
      <c r="I17" s="4">
        <v>0</v>
      </c>
      <c r="O17">
        <v>16</v>
      </c>
      <c r="P17" t="s">
        <v>35</v>
      </c>
      <c r="Q17" t="s">
        <v>9</v>
      </c>
      <c r="R17">
        <v>1</v>
      </c>
      <c r="S17">
        <v>4344</v>
      </c>
      <c r="T17">
        <v>4344</v>
      </c>
      <c r="Z17">
        <v>16</v>
      </c>
      <c r="AB17" t="s">
        <v>9</v>
      </c>
      <c r="AC17" s="4">
        <v>0</v>
      </c>
      <c r="AD17" s="4">
        <v>7655</v>
      </c>
      <c r="AE17" s="4"/>
      <c r="AK17">
        <v>16</v>
      </c>
      <c r="AM17" t="s">
        <v>9</v>
      </c>
      <c r="AN17" s="4">
        <v>0</v>
      </c>
      <c r="AO17" s="4">
        <v>0</v>
      </c>
      <c r="AP17" s="4"/>
      <c r="AW17">
        <v>16</v>
      </c>
      <c r="AX17" t="s">
        <v>727</v>
      </c>
      <c r="AY17" t="s">
        <v>9</v>
      </c>
      <c r="AZ17">
        <v>1</v>
      </c>
      <c r="BA17">
        <v>5579</v>
      </c>
      <c r="BB17">
        <v>5579</v>
      </c>
      <c r="BJ17">
        <v>16</v>
      </c>
      <c r="BL17" t="s">
        <v>7</v>
      </c>
      <c r="BM17">
        <v>1</v>
      </c>
      <c r="BN17">
        <v>4521</v>
      </c>
      <c r="BO17">
        <v>4521</v>
      </c>
      <c r="BU17">
        <v>16</v>
      </c>
      <c r="BW17" t="s">
        <v>7</v>
      </c>
      <c r="BX17" s="4">
        <v>0</v>
      </c>
      <c r="BY17" s="4">
        <v>3253</v>
      </c>
      <c r="BZ17" s="4"/>
      <c r="CA17" s="4"/>
      <c r="CB17" s="4"/>
    </row>
    <row r="18" spans="4:80" x14ac:dyDescent="0.25">
      <c r="D18">
        <v>17</v>
      </c>
      <c r="E18" t="s">
        <v>19</v>
      </c>
      <c r="F18" t="s">
        <v>7</v>
      </c>
      <c r="G18" s="4">
        <v>0</v>
      </c>
      <c r="H18" s="4">
        <v>0</v>
      </c>
      <c r="I18" s="4">
        <v>0</v>
      </c>
      <c r="O18">
        <v>17</v>
      </c>
      <c r="P18" t="s">
        <v>28</v>
      </c>
      <c r="Q18" t="s">
        <v>9</v>
      </c>
      <c r="R18" s="4">
        <v>0</v>
      </c>
      <c r="S18" s="4">
        <v>0</v>
      </c>
      <c r="T18" s="4"/>
      <c r="Z18">
        <v>17</v>
      </c>
      <c r="AB18" t="s">
        <v>7</v>
      </c>
      <c r="AC18" s="4">
        <v>0</v>
      </c>
      <c r="AD18" s="4">
        <v>0</v>
      </c>
      <c r="AE18" s="4"/>
      <c r="AK18">
        <v>17</v>
      </c>
      <c r="AM18" t="s">
        <v>7</v>
      </c>
      <c r="AN18" s="4">
        <v>0</v>
      </c>
      <c r="AO18" s="4">
        <v>4981</v>
      </c>
      <c r="AP18" s="4"/>
      <c r="AW18">
        <v>17</v>
      </c>
      <c r="AX18" t="s">
        <v>728</v>
      </c>
      <c r="AY18" t="s">
        <v>9</v>
      </c>
      <c r="AZ18" s="4">
        <v>0</v>
      </c>
      <c r="BA18" s="4">
        <v>4861</v>
      </c>
      <c r="BB18" s="4"/>
      <c r="BJ18">
        <v>17</v>
      </c>
      <c r="BL18" t="s">
        <v>9</v>
      </c>
      <c r="BM18" s="4">
        <v>0</v>
      </c>
      <c r="BN18" s="4">
        <v>4181</v>
      </c>
      <c r="BO18" s="4"/>
      <c r="BU18">
        <v>17</v>
      </c>
      <c r="BW18" t="s">
        <v>7</v>
      </c>
      <c r="BX18">
        <v>1</v>
      </c>
      <c r="BY18">
        <v>6882</v>
      </c>
      <c r="BZ18">
        <v>6882</v>
      </c>
    </row>
    <row r="19" spans="4:80" x14ac:dyDescent="0.25">
      <c r="D19">
        <v>18</v>
      </c>
      <c r="E19" t="s">
        <v>31</v>
      </c>
      <c r="F19" t="s">
        <v>7</v>
      </c>
      <c r="G19" s="4">
        <v>0</v>
      </c>
      <c r="H19" s="4">
        <v>0</v>
      </c>
      <c r="I19" s="4">
        <v>0</v>
      </c>
      <c r="O19">
        <v>18</v>
      </c>
      <c r="P19" t="s">
        <v>22</v>
      </c>
      <c r="Q19" t="s">
        <v>7</v>
      </c>
      <c r="R19" s="4">
        <v>0</v>
      </c>
      <c r="S19" s="4">
        <v>6511</v>
      </c>
      <c r="T19" s="4"/>
      <c r="Z19">
        <v>18</v>
      </c>
      <c r="AB19" t="s">
        <v>7</v>
      </c>
      <c r="AC19" s="4">
        <v>0</v>
      </c>
      <c r="AD19" s="4">
        <v>6666</v>
      </c>
      <c r="AE19" s="4"/>
      <c r="AK19">
        <v>18</v>
      </c>
      <c r="AM19" t="s">
        <v>7</v>
      </c>
      <c r="AN19">
        <v>1</v>
      </c>
      <c r="AO19">
        <v>5844</v>
      </c>
      <c r="AP19">
        <v>5844</v>
      </c>
      <c r="AW19">
        <v>18</v>
      </c>
      <c r="AX19" t="s">
        <v>729</v>
      </c>
      <c r="AY19" t="s">
        <v>7</v>
      </c>
      <c r="AZ19">
        <v>1</v>
      </c>
      <c r="BA19">
        <v>4408</v>
      </c>
      <c r="BB19">
        <v>4408</v>
      </c>
      <c r="BJ19">
        <v>18</v>
      </c>
      <c r="BL19" t="s">
        <v>7</v>
      </c>
      <c r="BM19">
        <v>1</v>
      </c>
      <c r="BN19">
        <v>4768</v>
      </c>
      <c r="BO19">
        <v>4768</v>
      </c>
      <c r="BU19">
        <v>18</v>
      </c>
      <c r="BW19" t="s">
        <v>9</v>
      </c>
      <c r="BX19">
        <v>1</v>
      </c>
      <c r="BY19">
        <v>6768</v>
      </c>
      <c r="BZ19">
        <v>6768</v>
      </c>
    </row>
    <row r="20" spans="4:80" x14ac:dyDescent="0.25">
      <c r="D20">
        <v>19</v>
      </c>
      <c r="E20" t="s">
        <v>13</v>
      </c>
      <c r="F20" t="s">
        <v>7</v>
      </c>
      <c r="G20" s="4">
        <v>0</v>
      </c>
      <c r="H20" s="4">
        <v>6054</v>
      </c>
      <c r="I20" s="4"/>
      <c r="O20">
        <v>19</v>
      </c>
      <c r="P20" t="s">
        <v>21</v>
      </c>
      <c r="Q20" t="s">
        <v>9</v>
      </c>
      <c r="R20" s="4">
        <v>0</v>
      </c>
      <c r="S20" s="4">
        <v>0</v>
      </c>
      <c r="T20" s="4"/>
      <c r="Z20">
        <v>19</v>
      </c>
      <c r="AB20" t="s">
        <v>9</v>
      </c>
      <c r="AC20" s="4">
        <v>0</v>
      </c>
      <c r="AD20" s="4">
        <v>6830</v>
      </c>
      <c r="AE20" s="4"/>
      <c r="AK20">
        <v>19</v>
      </c>
      <c r="AM20" t="s">
        <v>9</v>
      </c>
      <c r="AN20" s="4">
        <v>0</v>
      </c>
      <c r="AO20" s="4">
        <v>7231</v>
      </c>
      <c r="AP20" s="4"/>
      <c r="AW20">
        <v>19</v>
      </c>
      <c r="AX20" t="s">
        <v>730</v>
      </c>
      <c r="AY20" t="s">
        <v>7</v>
      </c>
      <c r="AZ20" s="4">
        <v>0</v>
      </c>
      <c r="BA20" s="4">
        <v>3421</v>
      </c>
      <c r="BB20" s="4"/>
      <c r="BJ20">
        <v>19</v>
      </c>
      <c r="BL20" t="s">
        <v>9</v>
      </c>
      <c r="BM20" s="4">
        <v>0</v>
      </c>
      <c r="BN20" s="4">
        <v>5396</v>
      </c>
      <c r="BO20" s="4"/>
      <c r="BU20">
        <v>19</v>
      </c>
      <c r="BW20" t="s">
        <v>7</v>
      </c>
      <c r="BX20">
        <v>1</v>
      </c>
      <c r="BY20">
        <v>7113</v>
      </c>
      <c r="BZ20">
        <v>7113</v>
      </c>
    </row>
    <row r="21" spans="4:80" x14ac:dyDescent="0.25">
      <c r="D21">
        <v>20</v>
      </c>
      <c r="E21" t="s">
        <v>17</v>
      </c>
      <c r="F21" t="s">
        <v>9</v>
      </c>
      <c r="G21" s="4">
        <v>0</v>
      </c>
      <c r="H21" s="4">
        <v>7352</v>
      </c>
      <c r="I21" s="4"/>
      <c r="O21">
        <v>20</v>
      </c>
      <c r="P21" t="s">
        <v>19</v>
      </c>
      <c r="Q21" t="s">
        <v>7</v>
      </c>
      <c r="R21" s="4">
        <v>0</v>
      </c>
      <c r="S21" s="4">
        <v>0</v>
      </c>
      <c r="T21" s="4"/>
      <c r="Z21">
        <v>20</v>
      </c>
      <c r="AB21" t="s">
        <v>7</v>
      </c>
      <c r="AC21" s="4">
        <v>0</v>
      </c>
      <c r="AD21" s="4">
        <v>5236</v>
      </c>
      <c r="AE21" s="4"/>
      <c r="AK21">
        <v>20</v>
      </c>
      <c r="AM21" t="s">
        <v>7</v>
      </c>
      <c r="AN21" s="4">
        <v>0</v>
      </c>
      <c r="AO21" s="4">
        <v>6470</v>
      </c>
      <c r="AP21" s="4"/>
      <c r="AW21">
        <v>20</v>
      </c>
      <c r="AX21" t="s">
        <v>731</v>
      </c>
      <c r="AY21" t="s">
        <v>7</v>
      </c>
      <c r="AZ21">
        <v>1</v>
      </c>
      <c r="BA21">
        <v>5322</v>
      </c>
      <c r="BB21">
        <v>5322</v>
      </c>
      <c r="BJ21">
        <v>20</v>
      </c>
      <c r="BL21" t="s">
        <v>9</v>
      </c>
      <c r="BM21" s="4">
        <v>0</v>
      </c>
      <c r="BN21" s="4">
        <v>3550</v>
      </c>
      <c r="BO21" s="4"/>
      <c r="BU21">
        <v>20</v>
      </c>
      <c r="BW21" t="s">
        <v>7</v>
      </c>
      <c r="BX21">
        <v>1</v>
      </c>
      <c r="BY21">
        <v>7686</v>
      </c>
      <c r="BZ21">
        <v>7686</v>
      </c>
    </row>
    <row r="22" spans="4:80" x14ac:dyDescent="0.25">
      <c r="D22">
        <v>21</v>
      </c>
      <c r="E22" t="s">
        <v>34</v>
      </c>
      <c r="F22" t="s">
        <v>7</v>
      </c>
      <c r="G22" s="4">
        <v>0</v>
      </c>
      <c r="H22" s="4">
        <v>0</v>
      </c>
      <c r="I22" s="4">
        <v>0</v>
      </c>
      <c r="O22">
        <v>21</v>
      </c>
      <c r="P22" t="s">
        <v>32</v>
      </c>
      <c r="Q22" t="s">
        <v>9</v>
      </c>
      <c r="R22" s="4">
        <v>0</v>
      </c>
      <c r="S22" s="4">
        <v>0</v>
      </c>
      <c r="T22" s="4"/>
      <c r="Z22">
        <v>21</v>
      </c>
      <c r="AB22" t="s">
        <v>9</v>
      </c>
      <c r="AC22">
        <v>1</v>
      </c>
      <c r="AD22">
        <v>6005</v>
      </c>
      <c r="AE22">
        <v>6005</v>
      </c>
      <c r="AK22">
        <v>21</v>
      </c>
      <c r="AM22" t="s">
        <v>9</v>
      </c>
      <c r="AN22">
        <v>1</v>
      </c>
      <c r="AO22">
        <v>5945</v>
      </c>
      <c r="AP22">
        <v>5945</v>
      </c>
      <c r="AW22">
        <v>21</v>
      </c>
      <c r="AX22" t="s">
        <v>732</v>
      </c>
      <c r="AY22" t="s">
        <v>9</v>
      </c>
      <c r="AZ22" s="4">
        <v>0</v>
      </c>
      <c r="BA22" s="4">
        <v>6725</v>
      </c>
      <c r="BB22" s="4"/>
      <c r="BJ22">
        <v>21</v>
      </c>
      <c r="BL22" t="s">
        <v>7</v>
      </c>
      <c r="BM22">
        <v>1</v>
      </c>
      <c r="BN22">
        <v>3475</v>
      </c>
      <c r="BO22">
        <v>3475</v>
      </c>
      <c r="BU22">
        <v>21</v>
      </c>
      <c r="BW22" t="s">
        <v>7</v>
      </c>
      <c r="BX22" s="4">
        <v>0</v>
      </c>
      <c r="BY22" s="4">
        <v>6489</v>
      </c>
      <c r="BZ22" s="4"/>
      <c r="CA22" s="4"/>
      <c r="CB22" s="4"/>
    </row>
    <row r="23" spans="4:80" x14ac:dyDescent="0.25">
      <c r="D23">
        <v>22</v>
      </c>
      <c r="E23" t="s">
        <v>12</v>
      </c>
      <c r="F23" t="s">
        <v>9</v>
      </c>
      <c r="G23" s="4">
        <v>0</v>
      </c>
      <c r="H23" s="4">
        <v>0</v>
      </c>
      <c r="I23" s="4">
        <v>0</v>
      </c>
      <c r="O23">
        <v>22</v>
      </c>
      <c r="P23" t="s">
        <v>17</v>
      </c>
      <c r="Q23" t="s">
        <v>9</v>
      </c>
      <c r="R23" s="4">
        <v>0</v>
      </c>
      <c r="S23" s="4">
        <v>5489</v>
      </c>
      <c r="T23" s="4"/>
      <c r="Z23">
        <v>22</v>
      </c>
      <c r="AB23" t="s">
        <v>7</v>
      </c>
      <c r="AC23" s="4">
        <v>0</v>
      </c>
      <c r="AD23" s="4">
        <v>0</v>
      </c>
      <c r="AE23" s="4"/>
      <c r="AK23">
        <v>22</v>
      </c>
      <c r="AM23" t="s">
        <v>7</v>
      </c>
      <c r="AN23" s="4">
        <v>0</v>
      </c>
      <c r="AO23" s="4">
        <v>6123</v>
      </c>
      <c r="AP23" s="4"/>
      <c r="AW23">
        <v>22</v>
      </c>
      <c r="AX23" t="s">
        <v>733</v>
      </c>
      <c r="AY23" t="s">
        <v>9</v>
      </c>
      <c r="AZ23" s="4">
        <v>0</v>
      </c>
      <c r="BA23" s="4">
        <v>4418</v>
      </c>
      <c r="BB23" s="4"/>
      <c r="BJ23">
        <v>22</v>
      </c>
      <c r="BL23" t="s">
        <v>7</v>
      </c>
      <c r="BM23" s="4">
        <v>0</v>
      </c>
      <c r="BN23" s="4">
        <v>5245</v>
      </c>
      <c r="BO23" s="4"/>
      <c r="BU23">
        <v>22</v>
      </c>
      <c r="BW23" t="s">
        <v>9</v>
      </c>
      <c r="BX23">
        <v>1</v>
      </c>
      <c r="BY23">
        <v>7605</v>
      </c>
      <c r="BZ23">
        <v>7605</v>
      </c>
    </row>
    <row r="24" spans="4:80" x14ac:dyDescent="0.25">
      <c r="D24">
        <v>23</v>
      </c>
      <c r="E24" t="s">
        <v>35</v>
      </c>
      <c r="F24" t="s">
        <v>9</v>
      </c>
      <c r="G24">
        <v>1</v>
      </c>
      <c r="H24">
        <v>6746</v>
      </c>
      <c r="I24">
        <v>6746</v>
      </c>
      <c r="O24">
        <v>23</v>
      </c>
      <c r="P24" t="s">
        <v>27</v>
      </c>
      <c r="Q24" t="s">
        <v>9</v>
      </c>
      <c r="R24" s="4">
        <v>0</v>
      </c>
      <c r="S24" s="4">
        <v>0</v>
      </c>
      <c r="T24" s="4"/>
      <c r="Z24">
        <v>23</v>
      </c>
      <c r="AB24" t="s">
        <v>9</v>
      </c>
      <c r="AC24" s="4">
        <v>0</v>
      </c>
      <c r="AD24" s="4">
        <v>0</v>
      </c>
      <c r="AE24" s="4"/>
      <c r="AK24">
        <v>23</v>
      </c>
      <c r="AM24" t="s">
        <v>9</v>
      </c>
      <c r="AN24">
        <v>1</v>
      </c>
      <c r="AO24">
        <v>4964</v>
      </c>
      <c r="AP24">
        <v>4964</v>
      </c>
      <c r="AW24">
        <v>23</v>
      </c>
      <c r="AX24" t="s">
        <v>734</v>
      </c>
      <c r="AY24" t="s">
        <v>7</v>
      </c>
      <c r="AZ24">
        <v>1</v>
      </c>
      <c r="BA24">
        <v>3976</v>
      </c>
      <c r="BB24">
        <v>3976</v>
      </c>
      <c r="BJ24">
        <v>23</v>
      </c>
      <c r="BL24" t="s">
        <v>7</v>
      </c>
      <c r="BM24" s="4">
        <v>0</v>
      </c>
      <c r="BN24" s="4">
        <v>3828</v>
      </c>
      <c r="BO24" s="4"/>
      <c r="BU24">
        <v>23</v>
      </c>
      <c r="BW24" t="s">
        <v>7</v>
      </c>
      <c r="BX24">
        <v>1</v>
      </c>
      <c r="BY24">
        <v>6072</v>
      </c>
      <c r="BZ24">
        <v>6072</v>
      </c>
    </row>
    <row r="25" spans="4:80" x14ac:dyDescent="0.25">
      <c r="D25">
        <v>24</v>
      </c>
      <c r="E25" t="s">
        <v>32</v>
      </c>
      <c r="F25" t="s">
        <v>9</v>
      </c>
      <c r="G25" s="4">
        <v>0</v>
      </c>
      <c r="H25" s="4">
        <v>0</v>
      </c>
      <c r="I25" s="4">
        <v>0</v>
      </c>
      <c r="O25">
        <v>24</v>
      </c>
      <c r="P25" t="s">
        <v>36</v>
      </c>
      <c r="Q25" t="s">
        <v>7</v>
      </c>
      <c r="R25">
        <v>1</v>
      </c>
      <c r="S25">
        <v>6652</v>
      </c>
      <c r="T25">
        <v>6652</v>
      </c>
      <c r="Z25">
        <v>24</v>
      </c>
      <c r="AB25" t="s">
        <v>7</v>
      </c>
      <c r="AC25">
        <v>1</v>
      </c>
      <c r="AD25">
        <v>5558</v>
      </c>
      <c r="AE25">
        <v>5558</v>
      </c>
      <c r="AK25">
        <v>24</v>
      </c>
      <c r="AM25" t="s">
        <v>7</v>
      </c>
      <c r="AN25">
        <v>1</v>
      </c>
      <c r="AO25">
        <v>5953</v>
      </c>
      <c r="AP25">
        <v>5953</v>
      </c>
      <c r="AW25">
        <v>24</v>
      </c>
      <c r="AX25" t="s">
        <v>735</v>
      </c>
      <c r="AY25" t="s">
        <v>7</v>
      </c>
      <c r="AZ25" s="4">
        <v>0</v>
      </c>
      <c r="BA25" s="4">
        <v>5745</v>
      </c>
      <c r="BB25" s="4"/>
      <c r="BJ25">
        <v>24</v>
      </c>
      <c r="BL25" t="s">
        <v>7</v>
      </c>
      <c r="BM25" s="4">
        <v>0</v>
      </c>
      <c r="BN25" s="4">
        <v>5796</v>
      </c>
      <c r="BO25" s="4"/>
      <c r="BU25">
        <v>24</v>
      </c>
      <c r="BW25" t="s">
        <v>7</v>
      </c>
      <c r="BX25">
        <v>1</v>
      </c>
      <c r="BY25">
        <v>6741</v>
      </c>
      <c r="BZ25">
        <v>6741</v>
      </c>
    </row>
    <row r="26" spans="4:80" x14ac:dyDescent="0.25">
      <c r="D26">
        <v>25</v>
      </c>
      <c r="E26" t="s">
        <v>28</v>
      </c>
      <c r="F26" t="s">
        <v>9</v>
      </c>
      <c r="G26" s="4">
        <v>0</v>
      </c>
      <c r="H26" s="4">
        <v>0</v>
      </c>
      <c r="I26" s="4">
        <v>0</v>
      </c>
      <c r="O26">
        <v>25</v>
      </c>
      <c r="P26" t="s">
        <v>37</v>
      </c>
      <c r="Q26" t="s">
        <v>7</v>
      </c>
      <c r="R26" s="4">
        <v>0</v>
      </c>
      <c r="S26" s="4">
        <v>6164</v>
      </c>
      <c r="T26" s="4"/>
      <c r="Z26">
        <v>25</v>
      </c>
      <c r="AB26" t="s">
        <v>9</v>
      </c>
      <c r="AC26">
        <v>1</v>
      </c>
      <c r="AD26">
        <v>5011</v>
      </c>
      <c r="AE26">
        <v>5011</v>
      </c>
      <c r="AK26">
        <v>25</v>
      </c>
      <c r="AM26" t="s">
        <v>9</v>
      </c>
      <c r="AN26" s="4">
        <v>0</v>
      </c>
      <c r="AO26" s="4">
        <v>0</v>
      </c>
      <c r="AP26" s="4"/>
      <c r="AW26">
        <v>25</v>
      </c>
      <c r="AX26" t="s">
        <v>736</v>
      </c>
      <c r="AY26" t="s">
        <v>9</v>
      </c>
      <c r="AZ26">
        <v>1</v>
      </c>
      <c r="BA26">
        <v>4874</v>
      </c>
      <c r="BB26">
        <v>4874</v>
      </c>
      <c r="BJ26">
        <v>25</v>
      </c>
      <c r="BL26" t="s">
        <v>7</v>
      </c>
      <c r="BM26">
        <v>1</v>
      </c>
      <c r="BN26">
        <v>4706</v>
      </c>
      <c r="BO26">
        <v>4706</v>
      </c>
      <c r="BU26">
        <v>25</v>
      </c>
      <c r="BW26" t="s">
        <v>7</v>
      </c>
      <c r="BX26">
        <v>1</v>
      </c>
      <c r="BY26">
        <v>4234</v>
      </c>
      <c r="BZ26">
        <v>4234</v>
      </c>
    </row>
    <row r="27" spans="4:80" x14ac:dyDescent="0.25">
      <c r="D27">
        <v>26</v>
      </c>
      <c r="E27" t="s">
        <v>15</v>
      </c>
      <c r="F27" t="s">
        <v>7</v>
      </c>
      <c r="G27">
        <v>1</v>
      </c>
      <c r="H27">
        <v>7034</v>
      </c>
      <c r="I27">
        <v>7034</v>
      </c>
      <c r="O27">
        <v>26</v>
      </c>
      <c r="P27" t="s">
        <v>16</v>
      </c>
      <c r="Q27" t="s">
        <v>9</v>
      </c>
      <c r="R27" s="4">
        <v>0</v>
      </c>
      <c r="S27" s="4">
        <v>6095</v>
      </c>
      <c r="T27" s="4"/>
      <c r="Z27">
        <v>26</v>
      </c>
      <c r="AB27" t="s">
        <v>9</v>
      </c>
      <c r="AC27" s="4">
        <v>0</v>
      </c>
      <c r="AD27" s="4">
        <v>0</v>
      </c>
      <c r="AE27" s="4"/>
      <c r="AK27">
        <v>26</v>
      </c>
      <c r="AM27" t="s">
        <v>7</v>
      </c>
      <c r="AN27" s="4">
        <v>0</v>
      </c>
      <c r="AO27" s="4">
        <v>7991</v>
      </c>
      <c r="AP27" s="4"/>
      <c r="AW27">
        <v>26</v>
      </c>
      <c r="AX27" t="s">
        <v>737</v>
      </c>
      <c r="AY27" t="s">
        <v>7</v>
      </c>
      <c r="AZ27">
        <v>1</v>
      </c>
      <c r="BA27">
        <v>5839</v>
      </c>
      <c r="BB27">
        <v>5839</v>
      </c>
      <c r="BJ27">
        <v>26</v>
      </c>
      <c r="BL27" t="s">
        <v>9</v>
      </c>
      <c r="BM27" s="4">
        <v>0</v>
      </c>
      <c r="BN27" s="4">
        <v>4107</v>
      </c>
      <c r="BO27" s="4"/>
      <c r="BU27">
        <v>26</v>
      </c>
      <c r="BW27" t="s">
        <v>9</v>
      </c>
      <c r="BX27" s="4">
        <v>0</v>
      </c>
      <c r="BY27" s="4">
        <v>4958</v>
      </c>
      <c r="BZ27" s="4"/>
      <c r="CA27" s="4"/>
      <c r="CB27" s="4"/>
    </row>
    <row r="29" spans="4:80" x14ac:dyDescent="0.25">
      <c r="G29">
        <f>SUM(G2:G28)</f>
        <v>6</v>
      </c>
      <c r="I29">
        <f>SUM(I2:I28)</f>
        <v>40041</v>
      </c>
      <c r="R29" s="5">
        <f>SUM(R2:R28)</f>
        <v>8</v>
      </c>
      <c r="T29">
        <f>SUM(T2:T28)</f>
        <v>50236</v>
      </c>
      <c r="AC29" s="2">
        <f>SUM(AC2:AC28)</f>
        <v>9</v>
      </c>
      <c r="AE29">
        <f>SUM(AE2:AE28)</f>
        <v>53535</v>
      </c>
      <c r="AN29" s="2">
        <f>SUM(AN2:AN28)</f>
        <v>9</v>
      </c>
      <c r="AP29">
        <f>SUM(AP2:AP28)</f>
        <v>57804</v>
      </c>
      <c r="AZ29" s="5">
        <f>SUM(AZ2:AZ28)</f>
        <v>17</v>
      </c>
      <c r="BA29" s="5">
        <f>BB29/AZ29</f>
        <v>4676.9411764705883</v>
      </c>
      <c r="BB29">
        <f>SUM(BB2:BB28)</f>
        <v>79508</v>
      </c>
      <c r="BM29" s="4">
        <f>SUM(BM2:BM28)</f>
        <v>13</v>
      </c>
      <c r="BO29">
        <f>SUM(BO2:BO28)</f>
        <v>52009</v>
      </c>
      <c r="BX29">
        <f>SUM(BX2:BX28)</f>
        <v>16</v>
      </c>
      <c r="BZ29">
        <f>SUM(BZ2:BZ28)</f>
        <v>99267</v>
      </c>
    </row>
    <row r="30" spans="4:80" x14ac:dyDescent="0.25">
      <c r="BN30">
        <f>BO29/BM29</f>
        <v>4000.6923076923076</v>
      </c>
      <c r="BY30" s="5">
        <f>BZ29/BX29</f>
        <v>6204.1875</v>
      </c>
    </row>
    <row r="31" spans="4:80" x14ac:dyDescent="0.25">
      <c r="H31" s="5">
        <f>I29/G29</f>
        <v>6673.5</v>
      </c>
      <c r="S31" s="5">
        <f>T29/R29</f>
        <v>6279.5</v>
      </c>
      <c r="T31">
        <f>T29/R29</f>
        <v>6279.5</v>
      </c>
      <c r="AD31" s="5">
        <f>AE29/AC29</f>
        <v>5948.333333333333</v>
      </c>
      <c r="AO31" s="2">
        <f>AP29/AN29</f>
        <v>6422.666666666667</v>
      </c>
    </row>
    <row r="34" spans="5:16" x14ac:dyDescent="0.25">
      <c r="F34" t="s">
        <v>644</v>
      </c>
      <c r="G34" t="s">
        <v>293</v>
      </c>
      <c r="H34" t="s">
        <v>314</v>
      </c>
      <c r="I34" t="s">
        <v>645</v>
      </c>
      <c r="M34" t="s">
        <v>644</v>
      </c>
      <c r="N34" t="s">
        <v>293</v>
      </c>
      <c r="O34" t="s">
        <v>314</v>
      </c>
      <c r="P34" t="s">
        <v>645</v>
      </c>
    </row>
    <row r="35" spans="5:16" x14ac:dyDescent="0.25">
      <c r="E35" t="s">
        <v>643</v>
      </c>
      <c r="F35">
        <v>6</v>
      </c>
      <c r="G35">
        <v>8</v>
      </c>
      <c r="H35">
        <v>9</v>
      </c>
      <c r="I35">
        <v>9</v>
      </c>
      <c r="L35" t="s">
        <v>706</v>
      </c>
      <c r="M35">
        <v>6673.5</v>
      </c>
      <c r="N35">
        <v>6279.5</v>
      </c>
      <c r="O35">
        <v>5948.333333333333</v>
      </c>
      <c r="P35">
        <v>6422.666666666667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5"/>
  <sheetViews>
    <sheetView topLeftCell="AN1" workbookViewId="0">
      <selection activeCell="BE1" sqref="BE1:BE1048576"/>
    </sheetView>
  </sheetViews>
  <sheetFormatPr baseColWidth="10" defaultRowHeight="15" x14ac:dyDescent="0.25"/>
  <cols>
    <col min="1" max="1" width="29" customWidth="1"/>
    <col min="7" max="8" width="22.28515625" customWidth="1"/>
    <col min="9" max="9" width="17.85546875" customWidth="1"/>
    <col min="12" max="12" width="26.7109375" customWidth="1"/>
    <col min="16" max="16" width="15.140625" customWidth="1"/>
    <col min="17" max="17" width="16.28515625" customWidth="1"/>
    <col min="18" max="19" width="15.5703125" customWidth="1"/>
    <col min="20" max="20" width="16.42578125" customWidth="1"/>
    <col min="23" max="23" width="19.7109375" customWidth="1"/>
    <col min="34" max="34" width="17.7109375" customWidth="1"/>
    <col min="45" max="45" width="23.28515625" customWidth="1"/>
    <col min="51" max="51" width="17.28515625" customWidth="1"/>
    <col min="57" max="57" width="17.85546875" customWidth="1"/>
    <col min="67" max="67" width="17.5703125" customWidth="1"/>
  </cols>
  <sheetData>
    <row r="1" spans="1:74" ht="15.7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10</v>
      </c>
      <c r="G1" s="2" t="s">
        <v>3</v>
      </c>
      <c r="H1" s="2" t="s">
        <v>4</v>
      </c>
      <c r="I1" s="2" t="s">
        <v>64</v>
      </c>
      <c r="L1" s="1" t="s">
        <v>97</v>
      </c>
      <c r="M1" s="2" t="s">
        <v>0</v>
      </c>
      <c r="N1" s="2" t="s">
        <v>1</v>
      </c>
      <c r="O1" s="2" t="s">
        <v>2</v>
      </c>
      <c r="P1" s="2" t="s">
        <v>11</v>
      </c>
      <c r="Q1" s="2" t="s">
        <v>10</v>
      </c>
      <c r="R1" s="2" t="s">
        <v>3</v>
      </c>
      <c r="S1" s="2" t="s">
        <v>4</v>
      </c>
      <c r="T1" s="2" t="s">
        <v>64</v>
      </c>
      <c r="W1" s="1" t="s">
        <v>97</v>
      </c>
      <c r="X1" s="2" t="s">
        <v>0</v>
      </c>
      <c r="Y1" s="2" t="s">
        <v>1</v>
      </c>
      <c r="Z1" s="2" t="s">
        <v>2</v>
      </c>
      <c r="AA1" s="2" t="s">
        <v>11</v>
      </c>
      <c r="AB1" s="2" t="s">
        <v>10</v>
      </c>
      <c r="AC1" s="2" t="s">
        <v>3</v>
      </c>
      <c r="AD1" s="2" t="s">
        <v>4</v>
      </c>
      <c r="AE1" s="2" t="s">
        <v>64</v>
      </c>
      <c r="AH1" s="1" t="s">
        <v>97</v>
      </c>
      <c r="AI1" s="2" t="s">
        <v>0</v>
      </c>
      <c r="AJ1" s="2" t="s">
        <v>1</v>
      </c>
      <c r="AK1" s="2" t="s">
        <v>2</v>
      </c>
      <c r="AL1" s="2" t="s">
        <v>11</v>
      </c>
      <c r="AM1" s="2" t="s">
        <v>10</v>
      </c>
      <c r="AN1" s="2" t="s">
        <v>3</v>
      </c>
      <c r="AO1" s="2" t="s">
        <v>4</v>
      </c>
      <c r="AP1" s="2" t="s">
        <v>64</v>
      </c>
      <c r="AS1" s="1" t="s">
        <v>97</v>
      </c>
      <c r="AT1" s="2" t="s">
        <v>0</v>
      </c>
      <c r="AU1" s="2" t="s">
        <v>1</v>
      </c>
      <c r="AV1" s="2" t="s">
        <v>2</v>
      </c>
      <c r="AW1" s="2" t="s">
        <v>11</v>
      </c>
      <c r="AX1" s="2" t="s">
        <v>10</v>
      </c>
      <c r="AY1" s="2" t="s">
        <v>3</v>
      </c>
      <c r="AZ1" s="2" t="s">
        <v>4</v>
      </c>
      <c r="BA1" s="2" t="s">
        <v>64</v>
      </c>
      <c r="BE1" s="1" t="s">
        <v>97</v>
      </c>
      <c r="BF1" s="2" t="s">
        <v>0</v>
      </c>
      <c r="BG1" s="2" t="s">
        <v>1</v>
      </c>
      <c r="BH1" s="2" t="s">
        <v>2</v>
      </c>
      <c r="BI1" s="2" t="s">
        <v>10</v>
      </c>
      <c r="BJ1" s="2" t="s">
        <v>3</v>
      </c>
      <c r="BK1" s="2" t="s">
        <v>4</v>
      </c>
      <c r="BL1" s="2" t="s">
        <v>64</v>
      </c>
      <c r="BO1" s="1" t="s">
        <v>97</v>
      </c>
      <c r="BP1" s="2" t="s">
        <v>0</v>
      </c>
      <c r="BQ1" s="2" t="s">
        <v>1</v>
      </c>
      <c r="BR1" s="2" t="s">
        <v>2</v>
      </c>
      <c r="BS1" s="2" t="s">
        <v>10</v>
      </c>
      <c r="BT1" s="2" t="s">
        <v>3</v>
      </c>
      <c r="BU1" s="2" t="s">
        <v>4</v>
      </c>
      <c r="BV1" s="2" t="s">
        <v>64</v>
      </c>
    </row>
    <row r="2" spans="1:74" x14ac:dyDescent="0.25">
      <c r="A2" s="11" t="s">
        <v>98</v>
      </c>
      <c r="B2">
        <v>2</v>
      </c>
      <c r="C2">
        <v>1</v>
      </c>
      <c r="D2">
        <v>1</v>
      </c>
      <c r="E2" t="s">
        <v>56</v>
      </c>
      <c r="F2" t="s">
        <v>7</v>
      </c>
      <c r="G2" s="4">
        <v>0</v>
      </c>
      <c r="H2" s="4">
        <v>0</v>
      </c>
      <c r="I2" s="4">
        <v>0</v>
      </c>
      <c r="L2" s="11" t="s">
        <v>289</v>
      </c>
      <c r="M2">
        <v>2</v>
      </c>
      <c r="N2">
        <v>2</v>
      </c>
      <c r="O2">
        <v>1</v>
      </c>
      <c r="P2" t="s">
        <v>60</v>
      </c>
      <c r="Q2" t="s">
        <v>7</v>
      </c>
      <c r="R2">
        <v>1</v>
      </c>
      <c r="S2">
        <v>2486</v>
      </c>
      <c r="T2">
        <v>2486</v>
      </c>
      <c r="W2" s="11" t="s">
        <v>314</v>
      </c>
      <c r="X2">
        <v>1</v>
      </c>
      <c r="Y2">
        <v>3</v>
      </c>
      <c r="Z2">
        <v>1</v>
      </c>
      <c r="AA2" t="s">
        <v>343</v>
      </c>
      <c r="AB2" t="s">
        <v>9</v>
      </c>
      <c r="AC2" s="4">
        <v>0</v>
      </c>
      <c r="AD2" s="4">
        <v>4194</v>
      </c>
      <c r="AE2" s="4"/>
      <c r="AH2" s="11" t="s">
        <v>645</v>
      </c>
      <c r="AI2">
        <v>1</v>
      </c>
      <c r="AJ2">
        <v>4</v>
      </c>
      <c r="AK2">
        <v>1</v>
      </c>
      <c r="AL2" t="s">
        <v>343</v>
      </c>
      <c r="AM2" t="s">
        <v>9</v>
      </c>
      <c r="AN2">
        <v>1</v>
      </c>
      <c r="AO2">
        <v>3011</v>
      </c>
      <c r="AP2">
        <v>3011</v>
      </c>
      <c r="AS2" s="11" t="s">
        <v>825</v>
      </c>
      <c r="AT2">
        <v>1</v>
      </c>
      <c r="AU2">
        <v>5</v>
      </c>
      <c r="AV2">
        <v>1</v>
      </c>
      <c r="AW2" t="s">
        <v>353</v>
      </c>
      <c r="AX2" t="s">
        <v>9</v>
      </c>
      <c r="AY2" s="4">
        <v>0</v>
      </c>
      <c r="AZ2" s="4">
        <v>4875</v>
      </c>
      <c r="BA2" s="4"/>
      <c r="BE2" s="11" t="s">
        <v>826</v>
      </c>
      <c r="BF2">
        <v>1</v>
      </c>
      <c r="BG2">
        <v>5</v>
      </c>
      <c r="BH2">
        <v>1</v>
      </c>
      <c r="BI2" t="s">
        <v>9</v>
      </c>
      <c r="BJ2">
        <v>1</v>
      </c>
      <c r="BK2">
        <v>4304</v>
      </c>
      <c r="BO2" s="11" t="s">
        <v>827</v>
      </c>
      <c r="BP2">
        <v>2</v>
      </c>
      <c r="BQ2">
        <v>5</v>
      </c>
      <c r="BR2">
        <v>1</v>
      </c>
      <c r="BS2" t="s">
        <v>9</v>
      </c>
      <c r="BT2">
        <v>1</v>
      </c>
      <c r="BU2">
        <v>4448</v>
      </c>
      <c r="BV2">
        <v>4448</v>
      </c>
    </row>
    <row r="3" spans="1:74" x14ac:dyDescent="0.25">
      <c r="A3" t="s">
        <v>8</v>
      </c>
      <c r="D3">
        <v>2</v>
      </c>
      <c r="E3" t="s">
        <v>43</v>
      </c>
      <c r="F3" t="s">
        <v>7</v>
      </c>
      <c r="G3">
        <v>1</v>
      </c>
      <c r="H3">
        <v>3705</v>
      </c>
      <c r="I3">
        <v>3705</v>
      </c>
      <c r="L3" t="s">
        <v>8</v>
      </c>
      <c r="O3">
        <v>2</v>
      </c>
      <c r="P3" t="s">
        <v>43</v>
      </c>
      <c r="Q3" t="s">
        <v>7</v>
      </c>
      <c r="R3">
        <v>1</v>
      </c>
      <c r="S3">
        <v>3290</v>
      </c>
      <c r="T3">
        <v>3290</v>
      </c>
      <c r="W3" t="s">
        <v>654</v>
      </c>
      <c r="Z3">
        <v>2</v>
      </c>
      <c r="AA3" t="s">
        <v>344</v>
      </c>
      <c r="AB3" t="s">
        <v>7</v>
      </c>
      <c r="AC3">
        <v>1</v>
      </c>
      <c r="AD3">
        <v>2702</v>
      </c>
      <c r="AE3">
        <v>2702</v>
      </c>
      <c r="AH3" t="s">
        <v>654</v>
      </c>
      <c r="AK3">
        <v>2</v>
      </c>
      <c r="AL3" t="s">
        <v>360</v>
      </c>
      <c r="AM3" t="s">
        <v>7</v>
      </c>
      <c r="AN3" s="4">
        <v>0</v>
      </c>
      <c r="AO3" s="4">
        <v>4875</v>
      </c>
      <c r="AP3" s="4"/>
      <c r="AS3" t="s">
        <v>654</v>
      </c>
      <c r="AV3">
        <v>2</v>
      </c>
      <c r="AW3" t="s">
        <v>357</v>
      </c>
      <c r="AX3" t="s">
        <v>7</v>
      </c>
      <c r="AY3">
        <v>1</v>
      </c>
      <c r="AZ3">
        <v>2562</v>
      </c>
      <c r="BA3">
        <v>2562</v>
      </c>
      <c r="BE3" t="s">
        <v>654</v>
      </c>
      <c r="BH3">
        <v>2</v>
      </c>
      <c r="BI3" t="s">
        <v>7</v>
      </c>
      <c r="BJ3">
        <v>1</v>
      </c>
      <c r="BK3">
        <v>6506</v>
      </c>
      <c r="BL3">
        <v>6506</v>
      </c>
      <c r="BO3" t="s">
        <v>654</v>
      </c>
      <c r="BR3">
        <v>2</v>
      </c>
      <c r="BS3" t="s">
        <v>9</v>
      </c>
      <c r="BT3" s="4">
        <v>0</v>
      </c>
      <c r="BU3" s="4">
        <v>7101</v>
      </c>
      <c r="BV3" s="4"/>
    </row>
    <row r="4" spans="1:74" x14ac:dyDescent="0.25">
      <c r="A4" t="s">
        <v>99</v>
      </c>
      <c r="D4">
        <v>3</v>
      </c>
      <c r="E4" t="s">
        <v>61</v>
      </c>
      <c r="F4" t="s">
        <v>9</v>
      </c>
      <c r="G4">
        <v>1</v>
      </c>
      <c r="H4">
        <v>5132</v>
      </c>
      <c r="I4">
        <v>5132</v>
      </c>
      <c r="L4" t="s">
        <v>290</v>
      </c>
      <c r="O4">
        <v>3</v>
      </c>
      <c r="P4" t="s">
        <v>57</v>
      </c>
      <c r="Q4" t="s">
        <v>9</v>
      </c>
      <c r="R4" s="4">
        <v>0</v>
      </c>
      <c r="S4" s="4">
        <v>2469</v>
      </c>
      <c r="T4" s="4"/>
      <c r="W4" t="s">
        <v>333</v>
      </c>
      <c r="Z4">
        <v>3</v>
      </c>
      <c r="AA4" t="s">
        <v>345</v>
      </c>
      <c r="AB4" t="s">
        <v>7</v>
      </c>
      <c r="AC4" s="4">
        <v>0</v>
      </c>
      <c r="AD4" s="4">
        <v>3441</v>
      </c>
      <c r="AE4" s="4"/>
      <c r="AH4" t="s">
        <v>655</v>
      </c>
      <c r="AK4">
        <v>3</v>
      </c>
      <c r="AL4" t="s">
        <v>368</v>
      </c>
      <c r="AM4" t="s">
        <v>7</v>
      </c>
      <c r="AN4">
        <v>1</v>
      </c>
      <c r="AO4">
        <v>4435</v>
      </c>
      <c r="AP4">
        <v>4435</v>
      </c>
      <c r="AS4" t="s">
        <v>738</v>
      </c>
      <c r="AV4">
        <v>3</v>
      </c>
      <c r="AW4" t="s">
        <v>359</v>
      </c>
      <c r="AX4" t="s">
        <v>9</v>
      </c>
      <c r="AY4" s="4">
        <v>0</v>
      </c>
      <c r="AZ4" s="4">
        <v>0</v>
      </c>
      <c r="BA4" s="4"/>
      <c r="BH4">
        <v>3</v>
      </c>
      <c r="BI4" t="s">
        <v>9</v>
      </c>
      <c r="BJ4" s="4">
        <v>0</v>
      </c>
      <c r="BK4" s="4">
        <v>2718</v>
      </c>
      <c r="BL4" s="4"/>
      <c r="BR4">
        <v>3</v>
      </c>
      <c r="BS4" t="s">
        <v>9</v>
      </c>
      <c r="BT4">
        <v>1</v>
      </c>
      <c r="BU4">
        <v>5613</v>
      </c>
      <c r="BV4">
        <v>5613</v>
      </c>
    </row>
    <row r="5" spans="1:74" x14ac:dyDescent="0.25">
      <c r="A5" s="7">
        <v>46174</v>
      </c>
      <c r="D5">
        <v>4</v>
      </c>
      <c r="E5" t="s">
        <v>39</v>
      </c>
      <c r="F5" t="s">
        <v>7</v>
      </c>
      <c r="G5">
        <v>1</v>
      </c>
      <c r="H5">
        <v>2961</v>
      </c>
      <c r="I5">
        <v>2961</v>
      </c>
      <c r="L5" s="7" t="s">
        <v>292</v>
      </c>
      <c r="O5">
        <v>4</v>
      </c>
      <c r="P5" t="s">
        <v>49</v>
      </c>
      <c r="Q5" t="s">
        <v>9</v>
      </c>
      <c r="R5">
        <v>1</v>
      </c>
      <c r="S5">
        <v>4147</v>
      </c>
      <c r="T5">
        <v>4147</v>
      </c>
      <c r="W5" s="7" t="s">
        <v>292</v>
      </c>
      <c r="Z5">
        <v>4</v>
      </c>
      <c r="AA5" t="s">
        <v>346</v>
      </c>
      <c r="AB5" t="s">
        <v>9</v>
      </c>
      <c r="AC5">
        <v>1</v>
      </c>
      <c r="AD5">
        <v>3171</v>
      </c>
      <c r="AE5">
        <v>3171</v>
      </c>
      <c r="AH5" s="7" t="s">
        <v>292</v>
      </c>
      <c r="AK5">
        <v>4</v>
      </c>
      <c r="AL5" t="s">
        <v>345</v>
      </c>
      <c r="AM5" t="s">
        <v>7</v>
      </c>
      <c r="AN5">
        <v>1</v>
      </c>
      <c r="AO5">
        <v>4724</v>
      </c>
      <c r="AP5">
        <v>4724</v>
      </c>
      <c r="AS5" s="7" t="s">
        <v>292</v>
      </c>
      <c r="AV5">
        <v>4</v>
      </c>
      <c r="AW5" t="s">
        <v>364</v>
      </c>
      <c r="AX5" t="s">
        <v>7</v>
      </c>
      <c r="AY5">
        <v>1</v>
      </c>
      <c r="AZ5">
        <v>2255</v>
      </c>
      <c r="BA5">
        <v>2255</v>
      </c>
      <c r="BE5" s="7" t="s">
        <v>292</v>
      </c>
      <c r="BH5">
        <v>4</v>
      </c>
      <c r="BI5" t="s">
        <v>7</v>
      </c>
      <c r="BJ5">
        <v>1</v>
      </c>
      <c r="BK5">
        <v>6051</v>
      </c>
      <c r="BL5">
        <v>6051</v>
      </c>
      <c r="BO5" s="7" t="s">
        <v>292</v>
      </c>
      <c r="BR5">
        <v>4</v>
      </c>
      <c r="BS5" t="s">
        <v>7</v>
      </c>
      <c r="BT5">
        <v>1</v>
      </c>
      <c r="BU5">
        <v>4342</v>
      </c>
      <c r="BV5">
        <v>4342</v>
      </c>
    </row>
    <row r="6" spans="1:74" x14ac:dyDescent="0.25">
      <c r="D6">
        <v>5</v>
      </c>
      <c r="E6" t="s">
        <v>44</v>
      </c>
      <c r="F6" t="s">
        <v>9</v>
      </c>
      <c r="G6">
        <v>1</v>
      </c>
      <c r="H6">
        <v>6353</v>
      </c>
      <c r="I6">
        <v>6353</v>
      </c>
      <c r="O6">
        <v>5</v>
      </c>
      <c r="P6" t="s">
        <v>41</v>
      </c>
      <c r="Q6" t="s">
        <v>9</v>
      </c>
      <c r="R6">
        <v>1</v>
      </c>
      <c r="S6">
        <v>4265</v>
      </c>
      <c r="T6">
        <v>4265</v>
      </c>
      <c r="Z6">
        <v>5</v>
      </c>
      <c r="AA6" t="s">
        <v>347</v>
      </c>
      <c r="AB6" t="s">
        <v>9</v>
      </c>
      <c r="AC6">
        <v>1</v>
      </c>
      <c r="AD6">
        <v>4053</v>
      </c>
      <c r="AE6">
        <v>4053</v>
      </c>
      <c r="AK6">
        <v>5</v>
      </c>
      <c r="AL6" t="s">
        <v>364</v>
      </c>
      <c r="AM6" t="s">
        <v>7</v>
      </c>
      <c r="AN6">
        <v>1</v>
      </c>
      <c r="AO6">
        <v>1859</v>
      </c>
      <c r="AP6">
        <v>1859</v>
      </c>
      <c r="AV6">
        <v>5</v>
      </c>
      <c r="AW6" t="s">
        <v>349</v>
      </c>
      <c r="AX6" t="s">
        <v>7</v>
      </c>
      <c r="AY6" s="4">
        <v>0</v>
      </c>
      <c r="AZ6" s="4">
        <v>6098</v>
      </c>
      <c r="BA6" s="4"/>
      <c r="BH6">
        <v>5</v>
      </c>
      <c r="BI6" t="s">
        <v>7</v>
      </c>
      <c r="BJ6" s="4">
        <v>0</v>
      </c>
      <c r="BK6" s="4">
        <v>5035</v>
      </c>
      <c r="BL6" s="4"/>
      <c r="BR6">
        <v>5</v>
      </c>
      <c r="BS6" t="s">
        <v>9</v>
      </c>
      <c r="BT6">
        <v>1</v>
      </c>
      <c r="BU6">
        <v>4532</v>
      </c>
      <c r="BV6">
        <v>4532</v>
      </c>
    </row>
    <row r="7" spans="1:74" x14ac:dyDescent="0.25">
      <c r="D7">
        <v>6</v>
      </c>
      <c r="E7" t="s">
        <v>58</v>
      </c>
      <c r="F7" t="s">
        <v>7</v>
      </c>
      <c r="G7">
        <v>1</v>
      </c>
      <c r="H7">
        <v>4791</v>
      </c>
      <c r="I7">
        <v>4791</v>
      </c>
      <c r="O7">
        <v>6</v>
      </c>
      <c r="P7" t="s">
        <v>39</v>
      </c>
      <c r="Q7" t="s">
        <v>7</v>
      </c>
      <c r="R7" s="4">
        <v>0</v>
      </c>
      <c r="S7" s="4">
        <v>0</v>
      </c>
      <c r="T7" s="4"/>
      <c r="Z7">
        <v>6</v>
      </c>
      <c r="AA7" t="s">
        <v>348</v>
      </c>
      <c r="AB7" t="s">
        <v>9</v>
      </c>
      <c r="AC7">
        <v>1</v>
      </c>
      <c r="AD7">
        <v>2832</v>
      </c>
      <c r="AE7">
        <v>2832</v>
      </c>
      <c r="AK7">
        <v>6</v>
      </c>
      <c r="AL7" t="s">
        <v>354</v>
      </c>
      <c r="AM7" t="s">
        <v>7</v>
      </c>
      <c r="AN7">
        <v>1</v>
      </c>
      <c r="AO7">
        <v>2749</v>
      </c>
      <c r="AP7">
        <v>2749</v>
      </c>
      <c r="AV7">
        <v>6</v>
      </c>
      <c r="AW7" t="s">
        <v>368</v>
      </c>
      <c r="AX7" t="s">
        <v>7</v>
      </c>
      <c r="AY7">
        <v>1</v>
      </c>
      <c r="AZ7">
        <v>4581</v>
      </c>
      <c r="BA7">
        <v>4581</v>
      </c>
      <c r="BH7">
        <v>6</v>
      </c>
      <c r="BI7" t="s">
        <v>7</v>
      </c>
      <c r="BJ7">
        <v>1</v>
      </c>
      <c r="BK7">
        <v>4023</v>
      </c>
      <c r="BL7">
        <v>4023</v>
      </c>
      <c r="BR7">
        <v>6</v>
      </c>
      <c r="BS7" t="s">
        <v>9</v>
      </c>
      <c r="BT7">
        <v>1</v>
      </c>
      <c r="BU7">
        <v>4626</v>
      </c>
      <c r="BV7">
        <v>4626</v>
      </c>
    </row>
    <row r="8" spans="1:74" x14ac:dyDescent="0.25">
      <c r="D8">
        <v>7</v>
      </c>
      <c r="E8" t="s">
        <v>51</v>
      </c>
      <c r="F8" t="s">
        <v>9</v>
      </c>
      <c r="G8">
        <v>1</v>
      </c>
      <c r="H8">
        <v>4497</v>
      </c>
      <c r="I8">
        <v>4497</v>
      </c>
      <c r="O8">
        <v>7</v>
      </c>
      <c r="P8" t="s">
        <v>45</v>
      </c>
      <c r="Q8" t="s">
        <v>7</v>
      </c>
      <c r="R8" s="4">
        <v>0</v>
      </c>
      <c r="S8" s="4">
        <v>2838</v>
      </c>
      <c r="T8" s="4"/>
      <c r="Z8">
        <v>7</v>
      </c>
      <c r="AA8" t="s">
        <v>349</v>
      </c>
      <c r="AB8" t="s">
        <v>7</v>
      </c>
      <c r="AC8" s="4">
        <v>0</v>
      </c>
      <c r="AD8" s="4">
        <v>3048</v>
      </c>
      <c r="AE8" s="4"/>
      <c r="AK8">
        <v>7</v>
      </c>
      <c r="AL8" t="s">
        <v>351</v>
      </c>
      <c r="AM8" t="s">
        <v>7</v>
      </c>
      <c r="AN8" s="4">
        <v>0</v>
      </c>
      <c r="AO8" s="4">
        <v>4626</v>
      </c>
      <c r="AP8" s="4"/>
      <c r="AV8">
        <v>7</v>
      </c>
      <c r="AW8" t="s">
        <v>344</v>
      </c>
      <c r="AX8" t="s">
        <v>7</v>
      </c>
      <c r="AY8">
        <v>1</v>
      </c>
      <c r="AZ8">
        <v>4051</v>
      </c>
      <c r="BA8">
        <v>4051</v>
      </c>
      <c r="BH8">
        <v>7</v>
      </c>
      <c r="BI8" t="s">
        <v>9</v>
      </c>
      <c r="BJ8" s="4">
        <v>0</v>
      </c>
      <c r="BK8" s="4">
        <v>3748</v>
      </c>
      <c r="BL8" s="4"/>
      <c r="BR8">
        <v>7</v>
      </c>
      <c r="BS8" t="s">
        <v>7</v>
      </c>
      <c r="BT8">
        <v>1</v>
      </c>
      <c r="BU8">
        <v>4676</v>
      </c>
      <c r="BV8">
        <v>4676</v>
      </c>
    </row>
    <row r="9" spans="1:74" x14ac:dyDescent="0.25">
      <c r="D9">
        <v>8</v>
      </c>
      <c r="E9" t="s">
        <v>42</v>
      </c>
      <c r="F9" t="s">
        <v>7</v>
      </c>
      <c r="G9">
        <v>1</v>
      </c>
      <c r="H9">
        <v>2677</v>
      </c>
      <c r="I9">
        <v>2677</v>
      </c>
      <c r="O9">
        <v>8</v>
      </c>
      <c r="P9" t="s">
        <v>63</v>
      </c>
      <c r="Q9" t="s">
        <v>7</v>
      </c>
      <c r="R9">
        <v>1</v>
      </c>
      <c r="S9">
        <v>4447</v>
      </c>
      <c r="T9">
        <v>4447</v>
      </c>
      <c r="Z9">
        <v>8</v>
      </c>
      <c r="AA9" t="s">
        <v>350</v>
      </c>
      <c r="AB9" t="s">
        <v>9</v>
      </c>
      <c r="AC9" s="4">
        <v>0</v>
      </c>
      <c r="AD9" s="4">
        <v>2814</v>
      </c>
      <c r="AE9" s="4"/>
      <c r="AK9">
        <v>8</v>
      </c>
      <c r="AL9" t="s">
        <v>353</v>
      </c>
      <c r="AM9" t="s">
        <v>9</v>
      </c>
      <c r="AN9">
        <v>1</v>
      </c>
      <c r="AO9">
        <v>4324</v>
      </c>
      <c r="AP9">
        <v>4324</v>
      </c>
      <c r="AV9">
        <v>8</v>
      </c>
      <c r="AW9" t="s">
        <v>362</v>
      </c>
      <c r="AX9" t="s">
        <v>7</v>
      </c>
      <c r="AY9" s="4">
        <v>0</v>
      </c>
      <c r="AZ9" s="4">
        <v>4974</v>
      </c>
      <c r="BA9" s="4"/>
      <c r="BH9">
        <v>8</v>
      </c>
      <c r="BI9" t="s">
        <v>9</v>
      </c>
      <c r="BJ9" s="4">
        <v>0</v>
      </c>
      <c r="BK9" s="4">
        <v>4141</v>
      </c>
      <c r="BL9">
        <v>4304</v>
      </c>
      <c r="BR9">
        <v>8</v>
      </c>
      <c r="BS9" t="s">
        <v>7</v>
      </c>
      <c r="BT9">
        <v>1</v>
      </c>
      <c r="BU9">
        <v>5738</v>
      </c>
      <c r="BV9">
        <v>5738</v>
      </c>
    </row>
    <row r="10" spans="1:74" x14ac:dyDescent="0.25">
      <c r="D10">
        <v>9</v>
      </c>
      <c r="E10" t="s">
        <v>62</v>
      </c>
      <c r="F10" t="s">
        <v>7</v>
      </c>
      <c r="G10" s="4">
        <v>0</v>
      </c>
      <c r="H10" s="4">
        <v>6524</v>
      </c>
      <c r="I10" s="4"/>
      <c r="O10">
        <v>9</v>
      </c>
      <c r="P10" t="s">
        <v>40</v>
      </c>
      <c r="Q10" t="s">
        <v>9</v>
      </c>
      <c r="R10">
        <v>1</v>
      </c>
      <c r="S10">
        <v>2537</v>
      </c>
      <c r="T10">
        <v>2537</v>
      </c>
      <c r="Z10">
        <v>9</v>
      </c>
      <c r="AA10" t="s">
        <v>351</v>
      </c>
      <c r="AB10" t="s">
        <v>7</v>
      </c>
      <c r="AC10" s="4">
        <v>0</v>
      </c>
      <c r="AD10" s="4">
        <v>7727</v>
      </c>
      <c r="AE10" s="4"/>
      <c r="AK10">
        <v>9</v>
      </c>
      <c r="AL10" t="s">
        <v>366</v>
      </c>
      <c r="AM10" t="s">
        <v>9</v>
      </c>
      <c r="AN10" s="4">
        <v>0</v>
      </c>
      <c r="AO10" s="4">
        <v>4449</v>
      </c>
      <c r="AP10" s="4"/>
      <c r="AV10">
        <v>9</v>
      </c>
      <c r="AW10" t="s">
        <v>345</v>
      </c>
      <c r="AX10" t="s">
        <v>7</v>
      </c>
      <c r="AY10">
        <v>1</v>
      </c>
      <c r="AZ10">
        <v>5900</v>
      </c>
      <c r="BA10">
        <v>5900</v>
      </c>
      <c r="BH10">
        <v>9</v>
      </c>
      <c r="BI10" t="s">
        <v>7</v>
      </c>
      <c r="BJ10">
        <v>1</v>
      </c>
      <c r="BK10">
        <v>4695</v>
      </c>
      <c r="BL10">
        <v>4695</v>
      </c>
      <c r="BR10">
        <v>9</v>
      </c>
      <c r="BS10" t="s">
        <v>7</v>
      </c>
      <c r="BT10" s="4">
        <v>0</v>
      </c>
      <c r="BU10" s="4">
        <v>7956</v>
      </c>
      <c r="BV10" s="4"/>
    </row>
    <row r="11" spans="1:74" x14ac:dyDescent="0.25">
      <c r="D11">
        <v>10</v>
      </c>
      <c r="E11" t="s">
        <v>55</v>
      </c>
      <c r="F11" t="s">
        <v>9</v>
      </c>
      <c r="G11">
        <v>1</v>
      </c>
      <c r="H11">
        <v>5354</v>
      </c>
      <c r="I11">
        <v>5354</v>
      </c>
      <c r="O11">
        <v>10</v>
      </c>
      <c r="P11" t="s">
        <v>38</v>
      </c>
      <c r="Q11" t="s">
        <v>9</v>
      </c>
      <c r="R11">
        <v>1</v>
      </c>
      <c r="S11">
        <v>3588</v>
      </c>
      <c r="T11">
        <v>3588</v>
      </c>
      <c r="Z11">
        <v>10</v>
      </c>
      <c r="AA11" t="s">
        <v>352</v>
      </c>
      <c r="AB11" t="s">
        <v>7</v>
      </c>
      <c r="AC11">
        <v>1</v>
      </c>
      <c r="AD11">
        <v>5175</v>
      </c>
      <c r="AE11">
        <v>5175</v>
      </c>
      <c r="AK11">
        <v>10</v>
      </c>
      <c r="AL11" t="s">
        <v>352</v>
      </c>
      <c r="AM11" t="s">
        <v>7</v>
      </c>
      <c r="AN11">
        <v>1</v>
      </c>
      <c r="AO11">
        <v>4301</v>
      </c>
      <c r="AP11">
        <v>4301</v>
      </c>
      <c r="AV11">
        <v>10</v>
      </c>
      <c r="AW11" t="s">
        <v>365</v>
      </c>
      <c r="AX11" t="s">
        <v>9</v>
      </c>
      <c r="AY11" s="4">
        <v>0</v>
      </c>
      <c r="AZ11" s="4">
        <v>4476</v>
      </c>
      <c r="BA11" s="4"/>
      <c r="BH11">
        <v>10</v>
      </c>
      <c r="BI11" t="s">
        <v>7</v>
      </c>
      <c r="BJ11">
        <v>1</v>
      </c>
      <c r="BK11">
        <v>3262</v>
      </c>
      <c r="BL11">
        <v>3262</v>
      </c>
      <c r="BR11">
        <v>10</v>
      </c>
      <c r="BS11" t="s">
        <v>9</v>
      </c>
      <c r="BT11">
        <v>1</v>
      </c>
      <c r="BU11">
        <v>5588</v>
      </c>
      <c r="BV11">
        <v>5588</v>
      </c>
    </row>
    <row r="12" spans="1:74" x14ac:dyDescent="0.25">
      <c r="D12">
        <v>11</v>
      </c>
      <c r="E12" t="s">
        <v>60</v>
      </c>
      <c r="F12" t="s">
        <v>7</v>
      </c>
      <c r="G12">
        <v>1</v>
      </c>
      <c r="H12">
        <v>3651</v>
      </c>
      <c r="I12">
        <v>3651</v>
      </c>
      <c r="O12">
        <v>11</v>
      </c>
      <c r="P12" t="s">
        <v>58</v>
      </c>
      <c r="Q12" t="s">
        <v>7</v>
      </c>
      <c r="R12">
        <v>1</v>
      </c>
      <c r="S12">
        <v>3077</v>
      </c>
      <c r="T12">
        <v>3077</v>
      </c>
      <c r="Z12">
        <v>11</v>
      </c>
      <c r="AA12" t="s">
        <v>353</v>
      </c>
      <c r="AB12" t="s">
        <v>9</v>
      </c>
      <c r="AC12" s="4">
        <v>0</v>
      </c>
      <c r="AD12" s="4">
        <v>3389</v>
      </c>
      <c r="AE12" s="4"/>
      <c r="AK12">
        <v>11</v>
      </c>
      <c r="AL12" t="s">
        <v>347</v>
      </c>
      <c r="AM12" t="s">
        <v>9</v>
      </c>
      <c r="AN12">
        <v>1</v>
      </c>
      <c r="AO12">
        <v>2496</v>
      </c>
      <c r="AP12">
        <v>2496</v>
      </c>
      <c r="AV12">
        <v>11</v>
      </c>
      <c r="AW12" t="s">
        <v>360</v>
      </c>
      <c r="AX12" t="s">
        <v>7</v>
      </c>
      <c r="AY12" s="4">
        <v>0</v>
      </c>
      <c r="AZ12" s="4">
        <v>5731</v>
      </c>
      <c r="BA12" s="4"/>
      <c r="BH12">
        <v>11</v>
      </c>
      <c r="BI12" t="s">
        <v>7</v>
      </c>
      <c r="BJ12" s="4">
        <v>0</v>
      </c>
      <c r="BK12" s="4">
        <v>3608</v>
      </c>
      <c r="BL12" s="4"/>
      <c r="BR12">
        <v>11</v>
      </c>
      <c r="BS12" t="s">
        <v>7</v>
      </c>
      <c r="BT12">
        <v>1</v>
      </c>
      <c r="BU12">
        <v>3994</v>
      </c>
      <c r="BV12">
        <v>3994</v>
      </c>
    </row>
    <row r="13" spans="1:74" x14ac:dyDescent="0.25">
      <c r="D13">
        <v>12</v>
      </c>
      <c r="E13" t="s">
        <v>63</v>
      </c>
      <c r="F13" t="s">
        <v>7</v>
      </c>
      <c r="G13">
        <v>1</v>
      </c>
      <c r="H13">
        <v>6360</v>
      </c>
      <c r="I13">
        <v>6360</v>
      </c>
      <c r="O13">
        <v>12</v>
      </c>
      <c r="P13" t="s">
        <v>59</v>
      </c>
      <c r="Q13" t="s">
        <v>9</v>
      </c>
      <c r="R13">
        <v>1</v>
      </c>
      <c r="S13">
        <v>2937</v>
      </c>
      <c r="T13">
        <v>2937</v>
      </c>
      <c r="Z13">
        <v>12</v>
      </c>
      <c r="AA13" t="s">
        <v>354</v>
      </c>
      <c r="AB13" t="s">
        <v>7</v>
      </c>
      <c r="AC13">
        <v>1</v>
      </c>
      <c r="AD13">
        <v>2461</v>
      </c>
      <c r="AE13">
        <v>2461</v>
      </c>
      <c r="AK13">
        <v>12</v>
      </c>
      <c r="AL13" t="s">
        <v>362</v>
      </c>
      <c r="AM13" t="s">
        <v>7</v>
      </c>
      <c r="AN13" s="4">
        <v>0</v>
      </c>
      <c r="AO13" s="4">
        <v>4874</v>
      </c>
      <c r="AP13" s="4"/>
      <c r="AV13">
        <v>12</v>
      </c>
      <c r="AW13" t="s">
        <v>366</v>
      </c>
      <c r="AX13" t="s">
        <v>9</v>
      </c>
      <c r="AY13" s="4">
        <v>0</v>
      </c>
      <c r="AZ13" s="4">
        <v>3895</v>
      </c>
      <c r="BA13" s="4"/>
      <c r="BH13">
        <v>12</v>
      </c>
      <c r="BI13" t="s">
        <v>9</v>
      </c>
      <c r="BJ13">
        <v>1</v>
      </c>
      <c r="BK13">
        <v>2552</v>
      </c>
      <c r="BL13">
        <v>2552</v>
      </c>
      <c r="BR13">
        <v>12</v>
      </c>
      <c r="BS13" t="s">
        <v>7</v>
      </c>
      <c r="BT13">
        <v>1</v>
      </c>
      <c r="BU13">
        <v>7102</v>
      </c>
      <c r="BV13">
        <v>7102</v>
      </c>
    </row>
    <row r="14" spans="1:74" x14ac:dyDescent="0.25">
      <c r="D14">
        <v>13</v>
      </c>
      <c r="E14" t="s">
        <v>40</v>
      </c>
      <c r="F14" t="s">
        <v>9</v>
      </c>
      <c r="G14">
        <v>1</v>
      </c>
      <c r="H14">
        <v>3205</v>
      </c>
      <c r="I14">
        <v>3205</v>
      </c>
      <c r="O14">
        <v>13</v>
      </c>
      <c r="P14" t="s">
        <v>47</v>
      </c>
      <c r="Q14" t="s">
        <v>7</v>
      </c>
      <c r="R14">
        <v>1</v>
      </c>
      <c r="S14">
        <v>2933</v>
      </c>
      <c r="T14">
        <v>2933</v>
      </c>
      <c r="Z14">
        <v>13</v>
      </c>
      <c r="AA14" t="s">
        <v>355</v>
      </c>
      <c r="AB14" t="s">
        <v>9</v>
      </c>
      <c r="AC14">
        <v>1</v>
      </c>
      <c r="AD14">
        <v>3293</v>
      </c>
      <c r="AE14">
        <v>3293</v>
      </c>
      <c r="AK14">
        <v>13</v>
      </c>
      <c r="AL14" t="s">
        <v>350</v>
      </c>
      <c r="AM14" t="s">
        <v>9</v>
      </c>
      <c r="AN14" s="4">
        <v>0</v>
      </c>
      <c r="AO14" s="4">
        <v>3294</v>
      </c>
      <c r="AP14" s="4"/>
      <c r="AV14">
        <v>13</v>
      </c>
      <c r="AW14" t="s">
        <v>346</v>
      </c>
      <c r="AX14" t="s">
        <v>9</v>
      </c>
      <c r="AY14">
        <v>1</v>
      </c>
      <c r="AZ14">
        <v>3673</v>
      </c>
      <c r="BA14">
        <v>3673</v>
      </c>
      <c r="BH14">
        <v>13</v>
      </c>
      <c r="BI14" t="s">
        <v>7</v>
      </c>
      <c r="BJ14">
        <v>1</v>
      </c>
      <c r="BK14">
        <v>3935</v>
      </c>
      <c r="BL14">
        <v>3935</v>
      </c>
      <c r="BR14">
        <v>13</v>
      </c>
      <c r="BS14" t="s">
        <v>9</v>
      </c>
      <c r="BT14" s="4">
        <v>0</v>
      </c>
      <c r="BU14" s="4">
        <v>5449</v>
      </c>
      <c r="BV14" s="4"/>
    </row>
    <row r="15" spans="1:74" x14ac:dyDescent="0.25">
      <c r="D15">
        <v>14</v>
      </c>
      <c r="E15" t="s">
        <v>47</v>
      </c>
      <c r="F15" t="s">
        <v>7</v>
      </c>
      <c r="G15">
        <v>1</v>
      </c>
      <c r="H15">
        <v>4323</v>
      </c>
      <c r="I15">
        <v>4323</v>
      </c>
      <c r="O15">
        <v>14</v>
      </c>
      <c r="P15" t="s">
        <v>48</v>
      </c>
      <c r="Q15" t="s">
        <v>7</v>
      </c>
      <c r="R15">
        <v>1</v>
      </c>
      <c r="S15">
        <v>2023</v>
      </c>
      <c r="T15">
        <v>2023</v>
      </c>
      <c r="Z15">
        <v>14</v>
      </c>
      <c r="AA15" t="s">
        <v>356</v>
      </c>
      <c r="AB15" t="s">
        <v>9</v>
      </c>
      <c r="AC15">
        <v>1</v>
      </c>
      <c r="AD15">
        <v>4339</v>
      </c>
      <c r="AE15">
        <v>4339</v>
      </c>
      <c r="AK15">
        <v>14</v>
      </c>
      <c r="AL15" t="s">
        <v>356</v>
      </c>
      <c r="AM15" t="s">
        <v>9</v>
      </c>
      <c r="AN15">
        <v>1</v>
      </c>
      <c r="AO15">
        <v>4109</v>
      </c>
      <c r="AP15">
        <v>4109</v>
      </c>
      <c r="AV15">
        <v>14</v>
      </c>
      <c r="AW15" t="s">
        <v>348</v>
      </c>
      <c r="AX15" t="s">
        <v>9</v>
      </c>
      <c r="AY15">
        <v>1</v>
      </c>
      <c r="AZ15">
        <v>5977</v>
      </c>
      <c r="BA15">
        <v>5977</v>
      </c>
      <c r="BH15">
        <v>14</v>
      </c>
      <c r="BI15" t="s">
        <v>9</v>
      </c>
      <c r="BJ15">
        <v>1</v>
      </c>
      <c r="BK15">
        <v>5457</v>
      </c>
      <c r="BL15">
        <v>5457</v>
      </c>
      <c r="BR15">
        <v>14</v>
      </c>
      <c r="BS15" t="s">
        <v>7</v>
      </c>
      <c r="BT15">
        <v>1</v>
      </c>
      <c r="BU15">
        <v>4139</v>
      </c>
      <c r="BV15">
        <v>4139</v>
      </c>
    </row>
    <row r="16" spans="1:74" x14ac:dyDescent="0.25">
      <c r="D16">
        <v>15</v>
      </c>
      <c r="E16" t="s">
        <v>52</v>
      </c>
      <c r="F16" t="s">
        <v>9</v>
      </c>
      <c r="G16">
        <v>1</v>
      </c>
      <c r="H16">
        <v>5166</v>
      </c>
      <c r="I16">
        <v>5166</v>
      </c>
      <c r="O16">
        <v>15</v>
      </c>
      <c r="P16" t="s">
        <v>42</v>
      </c>
      <c r="Q16" t="s">
        <v>7</v>
      </c>
      <c r="R16">
        <v>1</v>
      </c>
      <c r="S16">
        <v>1856</v>
      </c>
      <c r="T16">
        <v>1856</v>
      </c>
      <c r="Z16">
        <v>15</v>
      </c>
      <c r="AA16" t="s">
        <v>357</v>
      </c>
      <c r="AB16" t="s">
        <v>7</v>
      </c>
      <c r="AC16">
        <v>1</v>
      </c>
      <c r="AD16">
        <v>1293</v>
      </c>
      <c r="AE16">
        <v>1293</v>
      </c>
      <c r="AK16">
        <v>15</v>
      </c>
      <c r="AL16" t="s">
        <v>348</v>
      </c>
      <c r="AM16" t="s">
        <v>9</v>
      </c>
      <c r="AN16">
        <v>1</v>
      </c>
      <c r="AO16">
        <v>3779</v>
      </c>
      <c r="AP16">
        <v>3779</v>
      </c>
      <c r="AV16">
        <v>15</v>
      </c>
      <c r="AW16" t="s">
        <v>358</v>
      </c>
      <c r="AX16" t="s">
        <v>7</v>
      </c>
      <c r="AY16" s="4">
        <v>0</v>
      </c>
      <c r="AZ16" s="4">
        <v>6217</v>
      </c>
      <c r="BA16" s="4"/>
      <c r="BH16">
        <v>15</v>
      </c>
      <c r="BI16" t="s">
        <v>7</v>
      </c>
      <c r="BJ16">
        <v>1</v>
      </c>
      <c r="BK16">
        <v>3982</v>
      </c>
      <c r="BL16">
        <v>3982</v>
      </c>
      <c r="BR16">
        <v>15</v>
      </c>
      <c r="BS16" t="s">
        <v>7</v>
      </c>
      <c r="BT16">
        <v>1</v>
      </c>
      <c r="BU16">
        <v>5523</v>
      </c>
      <c r="BV16">
        <v>5523</v>
      </c>
    </row>
    <row r="17" spans="4:74" x14ac:dyDescent="0.25">
      <c r="D17">
        <v>16</v>
      </c>
      <c r="E17" t="s">
        <v>48</v>
      </c>
      <c r="F17" t="s">
        <v>7</v>
      </c>
      <c r="G17">
        <v>1</v>
      </c>
      <c r="H17">
        <v>2225</v>
      </c>
      <c r="I17">
        <v>2225</v>
      </c>
      <c r="O17">
        <v>16</v>
      </c>
      <c r="P17" t="s">
        <v>61</v>
      </c>
      <c r="Q17" t="s">
        <v>9</v>
      </c>
      <c r="R17">
        <v>1</v>
      </c>
      <c r="S17">
        <v>2745</v>
      </c>
      <c r="T17">
        <v>2745</v>
      </c>
      <c r="Z17">
        <v>16</v>
      </c>
      <c r="AA17" t="s">
        <v>358</v>
      </c>
      <c r="AB17" t="s">
        <v>7</v>
      </c>
      <c r="AC17">
        <v>1</v>
      </c>
      <c r="AD17">
        <v>3341</v>
      </c>
      <c r="AE17">
        <v>3341</v>
      </c>
      <c r="AK17">
        <v>16</v>
      </c>
      <c r="AL17" t="s">
        <v>359</v>
      </c>
      <c r="AM17" t="s">
        <v>9</v>
      </c>
      <c r="AN17">
        <v>1</v>
      </c>
      <c r="AO17">
        <v>4390</v>
      </c>
      <c r="AP17">
        <v>4390</v>
      </c>
      <c r="AV17">
        <v>16</v>
      </c>
      <c r="AW17" t="s">
        <v>361</v>
      </c>
      <c r="AX17" t="s">
        <v>9</v>
      </c>
      <c r="AY17">
        <v>1</v>
      </c>
      <c r="AZ17">
        <v>6207</v>
      </c>
      <c r="BA17">
        <v>6207</v>
      </c>
      <c r="BH17">
        <v>16</v>
      </c>
      <c r="BI17" t="s">
        <v>9</v>
      </c>
      <c r="BJ17" s="4">
        <v>0</v>
      </c>
      <c r="BK17" s="4">
        <v>6047</v>
      </c>
      <c r="BL17" s="4"/>
      <c r="BR17">
        <v>16</v>
      </c>
      <c r="BS17" t="s">
        <v>7</v>
      </c>
      <c r="BT17">
        <v>1</v>
      </c>
      <c r="BU17">
        <v>5273</v>
      </c>
      <c r="BV17">
        <v>5273</v>
      </c>
    </row>
    <row r="18" spans="4:74" x14ac:dyDescent="0.25">
      <c r="D18">
        <v>17</v>
      </c>
      <c r="E18" t="s">
        <v>45</v>
      </c>
      <c r="F18" t="s">
        <v>7</v>
      </c>
      <c r="G18" s="4">
        <v>0</v>
      </c>
      <c r="H18" s="4">
        <v>4994</v>
      </c>
      <c r="I18" s="4"/>
      <c r="O18">
        <v>17</v>
      </c>
      <c r="P18" t="s">
        <v>56</v>
      </c>
      <c r="Q18" t="s">
        <v>7</v>
      </c>
      <c r="R18">
        <v>1</v>
      </c>
      <c r="S18">
        <v>3345</v>
      </c>
      <c r="T18">
        <v>3345</v>
      </c>
      <c r="Z18">
        <v>17</v>
      </c>
      <c r="AA18" t="s">
        <v>359</v>
      </c>
      <c r="AB18" t="s">
        <v>9</v>
      </c>
      <c r="AC18" s="4">
        <v>0</v>
      </c>
      <c r="AD18" s="4">
        <v>5663</v>
      </c>
      <c r="AE18" s="4"/>
      <c r="AK18">
        <v>17</v>
      </c>
      <c r="AL18" t="s">
        <v>367</v>
      </c>
      <c r="AM18" t="s">
        <v>7</v>
      </c>
      <c r="AN18">
        <v>1</v>
      </c>
      <c r="AO18">
        <v>4308</v>
      </c>
      <c r="AP18">
        <v>4308</v>
      </c>
      <c r="AV18">
        <v>17</v>
      </c>
      <c r="AW18" t="s">
        <v>354</v>
      </c>
      <c r="AX18" t="s">
        <v>7</v>
      </c>
      <c r="AY18">
        <v>1</v>
      </c>
      <c r="AZ18">
        <v>2454</v>
      </c>
      <c r="BA18">
        <v>2454</v>
      </c>
      <c r="BH18">
        <v>17</v>
      </c>
      <c r="BI18" t="s">
        <v>9</v>
      </c>
      <c r="BJ18">
        <v>1</v>
      </c>
      <c r="BK18">
        <v>4583</v>
      </c>
      <c r="BL18">
        <v>4583</v>
      </c>
      <c r="BR18">
        <v>17</v>
      </c>
      <c r="BS18" t="s">
        <v>9</v>
      </c>
      <c r="BT18">
        <v>1</v>
      </c>
      <c r="BU18">
        <v>6419</v>
      </c>
      <c r="BV18">
        <v>6419</v>
      </c>
    </row>
    <row r="19" spans="4:74" x14ac:dyDescent="0.25">
      <c r="D19">
        <v>18</v>
      </c>
      <c r="E19" t="s">
        <v>53</v>
      </c>
      <c r="F19" t="s">
        <v>7</v>
      </c>
      <c r="G19" s="4">
        <v>0</v>
      </c>
      <c r="H19" s="4">
        <v>0</v>
      </c>
      <c r="I19" s="4">
        <v>0</v>
      </c>
      <c r="O19">
        <v>18</v>
      </c>
      <c r="P19" t="s">
        <v>55</v>
      </c>
      <c r="Q19" t="s">
        <v>9</v>
      </c>
      <c r="R19">
        <v>1</v>
      </c>
      <c r="S19">
        <v>4032</v>
      </c>
      <c r="T19">
        <v>4032</v>
      </c>
      <c r="Z19">
        <v>18</v>
      </c>
      <c r="AA19" t="s">
        <v>360</v>
      </c>
      <c r="AB19" t="s">
        <v>7</v>
      </c>
      <c r="AC19">
        <v>1</v>
      </c>
      <c r="AD19">
        <v>5233</v>
      </c>
      <c r="AE19">
        <v>5233</v>
      </c>
      <c r="AK19">
        <v>18</v>
      </c>
      <c r="AL19" t="s">
        <v>358</v>
      </c>
      <c r="AM19" t="s">
        <v>7</v>
      </c>
      <c r="AN19">
        <v>1</v>
      </c>
      <c r="AO19">
        <v>7959</v>
      </c>
      <c r="AP19">
        <v>7959</v>
      </c>
      <c r="AV19">
        <v>18</v>
      </c>
      <c r="AW19" t="s">
        <v>356</v>
      </c>
      <c r="AX19" t="s">
        <v>9</v>
      </c>
      <c r="AY19">
        <v>1</v>
      </c>
      <c r="AZ19">
        <v>4821</v>
      </c>
      <c r="BA19">
        <v>4821</v>
      </c>
      <c r="BH19">
        <v>18</v>
      </c>
      <c r="BI19" t="s">
        <v>7</v>
      </c>
      <c r="BJ19">
        <v>1</v>
      </c>
      <c r="BK19">
        <v>1821</v>
      </c>
      <c r="BL19">
        <v>1821</v>
      </c>
      <c r="BR19">
        <v>18</v>
      </c>
      <c r="BS19" t="s">
        <v>7</v>
      </c>
      <c r="BT19" s="4">
        <v>0</v>
      </c>
      <c r="BU19" s="4">
        <v>3924</v>
      </c>
      <c r="BV19" s="4"/>
    </row>
    <row r="20" spans="4:74" x14ac:dyDescent="0.25">
      <c r="D20">
        <v>19</v>
      </c>
      <c r="E20" t="s">
        <v>50</v>
      </c>
      <c r="F20" t="s">
        <v>9</v>
      </c>
      <c r="G20">
        <v>1</v>
      </c>
      <c r="H20">
        <v>5202</v>
      </c>
      <c r="I20">
        <v>5202</v>
      </c>
      <c r="O20">
        <v>19</v>
      </c>
      <c r="P20" t="s">
        <v>44</v>
      </c>
      <c r="Q20" t="s">
        <v>9</v>
      </c>
      <c r="R20">
        <v>1</v>
      </c>
      <c r="S20">
        <v>3537</v>
      </c>
      <c r="T20">
        <v>3537</v>
      </c>
      <c r="Z20">
        <v>19</v>
      </c>
      <c r="AA20" t="s">
        <v>361</v>
      </c>
      <c r="AB20" t="s">
        <v>9</v>
      </c>
      <c r="AC20">
        <v>1</v>
      </c>
      <c r="AD20">
        <v>3395</v>
      </c>
      <c r="AE20">
        <v>3395</v>
      </c>
      <c r="AK20">
        <v>19</v>
      </c>
      <c r="AL20" t="s">
        <v>363</v>
      </c>
      <c r="AM20" t="s">
        <v>9</v>
      </c>
      <c r="AN20">
        <v>1</v>
      </c>
      <c r="AO20">
        <v>5202</v>
      </c>
      <c r="AP20">
        <v>5202</v>
      </c>
      <c r="AV20">
        <v>19</v>
      </c>
      <c r="AW20" t="s">
        <v>363</v>
      </c>
      <c r="AX20" t="s">
        <v>9</v>
      </c>
      <c r="AY20">
        <v>1</v>
      </c>
      <c r="AZ20">
        <v>5088</v>
      </c>
      <c r="BA20">
        <v>5088</v>
      </c>
      <c r="BH20">
        <v>19</v>
      </c>
      <c r="BI20" t="s">
        <v>9</v>
      </c>
      <c r="BJ20">
        <v>1</v>
      </c>
      <c r="BK20">
        <v>4446</v>
      </c>
      <c r="BL20">
        <v>4446</v>
      </c>
      <c r="BR20">
        <v>19</v>
      </c>
      <c r="BS20" t="s">
        <v>9</v>
      </c>
      <c r="BT20" s="4">
        <v>0</v>
      </c>
      <c r="BU20" s="4">
        <v>6935</v>
      </c>
      <c r="BV20" s="4"/>
    </row>
    <row r="21" spans="4:74" x14ac:dyDescent="0.25">
      <c r="D21">
        <v>20</v>
      </c>
      <c r="E21" t="s">
        <v>49</v>
      </c>
      <c r="F21" t="s">
        <v>9</v>
      </c>
      <c r="G21">
        <v>1</v>
      </c>
      <c r="H21">
        <v>5756</v>
      </c>
      <c r="I21">
        <v>5756</v>
      </c>
      <c r="O21">
        <v>20</v>
      </c>
      <c r="P21" t="s">
        <v>54</v>
      </c>
      <c r="Q21" t="s">
        <v>7</v>
      </c>
      <c r="R21" s="4">
        <v>0</v>
      </c>
      <c r="S21" s="4">
        <v>3870</v>
      </c>
      <c r="T21" s="4"/>
      <c r="Z21">
        <v>20</v>
      </c>
      <c r="AA21" t="s">
        <v>362</v>
      </c>
      <c r="AB21" t="s">
        <v>7</v>
      </c>
      <c r="AC21">
        <v>1</v>
      </c>
      <c r="AD21">
        <v>4777</v>
      </c>
      <c r="AE21">
        <v>4777</v>
      </c>
      <c r="AK21">
        <v>20</v>
      </c>
      <c r="AL21" t="s">
        <v>344</v>
      </c>
      <c r="AM21" t="s">
        <v>7</v>
      </c>
      <c r="AN21">
        <v>1</v>
      </c>
      <c r="AO21">
        <v>4086</v>
      </c>
      <c r="AP21">
        <v>4086</v>
      </c>
      <c r="AV21">
        <v>20</v>
      </c>
      <c r="AW21" t="s">
        <v>352</v>
      </c>
      <c r="AX21" t="s">
        <v>7</v>
      </c>
      <c r="AY21">
        <v>1</v>
      </c>
      <c r="AZ21">
        <v>5055</v>
      </c>
      <c r="BA21">
        <v>5055</v>
      </c>
      <c r="BH21">
        <v>20</v>
      </c>
      <c r="BI21" t="s">
        <v>9</v>
      </c>
      <c r="BJ21">
        <v>1</v>
      </c>
      <c r="BK21">
        <v>3502</v>
      </c>
      <c r="BL21">
        <v>3502</v>
      </c>
      <c r="BR21">
        <v>20</v>
      </c>
      <c r="BS21" t="s">
        <v>9</v>
      </c>
      <c r="BT21" s="4">
        <v>0</v>
      </c>
      <c r="BU21" s="4">
        <v>3837</v>
      </c>
      <c r="BV21" s="4"/>
    </row>
    <row r="22" spans="4:74" x14ac:dyDescent="0.25">
      <c r="D22">
        <v>21</v>
      </c>
      <c r="E22" t="s">
        <v>54</v>
      </c>
      <c r="F22" t="s">
        <v>7</v>
      </c>
      <c r="G22">
        <v>1</v>
      </c>
      <c r="H22">
        <v>5415</v>
      </c>
      <c r="I22">
        <v>5415</v>
      </c>
      <c r="O22">
        <v>21</v>
      </c>
      <c r="P22" t="s">
        <v>51</v>
      </c>
      <c r="Q22" t="s">
        <v>9</v>
      </c>
      <c r="R22">
        <v>1</v>
      </c>
      <c r="S22">
        <v>3743</v>
      </c>
      <c r="T22">
        <v>3743</v>
      </c>
      <c r="Z22">
        <v>21</v>
      </c>
      <c r="AA22" t="s">
        <v>363</v>
      </c>
      <c r="AB22" t="s">
        <v>9</v>
      </c>
      <c r="AC22" s="4">
        <v>0</v>
      </c>
      <c r="AD22" s="4">
        <v>3592</v>
      </c>
      <c r="AE22" s="4"/>
      <c r="AK22">
        <v>21</v>
      </c>
      <c r="AL22" t="s">
        <v>357</v>
      </c>
      <c r="AM22" t="s">
        <v>7</v>
      </c>
      <c r="AN22">
        <v>1</v>
      </c>
      <c r="AO22">
        <v>2603</v>
      </c>
      <c r="AP22">
        <v>2603</v>
      </c>
      <c r="AV22">
        <v>21</v>
      </c>
      <c r="AW22" t="s">
        <v>347</v>
      </c>
      <c r="AX22" t="s">
        <v>9</v>
      </c>
      <c r="AY22">
        <v>1</v>
      </c>
      <c r="AZ22">
        <v>5135</v>
      </c>
      <c r="BA22">
        <v>5135</v>
      </c>
      <c r="BH22">
        <v>21</v>
      </c>
      <c r="BI22" t="s">
        <v>7</v>
      </c>
      <c r="BJ22">
        <v>1</v>
      </c>
      <c r="BK22">
        <v>2493</v>
      </c>
      <c r="BL22">
        <v>2493</v>
      </c>
      <c r="BR22">
        <v>21</v>
      </c>
      <c r="BS22" t="s">
        <v>9</v>
      </c>
      <c r="BT22">
        <v>1</v>
      </c>
      <c r="BU22">
        <v>5848</v>
      </c>
      <c r="BV22">
        <v>5848</v>
      </c>
    </row>
    <row r="23" spans="4:74" x14ac:dyDescent="0.25">
      <c r="D23">
        <v>22</v>
      </c>
      <c r="E23" t="s">
        <v>46</v>
      </c>
      <c r="F23" t="s">
        <v>9</v>
      </c>
      <c r="G23" s="4">
        <v>0</v>
      </c>
      <c r="H23" s="4">
        <v>4396</v>
      </c>
      <c r="I23" s="4"/>
      <c r="O23">
        <v>22</v>
      </c>
      <c r="P23" t="s">
        <v>46</v>
      </c>
      <c r="Q23" t="s">
        <v>9</v>
      </c>
      <c r="R23" s="4">
        <v>0</v>
      </c>
      <c r="S23" s="4">
        <v>6677</v>
      </c>
      <c r="T23" s="4"/>
      <c r="Z23">
        <v>22</v>
      </c>
      <c r="AA23" t="s">
        <v>364</v>
      </c>
      <c r="AB23" t="s">
        <v>7</v>
      </c>
      <c r="AC23">
        <v>1</v>
      </c>
      <c r="AD23">
        <v>2032</v>
      </c>
      <c r="AE23">
        <v>2032</v>
      </c>
      <c r="AK23">
        <v>22</v>
      </c>
      <c r="AL23" t="s">
        <v>361</v>
      </c>
      <c r="AM23" t="s">
        <v>9</v>
      </c>
      <c r="AN23">
        <v>1</v>
      </c>
      <c r="AO23">
        <v>4757</v>
      </c>
      <c r="AP23">
        <v>4757</v>
      </c>
      <c r="AV23">
        <v>22</v>
      </c>
      <c r="AW23" t="s">
        <v>343</v>
      </c>
      <c r="AX23" t="s">
        <v>9</v>
      </c>
      <c r="AY23" s="4">
        <v>0</v>
      </c>
      <c r="AZ23" s="4">
        <v>7049</v>
      </c>
      <c r="BA23" s="4"/>
      <c r="BH23">
        <v>22</v>
      </c>
      <c r="BI23" t="s">
        <v>7</v>
      </c>
      <c r="BJ23">
        <v>1</v>
      </c>
      <c r="BK23">
        <v>3079</v>
      </c>
      <c r="BL23">
        <v>3079</v>
      </c>
      <c r="BR23">
        <v>22</v>
      </c>
      <c r="BS23" t="s">
        <v>7</v>
      </c>
      <c r="BT23">
        <v>1</v>
      </c>
      <c r="BU23">
        <v>6656</v>
      </c>
      <c r="BV23">
        <v>6656</v>
      </c>
    </row>
    <row r="24" spans="4:74" x14ac:dyDescent="0.25">
      <c r="D24">
        <v>23</v>
      </c>
      <c r="E24" t="s">
        <v>38</v>
      </c>
      <c r="F24" t="s">
        <v>9</v>
      </c>
      <c r="G24" s="4">
        <v>0</v>
      </c>
      <c r="H24" s="4">
        <v>5310</v>
      </c>
      <c r="I24" s="4"/>
      <c r="O24">
        <v>23</v>
      </c>
      <c r="P24" t="s">
        <v>50</v>
      </c>
      <c r="Q24" t="s">
        <v>9</v>
      </c>
      <c r="R24">
        <v>1</v>
      </c>
      <c r="S24">
        <v>4294</v>
      </c>
      <c r="T24">
        <v>4294</v>
      </c>
      <c r="Z24">
        <v>23</v>
      </c>
      <c r="AA24" t="s">
        <v>365</v>
      </c>
      <c r="AB24" t="s">
        <v>9</v>
      </c>
      <c r="AC24" s="4">
        <v>0</v>
      </c>
      <c r="AD24" s="4">
        <v>5326</v>
      </c>
      <c r="AE24" s="4"/>
      <c r="AK24">
        <v>23</v>
      </c>
      <c r="AL24" t="s">
        <v>355</v>
      </c>
      <c r="AM24" t="s">
        <v>9</v>
      </c>
      <c r="AN24">
        <v>1</v>
      </c>
      <c r="AO24">
        <v>2446</v>
      </c>
      <c r="AP24">
        <v>2446</v>
      </c>
      <c r="AV24">
        <v>23</v>
      </c>
      <c r="AW24" t="s">
        <v>367</v>
      </c>
      <c r="AX24" t="s">
        <v>7</v>
      </c>
      <c r="AY24">
        <v>1</v>
      </c>
      <c r="AZ24">
        <v>7283</v>
      </c>
      <c r="BA24">
        <v>7283</v>
      </c>
      <c r="BH24">
        <v>23</v>
      </c>
      <c r="BI24" t="s">
        <v>9</v>
      </c>
      <c r="BJ24" s="4">
        <v>0</v>
      </c>
      <c r="BK24" s="4">
        <v>4373</v>
      </c>
      <c r="BL24" s="4"/>
      <c r="BR24">
        <v>23</v>
      </c>
      <c r="BS24" t="s">
        <v>7</v>
      </c>
      <c r="BT24">
        <v>1</v>
      </c>
      <c r="BU24">
        <v>5945</v>
      </c>
      <c r="BV24">
        <v>5945</v>
      </c>
    </row>
    <row r="25" spans="4:74" x14ac:dyDescent="0.25">
      <c r="D25">
        <v>24</v>
      </c>
      <c r="E25" t="s">
        <v>59</v>
      </c>
      <c r="F25" t="s">
        <v>9</v>
      </c>
      <c r="G25">
        <v>1</v>
      </c>
      <c r="H25">
        <v>3905</v>
      </c>
      <c r="I25">
        <v>3905</v>
      </c>
      <c r="O25">
        <v>24</v>
      </c>
      <c r="P25" t="s">
        <v>53</v>
      </c>
      <c r="Q25" t="s">
        <v>7</v>
      </c>
      <c r="R25">
        <v>1</v>
      </c>
      <c r="S25">
        <v>4704</v>
      </c>
      <c r="T25">
        <v>4704</v>
      </c>
      <c r="Z25">
        <v>24</v>
      </c>
      <c r="AA25" t="s">
        <v>366</v>
      </c>
      <c r="AB25" t="s">
        <v>9</v>
      </c>
      <c r="AC25" s="4">
        <v>0</v>
      </c>
      <c r="AD25" s="4">
        <v>4228</v>
      </c>
      <c r="AE25" s="4"/>
      <c r="AK25">
        <v>24</v>
      </c>
      <c r="AL25" t="s">
        <v>365</v>
      </c>
      <c r="AM25" t="s">
        <v>9</v>
      </c>
      <c r="AN25" s="4">
        <v>0</v>
      </c>
      <c r="AO25" s="4">
        <v>4271</v>
      </c>
      <c r="AP25" s="4"/>
      <c r="AV25">
        <v>24</v>
      </c>
      <c r="AW25" t="s">
        <v>350</v>
      </c>
      <c r="AX25" t="s">
        <v>9</v>
      </c>
      <c r="AY25" s="4">
        <v>0</v>
      </c>
      <c r="AZ25" s="4">
        <v>4429</v>
      </c>
      <c r="BA25" s="4"/>
      <c r="BH25">
        <v>24</v>
      </c>
      <c r="BI25" t="s">
        <v>7</v>
      </c>
      <c r="BJ25">
        <v>1</v>
      </c>
      <c r="BK25">
        <v>5540</v>
      </c>
      <c r="BL25">
        <v>5540</v>
      </c>
      <c r="BR25">
        <v>24</v>
      </c>
      <c r="BS25" t="s">
        <v>7</v>
      </c>
      <c r="BT25">
        <v>1</v>
      </c>
      <c r="BU25">
        <v>3331</v>
      </c>
      <c r="BV25">
        <v>3331</v>
      </c>
    </row>
    <row r="26" spans="4:74" x14ac:dyDescent="0.25">
      <c r="D26">
        <v>25</v>
      </c>
      <c r="E26" t="s">
        <v>57</v>
      </c>
      <c r="F26" t="s">
        <v>9</v>
      </c>
      <c r="G26" s="4">
        <v>0</v>
      </c>
      <c r="H26" s="4">
        <v>4509</v>
      </c>
      <c r="I26" s="4"/>
      <c r="O26">
        <v>25</v>
      </c>
      <c r="P26" t="s">
        <v>52</v>
      </c>
      <c r="Q26" t="s">
        <v>9</v>
      </c>
      <c r="R26">
        <v>1</v>
      </c>
      <c r="S26">
        <v>4260</v>
      </c>
      <c r="T26">
        <v>4260</v>
      </c>
      <c r="Z26">
        <v>25</v>
      </c>
      <c r="AA26" t="s">
        <v>367</v>
      </c>
      <c r="AB26" t="s">
        <v>7</v>
      </c>
      <c r="AC26">
        <v>1</v>
      </c>
      <c r="AD26">
        <v>6931</v>
      </c>
      <c r="AE26">
        <v>6931</v>
      </c>
      <c r="AK26">
        <v>25</v>
      </c>
      <c r="AL26" t="s">
        <v>349</v>
      </c>
      <c r="AM26" t="s">
        <v>7</v>
      </c>
      <c r="AN26" s="4">
        <v>0</v>
      </c>
      <c r="AO26" s="4">
        <v>5367</v>
      </c>
      <c r="AP26" s="4"/>
      <c r="AV26">
        <v>25</v>
      </c>
      <c r="AW26" t="s">
        <v>355</v>
      </c>
      <c r="AX26" t="s">
        <v>9</v>
      </c>
      <c r="AY26">
        <v>1</v>
      </c>
      <c r="AZ26">
        <v>3769</v>
      </c>
      <c r="BA26">
        <v>3769</v>
      </c>
      <c r="BH26">
        <v>25</v>
      </c>
      <c r="BI26" t="s">
        <v>9</v>
      </c>
      <c r="BJ26">
        <v>1</v>
      </c>
      <c r="BK26">
        <v>5136</v>
      </c>
      <c r="BL26">
        <v>5136</v>
      </c>
      <c r="BR26">
        <v>25</v>
      </c>
      <c r="BS26" t="s">
        <v>9</v>
      </c>
      <c r="BT26">
        <v>1</v>
      </c>
      <c r="BU26">
        <v>6751</v>
      </c>
      <c r="BV26">
        <v>6751</v>
      </c>
    </row>
    <row r="27" spans="4:74" x14ac:dyDescent="0.25">
      <c r="D27">
        <v>26</v>
      </c>
      <c r="E27" t="s">
        <v>41</v>
      </c>
      <c r="F27" t="s">
        <v>9</v>
      </c>
      <c r="G27">
        <v>1</v>
      </c>
      <c r="H27">
        <v>4902</v>
      </c>
      <c r="I27">
        <v>4902</v>
      </c>
      <c r="O27">
        <v>26</v>
      </c>
      <c r="P27" t="s">
        <v>62</v>
      </c>
      <c r="Q27" t="s">
        <v>7</v>
      </c>
      <c r="R27">
        <v>1</v>
      </c>
      <c r="S27">
        <v>5934</v>
      </c>
      <c r="T27">
        <v>5934</v>
      </c>
      <c r="Z27">
        <v>26</v>
      </c>
      <c r="AA27" t="s">
        <v>368</v>
      </c>
      <c r="AB27" t="s">
        <v>7</v>
      </c>
      <c r="AC27">
        <v>1</v>
      </c>
      <c r="AD27">
        <v>5500</v>
      </c>
      <c r="AE27">
        <v>5500</v>
      </c>
      <c r="AK27">
        <v>26</v>
      </c>
      <c r="AL27" t="s">
        <v>346</v>
      </c>
      <c r="AM27" t="s">
        <v>9</v>
      </c>
      <c r="AN27">
        <v>1</v>
      </c>
      <c r="AO27">
        <v>5534</v>
      </c>
      <c r="AP27">
        <v>5534</v>
      </c>
      <c r="AV27">
        <v>26</v>
      </c>
      <c r="AW27" t="s">
        <v>351</v>
      </c>
      <c r="AX27" t="s">
        <v>7</v>
      </c>
      <c r="AY27">
        <v>1</v>
      </c>
      <c r="AZ27">
        <v>6707</v>
      </c>
      <c r="BA27">
        <v>6707</v>
      </c>
      <c r="BH27">
        <v>26</v>
      </c>
      <c r="BI27" t="s">
        <v>9</v>
      </c>
      <c r="BJ27">
        <v>1</v>
      </c>
      <c r="BK27">
        <v>4117</v>
      </c>
      <c r="BL27">
        <v>4117</v>
      </c>
      <c r="BR27">
        <v>26</v>
      </c>
      <c r="BS27" t="s">
        <v>9</v>
      </c>
      <c r="BT27">
        <v>1</v>
      </c>
      <c r="BU27">
        <v>4522</v>
      </c>
      <c r="BV27">
        <v>4522</v>
      </c>
    </row>
    <row r="28" spans="4:74" x14ac:dyDescent="0.25">
      <c r="G28">
        <f>SUM(G2:G27)</f>
        <v>19</v>
      </c>
      <c r="H28" s="8">
        <f>I28/G28</f>
        <v>4504.2105263157891</v>
      </c>
      <c r="I28">
        <f>SUM(I2:I27)</f>
        <v>85580</v>
      </c>
      <c r="R28">
        <f>SUM(R2:R27)</f>
        <v>21</v>
      </c>
      <c r="T28">
        <f>SUM(T2:T27)</f>
        <v>74180</v>
      </c>
      <c r="AC28">
        <f>SUM(AC2:AC27)</f>
        <v>16</v>
      </c>
      <c r="AE28">
        <f>SUM(AE2:AE27)</f>
        <v>60528</v>
      </c>
      <c r="AN28">
        <f>SUM(AN2:AN27)</f>
        <v>19</v>
      </c>
      <c r="AP28">
        <f>SUM(AP2:AP27)</f>
        <v>77072</v>
      </c>
      <c r="AY28">
        <f>SUM(AY2:AY27)</f>
        <v>16</v>
      </c>
      <c r="AZ28" s="4">
        <f>BA28/AY28</f>
        <v>4719.875</v>
      </c>
      <c r="BA28">
        <f>SUM(BA2:BA27)</f>
        <v>75518</v>
      </c>
      <c r="BJ28">
        <f>SUM(BJ2:BJ27)</f>
        <v>19</v>
      </c>
      <c r="BL28">
        <f>SUM(BL2:BL27)</f>
        <v>79484</v>
      </c>
      <c r="BT28">
        <f>SUM(BT2:BT27)</f>
        <v>20</v>
      </c>
      <c r="BV28">
        <f>SUM(BV2:BV27)</f>
        <v>105066</v>
      </c>
    </row>
    <row r="29" spans="4:74" x14ac:dyDescent="0.25">
      <c r="AO29" s="4">
        <f>AP28/AN28</f>
        <v>4056.4210526315787</v>
      </c>
      <c r="BK29">
        <f>BL28/BJ28</f>
        <v>4183.3684210526317</v>
      </c>
      <c r="BU29" s="5">
        <f>BV28/BT28</f>
        <v>5253.3</v>
      </c>
    </row>
    <row r="30" spans="4:74" x14ac:dyDescent="0.25">
      <c r="S30" s="8">
        <f>T28/R28</f>
        <v>3532.3809523809523</v>
      </c>
      <c r="AD30">
        <f>AE28/AC28</f>
        <v>3783</v>
      </c>
    </row>
    <row r="34" spans="3:13" x14ac:dyDescent="0.25">
      <c r="D34" t="s">
        <v>644</v>
      </c>
      <c r="E34" t="s">
        <v>293</v>
      </c>
      <c r="F34" t="s">
        <v>314</v>
      </c>
      <c r="G34" t="s">
        <v>645</v>
      </c>
      <c r="J34" t="s">
        <v>644</v>
      </c>
      <c r="K34" t="s">
        <v>293</v>
      </c>
      <c r="L34" t="s">
        <v>314</v>
      </c>
      <c r="M34" t="s">
        <v>645</v>
      </c>
    </row>
    <row r="35" spans="3:13" x14ac:dyDescent="0.25">
      <c r="C35" t="s">
        <v>646</v>
      </c>
      <c r="D35">
        <v>19</v>
      </c>
      <c r="E35">
        <v>21</v>
      </c>
      <c r="F35">
        <v>16</v>
      </c>
      <c r="G35">
        <v>19</v>
      </c>
      <c r="I35" t="s">
        <v>707</v>
      </c>
      <c r="J35">
        <v>4504.2105263157891</v>
      </c>
      <c r="K35">
        <v>3532.3809523809523</v>
      </c>
      <c r="L35">
        <v>3783</v>
      </c>
      <c r="M35">
        <v>4056.4210526315787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4"/>
  <sheetViews>
    <sheetView topLeftCell="AJ1" workbookViewId="0">
      <selection activeCell="Y41" sqref="Y41"/>
    </sheetView>
  </sheetViews>
  <sheetFormatPr baseColWidth="10" defaultRowHeight="15" x14ac:dyDescent="0.25"/>
  <cols>
    <col min="1" max="1" width="52.7109375" customWidth="1"/>
    <col min="6" max="6" width="22.7109375" customWidth="1"/>
    <col min="7" max="7" width="18.28515625" customWidth="1"/>
    <col min="13" max="13" width="34.28515625" customWidth="1"/>
    <col min="18" max="18" width="18" customWidth="1"/>
    <col min="19" max="19" width="24.7109375" customWidth="1"/>
    <col min="25" max="25" width="21.5703125" customWidth="1"/>
    <col min="30" max="30" width="16.42578125" customWidth="1"/>
    <col min="35" max="35" width="17.28515625" customWidth="1"/>
    <col min="40" max="40" width="20.140625" customWidth="1"/>
    <col min="41" max="41" width="18.85546875" customWidth="1"/>
    <col min="45" max="45" width="21.140625" customWidth="1"/>
  </cols>
  <sheetData>
    <row r="1" spans="1:52" ht="15.7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  <c r="G1" s="2" t="s">
        <v>4</v>
      </c>
      <c r="H1" s="2" t="s">
        <v>5</v>
      </c>
      <c r="M1" s="1" t="s">
        <v>97</v>
      </c>
      <c r="N1" s="2" t="s">
        <v>0</v>
      </c>
      <c r="O1" s="2" t="s">
        <v>1</v>
      </c>
      <c r="P1" s="2" t="s">
        <v>2</v>
      </c>
      <c r="Q1" s="2" t="s">
        <v>11</v>
      </c>
      <c r="R1" s="2" t="s">
        <v>3</v>
      </c>
      <c r="S1" s="2" t="s">
        <v>4</v>
      </c>
      <c r="T1" s="2" t="s">
        <v>5</v>
      </c>
      <c r="U1" s="2"/>
      <c r="V1" s="2"/>
      <c r="Y1" s="1" t="s">
        <v>97</v>
      </c>
      <c r="Z1" s="2" t="s">
        <v>0</v>
      </c>
      <c r="AA1" s="2" t="s">
        <v>1</v>
      </c>
      <c r="AB1" s="2" t="s">
        <v>2</v>
      </c>
      <c r="AC1" s="2" t="s">
        <v>11</v>
      </c>
      <c r="AD1" s="2" t="s">
        <v>3</v>
      </c>
      <c r="AE1" s="2" t="s">
        <v>4</v>
      </c>
      <c r="AF1" s="2" t="s">
        <v>5</v>
      </c>
      <c r="AI1" s="1" t="s">
        <v>97</v>
      </c>
      <c r="AJ1" s="2" t="s">
        <v>0</v>
      </c>
      <c r="AK1" s="2" t="s">
        <v>1</v>
      </c>
      <c r="AL1" s="2" t="s">
        <v>2</v>
      </c>
      <c r="AM1" t="s">
        <v>11</v>
      </c>
      <c r="AN1" t="s">
        <v>3</v>
      </c>
      <c r="AO1" t="s">
        <v>4</v>
      </c>
      <c r="AP1" s="2" t="s">
        <v>5</v>
      </c>
      <c r="AS1" s="1" t="s">
        <v>97</v>
      </c>
      <c r="AT1" s="2" t="s">
        <v>0</v>
      </c>
      <c r="AU1" s="2" t="s">
        <v>1</v>
      </c>
      <c r="AV1" s="2" t="s">
        <v>2</v>
      </c>
      <c r="AW1" s="2" t="s">
        <v>11</v>
      </c>
      <c r="AX1" s="2" t="s">
        <v>3</v>
      </c>
      <c r="AY1" s="2" t="s">
        <v>4</v>
      </c>
      <c r="AZ1" s="2" t="s">
        <v>5</v>
      </c>
    </row>
    <row r="2" spans="1:52" x14ac:dyDescent="0.25">
      <c r="A2" t="s">
        <v>98</v>
      </c>
      <c r="B2" s="10">
        <v>2</v>
      </c>
      <c r="C2" s="10">
        <v>1</v>
      </c>
      <c r="D2" s="10">
        <v>1</v>
      </c>
      <c r="E2" s="10" t="s">
        <v>128</v>
      </c>
      <c r="F2" s="10">
        <v>0</v>
      </c>
      <c r="G2" s="10">
        <v>5266</v>
      </c>
      <c r="M2" s="11" t="s">
        <v>98</v>
      </c>
      <c r="N2">
        <v>1</v>
      </c>
      <c r="O2">
        <v>1</v>
      </c>
      <c r="P2">
        <v>1</v>
      </c>
      <c r="Q2" t="s">
        <v>123</v>
      </c>
      <c r="R2">
        <v>1</v>
      </c>
      <c r="S2">
        <v>3077</v>
      </c>
      <c r="T2">
        <v>3077</v>
      </c>
      <c r="Y2" s="11" t="s">
        <v>293</v>
      </c>
      <c r="Z2">
        <v>2</v>
      </c>
      <c r="AA2">
        <v>2</v>
      </c>
      <c r="AB2">
        <v>1</v>
      </c>
      <c r="AC2" t="s">
        <v>151</v>
      </c>
      <c r="AD2">
        <v>1</v>
      </c>
      <c r="AE2">
        <v>3612</v>
      </c>
      <c r="AI2" s="11" t="s">
        <v>314</v>
      </c>
      <c r="AJ2">
        <v>1</v>
      </c>
      <c r="AK2">
        <v>3</v>
      </c>
      <c r="AL2">
        <v>1</v>
      </c>
      <c r="AM2" t="s">
        <v>114</v>
      </c>
      <c r="AN2">
        <v>1</v>
      </c>
      <c r="AO2">
        <v>2169</v>
      </c>
      <c r="AP2">
        <v>2169</v>
      </c>
      <c r="AS2" s="11" t="s">
        <v>645</v>
      </c>
      <c r="AT2">
        <v>1</v>
      </c>
      <c r="AU2">
        <v>4</v>
      </c>
      <c r="AV2">
        <v>1</v>
      </c>
      <c r="AW2" t="s">
        <v>107</v>
      </c>
      <c r="AX2">
        <v>1</v>
      </c>
      <c r="AY2">
        <v>2753</v>
      </c>
      <c r="AZ2">
        <v>2753</v>
      </c>
    </row>
    <row r="3" spans="1:52" ht="15.75" x14ac:dyDescent="0.25">
      <c r="A3" s="1" t="s">
        <v>101</v>
      </c>
      <c r="D3">
        <v>2</v>
      </c>
      <c r="E3" s="10" t="s">
        <v>129</v>
      </c>
      <c r="F3" s="10">
        <v>0</v>
      </c>
      <c r="G3" s="10">
        <v>0</v>
      </c>
      <c r="M3" s="1" t="s">
        <v>101</v>
      </c>
      <c r="P3">
        <v>2</v>
      </c>
      <c r="Q3" t="s">
        <v>111</v>
      </c>
      <c r="R3">
        <v>1</v>
      </c>
      <c r="S3">
        <v>2174</v>
      </c>
      <c r="T3">
        <v>2174</v>
      </c>
      <c r="Y3" s="1" t="s">
        <v>101</v>
      </c>
      <c r="AB3">
        <v>2</v>
      </c>
      <c r="AC3" t="s">
        <v>135</v>
      </c>
      <c r="AD3">
        <v>1</v>
      </c>
      <c r="AE3">
        <v>1959</v>
      </c>
      <c r="AI3" s="1" t="s">
        <v>101</v>
      </c>
      <c r="AL3">
        <v>2</v>
      </c>
      <c r="AM3" t="s">
        <v>123</v>
      </c>
      <c r="AN3">
        <v>1</v>
      </c>
      <c r="AO3">
        <v>2041</v>
      </c>
      <c r="AP3">
        <v>2041</v>
      </c>
      <c r="AS3" s="1" t="s">
        <v>101</v>
      </c>
      <c r="AV3">
        <v>2</v>
      </c>
      <c r="AW3" t="s">
        <v>118</v>
      </c>
      <c r="AX3">
        <v>1</v>
      </c>
      <c r="AY3">
        <v>2822</v>
      </c>
      <c r="AZ3">
        <v>2822</v>
      </c>
    </row>
    <row r="4" spans="1:52" x14ac:dyDescent="0.25">
      <c r="A4" t="s">
        <v>99</v>
      </c>
      <c r="D4">
        <v>3</v>
      </c>
      <c r="E4" s="10" t="s">
        <v>130</v>
      </c>
      <c r="F4" s="10">
        <v>1</v>
      </c>
      <c r="G4" s="10">
        <v>6944</v>
      </c>
      <c r="M4" t="s">
        <v>99</v>
      </c>
      <c r="P4">
        <v>3</v>
      </c>
      <c r="Q4" t="s">
        <v>115</v>
      </c>
      <c r="R4">
        <v>1</v>
      </c>
      <c r="S4">
        <v>2152</v>
      </c>
      <c r="T4">
        <v>2152</v>
      </c>
      <c r="Y4" t="s">
        <v>290</v>
      </c>
      <c r="AB4">
        <v>3</v>
      </c>
      <c r="AC4" t="s">
        <v>146</v>
      </c>
      <c r="AD4">
        <v>1</v>
      </c>
      <c r="AE4">
        <v>2143</v>
      </c>
      <c r="AI4" t="s">
        <v>330</v>
      </c>
      <c r="AL4">
        <v>3</v>
      </c>
      <c r="AM4" t="s">
        <v>119</v>
      </c>
      <c r="AN4">
        <v>1</v>
      </c>
      <c r="AO4">
        <v>1579</v>
      </c>
      <c r="AP4">
        <v>1579</v>
      </c>
      <c r="AS4" t="s">
        <v>655</v>
      </c>
      <c r="AV4">
        <v>3</v>
      </c>
      <c r="AW4" t="s">
        <v>105</v>
      </c>
      <c r="AX4">
        <v>1</v>
      </c>
      <c r="AY4">
        <v>2995</v>
      </c>
      <c r="AZ4">
        <v>2995</v>
      </c>
    </row>
    <row r="5" spans="1:52" x14ac:dyDescent="0.25">
      <c r="D5">
        <v>4</v>
      </c>
      <c r="E5" s="10" t="s">
        <v>131</v>
      </c>
      <c r="F5" s="10">
        <v>0</v>
      </c>
      <c r="G5" s="10">
        <v>0</v>
      </c>
      <c r="M5" s="5" t="s">
        <v>157</v>
      </c>
      <c r="P5">
        <v>4</v>
      </c>
      <c r="Q5" t="s">
        <v>102</v>
      </c>
      <c r="R5">
        <v>1</v>
      </c>
      <c r="S5">
        <v>3928</v>
      </c>
      <c r="T5">
        <v>3928</v>
      </c>
      <c r="Y5" s="5" t="s">
        <v>294</v>
      </c>
      <c r="AB5">
        <v>4</v>
      </c>
      <c r="AC5" t="s">
        <v>130</v>
      </c>
      <c r="AD5">
        <v>1</v>
      </c>
      <c r="AE5">
        <v>2378</v>
      </c>
      <c r="AI5" s="5" t="s">
        <v>294</v>
      </c>
      <c r="AL5">
        <v>4</v>
      </c>
      <c r="AM5" t="s">
        <v>109</v>
      </c>
      <c r="AN5">
        <v>1</v>
      </c>
      <c r="AO5">
        <v>2221</v>
      </c>
      <c r="AP5">
        <v>2221</v>
      </c>
      <c r="AS5" s="5" t="s">
        <v>656</v>
      </c>
      <c r="AV5">
        <v>4</v>
      </c>
      <c r="AW5" t="s">
        <v>112</v>
      </c>
      <c r="AX5">
        <v>1</v>
      </c>
      <c r="AY5">
        <v>2454</v>
      </c>
      <c r="AZ5">
        <v>2454</v>
      </c>
    </row>
    <row r="6" spans="1:52" x14ac:dyDescent="0.25">
      <c r="D6">
        <v>5</v>
      </c>
      <c r="E6" s="10" t="s">
        <v>132</v>
      </c>
      <c r="F6" s="10">
        <v>0</v>
      </c>
      <c r="G6" s="10">
        <v>4756</v>
      </c>
      <c r="P6">
        <v>5</v>
      </c>
      <c r="Q6" t="s">
        <v>109</v>
      </c>
      <c r="R6">
        <v>1</v>
      </c>
      <c r="S6">
        <v>3035</v>
      </c>
      <c r="T6">
        <v>3035</v>
      </c>
      <c r="AB6">
        <v>5</v>
      </c>
      <c r="AC6" t="s">
        <v>134</v>
      </c>
      <c r="AD6">
        <v>1</v>
      </c>
      <c r="AE6">
        <v>2768</v>
      </c>
      <c r="AL6">
        <v>5</v>
      </c>
      <c r="AM6" t="s">
        <v>117</v>
      </c>
      <c r="AN6">
        <v>1</v>
      </c>
      <c r="AO6">
        <v>2199</v>
      </c>
      <c r="AP6">
        <v>2199</v>
      </c>
      <c r="AV6">
        <v>5</v>
      </c>
      <c r="AW6" t="s">
        <v>122</v>
      </c>
      <c r="AX6">
        <v>1</v>
      </c>
      <c r="AY6">
        <v>3073</v>
      </c>
      <c r="AZ6">
        <v>3073</v>
      </c>
    </row>
    <row r="7" spans="1:52" x14ac:dyDescent="0.25">
      <c r="A7" s="4"/>
      <c r="B7" s="4"/>
      <c r="D7">
        <v>6</v>
      </c>
      <c r="E7" s="10" t="s">
        <v>133</v>
      </c>
      <c r="F7" s="10">
        <v>0</v>
      </c>
      <c r="G7" s="10">
        <v>0</v>
      </c>
      <c r="P7">
        <v>6</v>
      </c>
      <c r="Q7" t="s">
        <v>110</v>
      </c>
      <c r="R7" s="4">
        <v>0</v>
      </c>
      <c r="S7" s="4">
        <v>2116</v>
      </c>
      <c r="T7" s="4"/>
      <c r="U7" s="4"/>
      <c r="V7" s="4"/>
      <c r="AB7">
        <v>6</v>
      </c>
      <c r="AC7" t="s">
        <v>149</v>
      </c>
      <c r="AD7">
        <v>1</v>
      </c>
      <c r="AE7">
        <v>2354</v>
      </c>
      <c r="AL7">
        <v>6</v>
      </c>
      <c r="AM7" t="s">
        <v>110</v>
      </c>
      <c r="AN7">
        <v>1</v>
      </c>
      <c r="AO7">
        <v>1712</v>
      </c>
      <c r="AP7">
        <v>1712</v>
      </c>
      <c r="AV7">
        <v>6</v>
      </c>
      <c r="AW7" t="s">
        <v>100</v>
      </c>
      <c r="AX7">
        <v>1</v>
      </c>
      <c r="AY7">
        <v>2450</v>
      </c>
      <c r="AZ7">
        <v>2450</v>
      </c>
    </row>
    <row r="8" spans="1:52" x14ac:dyDescent="0.25">
      <c r="A8" s="4" t="s">
        <v>154</v>
      </c>
      <c r="B8" s="4"/>
      <c r="D8">
        <v>7</v>
      </c>
      <c r="E8" s="10" t="s">
        <v>134</v>
      </c>
      <c r="F8" s="10">
        <v>1</v>
      </c>
      <c r="G8" s="10">
        <v>6437</v>
      </c>
      <c r="P8">
        <v>7</v>
      </c>
      <c r="Q8" t="s">
        <v>107</v>
      </c>
      <c r="R8">
        <v>1</v>
      </c>
      <c r="S8">
        <v>3613</v>
      </c>
      <c r="T8">
        <v>3613</v>
      </c>
      <c r="AB8">
        <v>7</v>
      </c>
      <c r="AC8" t="s">
        <v>141</v>
      </c>
      <c r="AD8">
        <v>1</v>
      </c>
      <c r="AE8">
        <v>1546</v>
      </c>
      <c r="AL8">
        <v>7</v>
      </c>
      <c r="AM8" t="s">
        <v>102</v>
      </c>
      <c r="AN8">
        <v>1</v>
      </c>
      <c r="AO8">
        <v>2051</v>
      </c>
      <c r="AP8">
        <v>2051</v>
      </c>
      <c r="AV8">
        <v>7</v>
      </c>
      <c r="AW8" t="s">
        <v>103</v>
      </c>
      <c r="AX8">
        <v>1</v>
      </c>
      <c r="AY8">
        <v>2427</v>
      </c>
      <c r="AZ8">
        <v>2427</v>
      </c>
    </row>
    <row r="9" spans="1:52" x14ac:dyDescent="0.25">
      <c r="A9" s="4" t="s">
        <v>155</v>
      </c>
      <c r="D9">
        <v>8</v>
      </c>
      <c r="E9" s="10" t="s">
        <v>135</v>
      </c>
      <c r="F9" s="10">
        <v>1</v>
      </c>
      <c r="G9" s="10">
        <v>4745</v>
      </c>
      <c r="P9">
        <v>8</v>
      </c>
      <c r="Q9" t="s">
        <v>103</v>
      </c>
      <c r="R9">
        <v>1</v>
      </c>
      <c r="S9">
        <v>2331</v>
      </c>
      <c r="T9">
        <v>2331</v>
      </c>
      <c r="AB9">
        <v>8</v>
      </c>
      <c r="AC9" t="s">
        <v>152</v>
      </c>
      <c r="AD9">
        <v>1</v>
      </c>
      <c r="AE9">
        <v>2832</v>
      </c>
      <c r="AL9">
        <v>8</v>
      </c>
      <c r="AM9" t="s">
        <v>105</v>
      </c>
      <c r="AN9">
        <v>1</v>
      </c>
      <c r="AO9">
        <v>1696</v>
      </c>
      <c r="AP9">
        <v>1696</v>
      </c>
      <c r="AV9">
        <v>8</v>
      </c>
      <c r="AW9" t="s">
        <v>114</v>
      </c>
      <c r="AX9">
        <v>1</v>
      </c>
      <c r="AY9">
        <v>3094</v>
      </c>
      <c r="AZ9">
        <v>3094</v>
      </c>
    </row>
    <row r="10" spans="1:52" x14ac:dyDescent="0.25">
      <c r="A10" s="4" t="s">
        <v>156</v>
      </c>
      <c r="D10">
        <v>9</v>
      </c>
      <c r="E10" s="10" t="s">
        <v>136</v>
      </c>
      <c r="F10" s="10">
        <v>1</v>
      </c>
      <c r="G10" s="10">
        <v>5657</v>
      </c>
      <c r="P10">
        <v>9</v>
      </c>
      <c r="Q10" t="s">
        <v>121</v>
      </c>
      <c r="R10">
        <v>1</v>
      </c>
      <c r="S10">
        <v>3628</v>
      </c>
      <c r="T10">
        <v>3628</v>
      </c>
      <c r="AB10">
        <v>9</v>
      </c>
      <c r="AC10" t="s">
        <v>136</v>
      </c>
      <c r="AD10">
        <v>1</v>
      </c>
      <c r="AE10">
        <v>1822</v>
      </c>
      <c r="AL10">
        <v>9</v>
      </c>
      <c r="AM10" t="s">
        <v>113</v>
      </c>
      <c r="AN10">
        <v>1</v>
      </c>
      <c r="AO10">
        <v>3095</v>
      </c>
      <c r="AP10">
        <v>3095</v>
      </c>
      <c r="AV10">
        <v>9</v>
      </c>
      <c r="AW10" t="s">
        <v>119</v>
      </c>
      <c r="AX10">
        <v>1</v>
      </c>
      <c r="AY10">
        <v>2563</v>
      </c>
      <c r="AZ10">
        <v>2563</v>
      </c>
    </row>
    <row r="11" spans="1:52" x14ac:dyDescent="0.25">
      <c r="D11">
        <v>10</v>
      </c>
      <c r="E11" s="10" t="s">
        <v>137</v>
      </c>
      <c r="F11" s="10">
        <v>1</v>
      </c>
      <c r="G11" s="10">
        <v>6558</v>
      </c>
      <c r="P11">
        <v>10</v>
      </c>
      <c r="Q11" t="s">
        <v>125</v>
      </c>
      <c r="R11">
        <v>1</v>
      </c>
      <c r="S11">
        <v>3234</v>
      </c>
      <c r="T11">
        <v>3234</v>
      </c>
      <c r="AB11">
        <v>10</v>
      </c>
      <c r="AC11" t="s">
        <v>129</v>
      </c>
      <c r="AD11">
        <v>1</v>
      </c>
      <c r="AE11">
        <v>2295</v>
      </c>
      <c r="AL11">
        <v>10</v>
      </c>
      <c r="AM11" t="s">
        <v>116</v>
      </c>
      <c r="AN11" s="4">
        <v>0</v>
      </c>
      <c r="AO11" s="4">
        <v>2816</v>
      </c>
      <c r="AP11" s="4"/>
      <c r="AV11">
        <v>10</v>
      </c>
      <c r="AW11" t="s">
        <v>116</v>
      </c>
      <c r="AX11">
        <v>1</v>
      </c>
      <c r="AY11">
        <v>2408</v>
      </c>
      <c r="AZ11">
        <v>2408</v>
      </c>
    </row>
    <row r="12" spans="1:52" x14ac:dyDescent="0.25">
      <c r="D12">
        <v>11</v>
      </c>
      <c r="E12" s="10" t="s">
        <v>138</v>
      </c>
      <c r="F12" s="10">
        <v>0</v>
      </c>
      <c r="G12" s="10">
        <v>0</v>
      </c>
      <c r="P12">
        <v>11</v>
      </c>
      <c r="Q12" t="s">
        <v>105</v>
      </c>
      <c r="R12">
        <v>1</v>
      </c>
      <c r="S12">
        <v>2476</v>
      </c>
      <c r="T12">
        <v>2476</v>
      </c>
      <c r="AB12">
        <v>11</v>
      </c>
      <c r="AC12" t="s">
        <v>144</v>
      </c>
      <c r="AD12">
        <v>1</v>
      </c>
      <c r="AE12">
        <v>1958</v>
      </c>
      <c r="AL12">
        <v>11</v>
      </c>
      <c r="AM12" t="s">
        <v>103</v>
      </c>
      <c r="AN12">
        <v>1</v>
      </c>
      <c r="AO12">
        <v>2695</v>
      </c>
      <c r="AP12">
        <v>2695</v>
      </c>
      <c r="AV12">
        <v>11</v>
      </c>
      <c r="AW12" t="s">
        <v>106</v>
      </c>
      <c r="AX12">
        <v>1</v>
      </c>
      <c r="AY12">
        <v>2608</v>
      </c>
      <c r="AZ12">
        <v>2608</v>
      </c>
    </row>
    <row r="13" spans="1:52" x14ac:dyDescent="0.25">
      <c r="D13">
        <v>12</v>
      </c>
      <c r="E13" s="10" t="s">
        <v>139</v>
      </c>
      <c r="F13" s="10">
        <v>0</v>
      </c>
      <c r="G13" s="10">
        <v>5439</v>
      </c>
      <c r="P13">
        <v>12</v>
      </c>
      <c r="Q13" t="s">
        <v>113</v>
      </c>
      <c r="R13">
        <v>1</v>
      </c>
      <c r="S13">
        <v>3125</v>
      </c>
      <c r="T13">
        <v>3125</v>
      </c>
      <c r="AB13">
        <v>12</v>
      </c>
      <c r="AC13" t="s">
        <v>132</v>
      </c>
      <c r="AD13">
        <v>1</v>
      </c>
      <c r="AE13">
        <v>2579</v>
      </c>
      <c r="AL13">
        <v>12</v>
      </c>
      <c r="AM13" t="s">
        <v>125</v>
      </c>
      <c r="AN13">
        <v>1</v>
      </c>
      <c r="AO13">
        <v>1954</v>
      </c>
      <c r="AP13">
        <v>1954</v>
      </c>
      <c r="AV13">
        <v>12</v>
      </c>
      <c r="AW13" t="s">
        <v>102</v>
      </c>
      <c r="AX13">
        <v>1</v>
      </c>
      <c r="AY13">
        <v>2326</v>
      </c>
      <c r="AZ13">
        <v>2326</v>
      </c>
    </row>
    <row r="14" spans="1:52" x14ac:dyDescent="0.25">
      <c r="D14">
        <v>13</v>
      </c>
      <c r="E14" s="10" t="s">
        <v>140</v>
      </c>
      <c r="F14" s="10">
        <v>0</v>
      </c>
      <c r="G14" s="10">
        <v>5761</v>
      </c>
      <c r="P14">
        <v>13</v>
      </c>
      <c r="Q14" t="s">
        <v>126</v>
      </c>
      <c r="R14">
        <v>1</v>
      </c>
      <c r="S14">
        <v>2903</v>
      </c>
      <c r="T14">
        <v>2903</v>
      </c>
      <c r="AB14">
        <v>13</v>
      </c>
      <c r="AC14" t="s">
        <v>150</v>
      </c>
      <c r="AD14">
        <v>1</v>
      </c>
      <c r="AE14">
        <v>1927</v>
      </c>
      <c r="AL14">
        <v>13</v>
      </c>
      <c r="AM14" t="s">
        <v>122</v>
      </c>
      <c r="AN14">
        <v>1</v>
      </c>
      <c r="AO14">
        <v>2447</v>
      </c>
      <c r="AP14">
        <v>2447</v>
      </c>
      <c r="AV14">
        <v>13</v>
      </c>
      <c r="AW14" t="s">
        <v>111</v>
      </c>
      <c r="AX14">
        <v>1</v>
      </c>
      <c r="AY14">
        <v>2468</v>
      </c>
      <c r="AZ14">
        <v>2468</v>
      </c>
    </row>
    <row r="15" spans="1:52" x14ac:dyDescent="0.25">
      <c r="D15">
        <v>14</v>
      </c>
      <c r="E15" s="10" t="s">
        <v>141</v>
      </c>
      <c r="F15" s="10">
        <v>0</v>
      </c>
      <c r="G15" s="10">
        <v>0</v>
      </c>
      <c r="P15">
        <v>14</v>
      </c>
      <c r="Q15" t="s">
        <v>116</v>
      </c>
      <c r="R15">
        <v>1</v>
      </c>
      <c r="S15">
        <v>3289</v>
      </c>
      <c r="T15">
        <v>3289</v>
      </c>
      <c r="AB15">
        <v>14</v>
      </c>
      <c r="AC15" t="s">
        <v>133</v>
      </c>
      <c r="AD15">
        <v>1</v>
      </c>
      <c r="AE15">
        <v>1800</v>
      </c>
      <c r="AL15">
        <v>14</v>
      </c>
      <c r="AM15" t="s">
        <v>121</v>
      </c>
      <c r="AN15">
        <v>1</v>
      </c>
      <c r="AO15">
        <v>2488</v>
      </c>
      <c r="AP15">
        <v>2488</v>
      </c>
      <c r="AV15">
        <v>14</v>
      </c>
      <c r="AW15" t="s">
        <v>109</v>
      </c>
      <c r="AX15">
        <v>1</v>
      </c>
      <c r="AY15">
        <v>2365</v>
      </c>
      <c r="AZ15">
        <v>2365</v>
      </c>
    </row>
    <row r="16" spans="1:52" x14ac:dyDescent="0.25">
      <c r="D16">
        <v>15</v>
      </c>
      <c r="E16" s="10" t="s">
        <v>142</v>
      </c>
      <c r="F16" s="10">
        <v>0</v>
      </c>
      <c r="G16" s="10">
        <v>7860</v>
      </c>
      <c r="P16">
        <v>15</v>
      </c>
      <c r="Q16" t="s">
        <v>118</v>
      </c>
      <c r="R16">
        <v>1</v>
      </c>
      <c r="S16">
        <v>3527</v>
      </c>
      <c r="T16">
        <v>3527</v>
      </c>
      <c r="AB16">
        <v>15</v>
      </c>
      <c r="AC16" t="s">
        <v>148</v>
      </c>
      <c r="AD16">
        <v>1</v>
      </c>
      <c r="AE16">
        <v>2181</v>
      </c>
      <c r="AL16">
        <v>15</v>
      </c>
      <c r="AM16" t="s">
        <v>108</v>
      </c>
      <c r="AN16">
        <v>1</v>
      </c>
      <c r="AO16">
        <v>2669</v>
      </c>
      <c r="AP16">
        <v>2669</v>
      </c>
      <c r="AV16">
        <v>15</v>
      </c>
      <c r="AW16" t="s">
        <v>104</v>
      </c>
      <c r="AX16">
        <v>1</v>
      </c>
      <c r="AY16">
        <v>3050</v>
      </c>
      <c r="AZ16">
        <v>3050</v>
      </c>
    </row>
    <row r="17" spans="4:52" x14ac:dyDescent="0.25">
      <c r="D17">
        <v>16</v>
      </c>
      <c r="E17" s="10" t="s">
        <v>143</v>
      </c>
      <c r="F17" s="10">
        <v>0</v>
      </c>
      <c r="G17" s="10">
        <v>5204</v>
      </c>
      <c r="P17">
        <v>16</v>
      </c>
      <c r="Q17" t="s">
        <v>106</v>
      </c>
      <c r="R17">
        <v>1</v>
      </c>
      <c r="S17">
        <v>2531</v>
      </c>
      <c r="T17">
        <v>2531</v>
      </c>
      <c r="AB17">
        <v>16</v>
      </c>
      <c r="AC17" t="s">
        <v>131</v>
      </c>
      <c r="AD17">
        <v>1</v>
      </c>
      <c r="AE17">
        <v>2164</v>
      </c>
      <c r="AL17">
        <v>16</v>
      </c>
      <c r="AM17" t="s">
        <v>120</v>
      </c>
      <c r="AN17">
        <v>1</v>
      </c>
      <c r="AO17">
        <v>2168</v>
      </c>
      <c r="AP17">
        <v>2168</v>
      </c>
      <c r="AV17">
        <v>16</v>
      </c>
      <c r="AW17" t="s">
        <v>120</v>
      </c>
      <c r="AX17">
        <v>1</v>
      </c>
      <c r="AY17">
        <v>2414</v>
      </c>
      <c r="AZ17">
        <v>2414</v>
      </c>
    </row>
    <row r="18" spans="4:52" x14ac:dyDescent="0.25">
      <c r="D18">
        <v>17</v>
      </c>
      <c r="E18" s="10" t="s">
        <v>144</v>
      </c>
      <c r="F18" s="10">
        <v>1</v>
      </c>
      <c r="G18" s="10">
        <v>5494</v>
      </c>
      <c r="P18">
        <v>17</v>
      </c>
      <c r="Q18" t="s">
        <v>119</v>
      </c>
      <c r="R18">
        <v>1</v>
      </c>
      <c r="S18">
        <v>2749</v>
      </c>
      <c r="T18">
        <v>2749</v>
      </c>
      <c r="AB18">
        <v>17</v>
      </c>
      <c r="AC18" t="s">
        <v>145</v>
      </c>
      <c r="AD18">
        <v>1</v>
      </c>
      <c r="AE18">
        <v>1757</v>
      </c>
      <c r="AL18">
        <v>17</v>
      </c>
      <c r="AM18" t="s">
        <v>107</v>
      </c>
      <c r="AN18">
        <v>1</v>
      </c>
      <c r="AO18">
        <v>2882</v>
      </c>
      <c r="AP18">
        <v>2882</v>
      </c>
      <c r="AV18">
        <v>17</v>
      </c>
      <c r="AW18" t="s">
        <v>123</v>
      </c>
      <c r="AX18">
        <v>1</v>
      </c>
      <c r="AY18">
        <v>2223</v>
      </c>
      <c r="AZ18">
        <v>2223</v>
      </c>
    </row>
    <row r="19" spans="4:52" x14ac:dyDescent="0.25">
      <c r="D19">
        <v>18</v>
      </c>
      <c r="E19" s="10" t="s">
        <v>145</v>
      </c>
      <c r="F19" s="10">
        <v>0</v>
      </c>
      <c r="G19" s="10">
        <v>6498</v>
      </c>
      <c r="P19">
        <v>18</v>
      </c>
      <c r="Q19" t="s">
        <v>122</v>
      </c>
      <c r="R19" s="4">
        <v>0</v>
      </c>
      <c r="S19" s="4">
        <v>3176</v>
      </c>
      <c r="T19" s="4"/>
      <c r="U19" s="4"/>
      <c r="V19" s="4"/>
      <c r="AB19">
        <v>18</v>
      </c>
      <c r="AC19" t="s">
        <v>139</v>
      </c>
      <c r="AD19">
        <v>1</v>
      </c>
      <c r="AE19">
        <v>2141</v>
      </c>
      <c r="AL19">
        <v>18</v>
      </c>
      <c r="AM19" t="s">
        <v>118</v>
      </c>
      <c r="AN19">
        <v>1</v>
      </c>
      <c r="AO19">
        <v>2757</v>
      </c>
      <c r="AP19">
        <v>2757</v>
      </c>
      <c r="AV19">
        <v>18</v>
      </c>
      <c r="AW19" t="s">
        <v>126</v>
      </c>
      <c r="AX19">
        <v>1</v>
      </c>
      <c r="AY19">
        <v>2606</v>
      </c>
      <c r="AZ19">
        <v>2606</v>
      </c>
    </row>
    <row r="20" spans="4:52" x14ac:dyDescent="0.25">
      <c r="D20">
        <v>19</v>
      </c>
      <c r="E20" s="10" t="s">
        <v>146</v>
      </c>
      <c r="F20" s="10">
        <v>0</v>
      </c>
      <c r="G20" s="10">
        <v>6582</v>
      </c>
      <c r="P20">
        <v>19</v>
      </c>
      <c r="Q20" t="s">
        <v>104</v>
      </c>
      <c r="R20">
        <v>1</v>
      </c>
      <c r="S20">
        <v>4557</v>
      </c>
      <c r="T20">
        <v>4557</v>
      </c>
      <c r="AB20">
        <v>19</v>
      </c>
      <c r="AC20" t="s">
        <v>137</v>
      </c>
      <c r="AD20">
        <v>1</v>
      </c>
      <c r="AE20">
        <v>2548</v>
      </c>
      <c r="AL20">
        <v>19</v>
      </c>
      <c r="AM20" t="s">
        <v>126</v>
      </c>
      <c r="AN20">
        <v>1</v>
      </c>
      <c r="AO20">
        <v>2483</v>
      </c>
      <c r="AP20">
        <v>2483</v>
      </c>
      <c r="AV20">
        <v>19</v>
      </c>
      <c r="AW20" t="s">
        <v>115</v>
      </c>
      <c r="AX20">
        <v>1</v>
      </c>
      <c r="AY20">
        <v>2198</v>
      </c>
      <c r="AZ20">
        <v>2198</v>
      </c>
    </row>
    <row r="21" spans="4:52" x14ac:dyDescent="0.25">
      <c r="D21">
        <v>20</v>
      </c>
      <c r="E21" s="10" t="s">
        <v>147</v>
      </c>
      <c r="F21" s="10">
        <v>1</v>
      </c>
      <c r="G21" s="10">
        <v>6019</v>
      </c>
      <c r="P21">
        <v>20</v>
      </c>
      <c r="Q21" t="s">
        <v>112</v>
      </c>
      <c r="R21">
        <v>1</v>
      </c>
      <c r="S21">
        <v>3013</v>
      </c>
      <c r="T21">
        <v>3013</v>
      </c>
      <c r="AB21">
        <v>20</v>
      </c>
      <c r="AC21" t="s">
        <v>140</v>
      </c>
      <c r="AD21">
        <v>1</v>
      </c>
      <c r="AE21">
        <v>2023</v>
      </c>
      <c r="AL21">
        <v>20</v>
      </c>
      <c r="AM21" t="s">
        <v>124</v>
      </c>
      <c r="AN21">
        <v>1</v>
      </c>
      <c r="AO21">
        <v>2117</v>
      </c>
      <c r="AP21">
        <v>2117</v>
      </c>
      <c r="AV21">
        <v>20</v>
      </c>
      <c r="AW21" t="s">
        <v>108</v>
      </c>
      <c r="AX21">
        <v>1</v>
      </c>
      <c r="AY21">
        <v>2630</v>
      </c>
      <c r="AZ21">
        <v>2630</v>
      </c>
    </row>
    <row r="22" spans="4:52" x14ac:dyDescent="0.25">
      <c r="D22">
        <v>21</v>
      </c>
      <c r="E22" s="10" t="s">
        <v>148</v>
      </c>
      <c r="F22" s="10">
        <v>0</v>
      </c>
      <c r="G22" s="10">
        <v>5993</v>
      </c>
      <c r="P22">
        <v>21</v>
      </c>
      <c r="Q22" t="s">
        <v>124</v>
      </c>
      <c r="R22">
        <v>1</v>
      </c>
      <c r="S22">
        <v>2705</v>
      </c>
      <c r="T22">
        <v>2705</v>
      </c>
      <c r="AB22">
        <v>21</v>
      </c>
      <c r="AC22" t="s">
        <v>138</v>
      </c>
      <c r="AD22">
        <v>1</v>
      </c>
      <c r="AE22">
        <v>2265</v>
      </c>
      <c r="AL22">
        <v>21</v>
      </c>
      <c r="AM22" t="s">
        <v>104</v>
      </c>
      <c r="AN22">
        <v>1</v>
      </c>
      <c r="AO22">
        <v>2617</v>
      </c>
      <c r="AP22">
        <v>2617</v>
      </c>
      <c r="AV22">
        <v>21</v>
      </c>
      <c r="AW22" t="s">
        <v>121</v>
      </c>
      <c r="AX22" s="4">
        <v>0</v>
      </c>
      <c r="AY22" s="4">
        <v>3906</v>
      </c>
      <c r="AZ22" s="4"/>
    </row>
    <row r="23" spans="4:52" x14ac:dyDescent="0.25">
      <c r="D23">
        <v>22</v>
      </c>
      <c r="E23" s="10" t="s">
        <v>149</v>
      </c>
      <c r="F23" s="10">
        <v>0</v>
      </c>
      <c r="G23" s="10">
        <v>5998</v>
      </c>
      <c r="P23">
        <v>22</v>
      </c>
      <c r="Q23" t="s">
        <v>120</v>
      </c>
      <c r="R23">
        <v>1</v>
      </c>
      <c r="S23">
        <v>2072</v>
      </c>
      <c r="T23">
        <v>2072</v>
      </c>
      <c r="AB23">
        <v>22</v>
      </c>
      <c r="AC23" t="s">
        <v>143</v>
      </c>
      <c r="AD23">
        <v>1</v>
      </c>
      <c r="AE23">
        <v>2576</v>
      </c>
      <c r="AL23">
        <v>22</v>
      </c>
      <c r="AM23" t="s">
        <v>112</v>
      </c>
      <c r="AN23">
        <v>1</v>
      </c>
      <c r="AO23">
        <v>2524</v>
      </c>
      <c r="AP23">
        <v>2524</v>
      </c>
      <c r="AV23">
        <v>22</v>
      </c>
      <c r="AW23" t="s">
        <v>110</v>
      </c>
      <c r="AX23">
        <v>1</v>
      </c>
      <c r="AY23">
        <v>3121</v>
      </c>
      <c r="AZ23">
        <v>3121</v>
      </c>
    </row>
    <row r="24" spans="4:52" x14ac:dyDescent="0.25">
      <c r="D24">
        <v>23</v>
      </c>
      <c r="E24" s="10" t="s">
        <v>150</v>
      </c>
      <c r="F24" s="10">
        <v>0</v>
      </c>
      <c r="G24" s="10">
        <v>6456</v>
      </c>
      <c r="P24">
        <v>23</v>
      </c>
      <c r="Q24" t="s">
        <v>117</v>
      </c>
      <c r="R24">
        <v>1</v>
      </c>
      <c r="S24">
        <v>3555</v>
      </c>
      <c r="T24">
        <v>3555</v>
      </c>
      <c r="AB24">
        <v>23</v>
      </c>
      <c r="AC24" t="s">
        <v>153</v>
      </c>
      <c r="AD24">
        <v>1</v>
      </c>
      <c r="AE24">
        <v>2408</v>
      </c>
      <c r="AL24">
        <v>23</v>
      </c>
      <c r="AM24" t="s">
        <v>106</v>
      </c>
      <c r="AN24">
        <v>1</v>
      </c>
      <c r="AO24">
        <v>2686</v>
      </c>
      <c r="AP24">
        <v>2686</v>
      </c>
      <c r="AV24">
        <v>23</v>
      </c>
      <c r="AW24" t="s">
        <v>113</v>
      </c>
      <c r="AX24">
        <v>1</v>
      </c>
      <c r="AY24">
        <v>3058</v>
      </c>
      <c r="AZ24">
        <v>3058</v>
      </c>
    </row>
    <row r="25" spans="4:52" x14ac:dyDescent="0.25">
      <c r="D25">
        <v>24</v>
      </c>
      <c r="E25" s="10" t="s">
        <v>151</v>
      </c>
      <c r="F25" s="10">
        <v>1</v>
      </c>
      <c r="G25" s="10">
        <v>6666</v>
      </c>
      <c r="P25">
        <v>24</v>
      </c>
      <c r="Q25" t="s">
        <v>100</v>
      </c>
      <c r="R25">
        <v>1</v>
      </c>
      <c r="S25">
        <v>2591</v>
      </c>
      <c r="T25">
        <v>2591</v>
      </c>
      <c r="AB25">
        <v>24</v>
      </c>
      <c r="AC25" t="s">
        <v>147</v>
      </c>
      <c r="AD25">
        <v>1</v>
      </c>
      <c r="AE25">
        <v>2190</v>
      </c>
      <c r="AL25">
        <v>24</v>
      </c>
      <c r="AM25" t="s">
        <v>115</v>
      </c>
      <c r="AN25">
        <v>1</v>
      </c>
      <c r="AO25">
        <v>2526</v>
      </c>
      <c r="AP25">
        <v>2526</v>
      </c>
      <c r="AV25">
        <v>24</v>
      </c>
      <c r="AW25" t="s">
        <v>125</v>
      </c>
      <c r="AX25">
        <v>1</v>
      </c>
      <c r="AY25">
        <v>3217</v>
      </c>
      <c r="AZ25">
        <v>3217</v>
      </c>
    </row>
    <row r="26" spans="4:52" x14ac:dyDescent="0.25">
      <c r="D26">
        <v>25</v>
      </c>
      <c r="E26" s="10" t="s">
        <v>152</v>
      </c>
      <c r="F26" s="10">
        <v>1</v>
      </c>
      <c r="G26" s="10">
        <v>7300</v>
      </c>
      <c r="P26">
        <v>25</v>
      </c>
      <c r="Q26" t="s">
        <v>108</v>
      </c>
      <c r="R26">
        <v>1</v>
      </c>
      <c r="S26">
        <v>3793</v>
      </c>
      <c r="T26">
        <v>3793</v>
      </c>
      <c r="AB26">
        <v>25</v>
      </c>
      <c r="AC26" t="s">
        <v>142</v>
      </c>
      <c r="AD26">
        <v>1</v>
      </c>
      <c r="AE26">
        <v>2686</v>
      </c>
      <c r="AL26">
        <v>25</v>
      </c>
      <c r="AM26" t="s">
        <v>111</v>
      </c>
      <c r="AN26">
        <v>1</v>
      </c>
      <c r="AO26">
        <v>1939</v>
      </c>
      <c r="AP26">
        <v>1939</v>
      </c>
      <c r="AV26">
        <v>25</v>
      </c>
      <c r="AW26" t="s">
        <v>124</v>
      </c>
      <c r="AX26">
        <v>1</v>
      </c>
      <c r="AY26">
        <v>4723</v>
      </c>
      <c r="AZ26">
        <v>4723</v>
      </c>
    </row>
    <row r="27" spans="4:52" x14ac:dyDescent="0.25">
      <c r="D27">
        <v>26</v>
      </c>
      <c r="E27" s="10" t="s">
        <v>153</v>
      </c>
      <c r="F27" s="10">
        <v>0</v>
      </c>
      <c r="G27" s="10">
        <v>7520</v>
      </c>
      <c r="P27">
        <v>26</v>
      </c>
      <c r="Q27" t="s">
        <v>114</v>
      </c>
      <c r="R27">
        <v>1</v>
      </c>
      <c r="S27">
        <v>3124</v>
      </c>
      <c r="T27">
        <v>3124</v>
      </c>
      <c r="AB27">
        <v>26</v>
      </c>
      <c r="AC27" t="s">
        <v>128</v>
      </c>
      <c r="AD27">
        <v>1</v>
      </c>
      <c r="AE27">
        <v>3401</v>
      </c>
      <c r="AL27">
        <v>26</v>
      </c>
      <c r="AM27" t="s">
        <v>100</v>
      </c>
      <c r="AN27">
        <v>1</v>
      </c>
      <c r="AO27">
        <v>2607</v>
      </c>
      <c r="AP27">
        <v>2607</v>
      </c>
      <c r="AV27">
        <v>26</v>
      </c>
      <c r="AW27" t="s">
        <v>117</v>
      </c>
      <c r="AX27">
        <v>1</v>
      </c>
      <c r="AY27">
        <v>2343</v>
      </c>
      <c r="AZ27">
        <v>2343</v>
      </c>
    </row>
    <row r="28" spans="4:52" x14ac:dyDescent="0.25">
      <c r="E28" s="10"/>
      <c r="F28" s="10"/>
      <c r="G28" s="10"/>
      <c r="R28" s="5">
        <f>SUM(R2:R27)</f>
        <v>24</v>
      </c>
      <c r="T28">
        <f>SUM(T2:T27)</f>
        <v>73182</v>
      </c>
      <c r="AD28">
        <f>SUM(AD2:AD27)</f>
        <v>26</v>
      </c>
      <c r="AE28">
        <f>SUM(AE2:AE27)</f>
        <v>60313</v>
      </c>
      <c r="AN28">
        <f>SUM(AN2:AN27)</f>
        <v>25</v>
      </c>
      <c r="AP28">
        <f>SUM(AP2:AP27)</f>
        <v>58322</v>
      </c>
      <c r="AQ28">
        <v>25</v>
      </c>
      <c r="AX28">
        <f>SUM(AX2:AX27)</f>
        <v>25</v>
      </c>
      <c r="AZ28">
        <f>SUM(AZ2:AZ27)</f>
        <v>68389</v>
      </c>
    </row>
    <row r="29" spans="4:52" x14ac:dyDescent="0.25">
      <c r="E29" s="10"/>
      <c r="F29" s="10">
        <f>SUM(F2:F28)</f>
        <v>9</v>
      </c>
      <c r="G29" s="10"/>
      <c r="S29" s="5">
        <f>T28/R28</f>
        <v>3049.25</v>
      </c>
      <c r="AP29" s="5">
        <f>AP28/AQ28</f>
        <v>2332.88</v>
      </c>
      <c r="AY29" s="2">
        <f>AZ28/AX28</f>
        <v>2735.56</v>
      </c>
    </row>
    <row r="30" spans="4:52" x14ac:dyDescent="0.25">
      <c r="AE30" s="8">
        <f>AE28/AD28</f>
        <v>2319.7307692307691</v>
      </c>
    </row>
    <row r="33" spans="13:25" x14ac:dyDescent="0.25">
      <c r="N33" t="s">
        <v>644</v>
      </c>
      <c r="O33" t="s">
        <v>293</v>
      </c>
      <c r="P33" t="s">
        <v>314</v>
      </c>
      <c r="Q33" t="s">
        <v>645</v>
      </c>
      <c r="V33" t="s">
        <v>644</v>
      </c>
      <c r="W33" t="s">
        <v>293</v>
      </c>
      <c r="X33" t="s">
        <v>314</v>
      </c>
      <c r="Y33" t="s">
        <v>645</v>
      </c>
    </row>
    <row r="34" spans="13:25" x14ac:dyDescent="0.25">
      <c r="M34" t="s">
        <v>101</v>
      </c>
      <c r="N34">
        <v>24</v>
      </c>
      <c r="O34">
        <v>26</v>
      </c>
      <c r="P34">
        <v>25</v>
      </c>
      <c r="Q34">
        <v>25</v>
      </c>
      <c r="U34" t="s">
        <v>708</v>
      </c>
      <c r="V34">
        <v>3049.25</v>
      </c>
      <c r="W34">
        <v>2319.7307692307691</v>
      </c>
      <c r="X34">
        <v>2332.88</v>
      </c>
      <c r="Y34">
        <v>2735.56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"/>
  <sheetViews>
    <sheetView workbookViewId="0">
      <selection activeCell="M35" sqref="M35"/>
    </sheetView>
  </sheetViews>
  <sheetFormatPr baseColWidth="10" defaultRowHeight="15" x14ac:dyDescent="0.25"/>
  <cols>
    <col min="1" max="1" width="23" customWidth="1"/>
    <col min="6" max="6" width="19.28515625" customWidth="1"/>
    <col min="7" max="7" width="16.85546875" customWidth="1"/>
    <col min="11" max="11" width="27.42578125" customWidth="1"/>
    <col min="16" max="16" width="18.7109375" customWidth="1"/>
    <col min="17" max="17" width="19.5703125" customWidth="1"/>
    <col min="31" max="31" width="16.85546875" customWidth="1"/>
  </cols>
  <sheetData>
    <row r="1" spans="1:38" ht="15.7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3</v>
      </c>
      <c r="G1" s="2" t="s">
        <v>4</v>
      </c>
      <c r="H1" s="2" t="s">
        <v>5</v>
      </c>
      <c r="K1" s="1" t="s">
        <v>97</v>
      </c>
      <c r="L1" s="2" t="s">
        <v>0</v>
      </c>
      <c r="M1" s="2" t="s">
        <v>1</v>
      </c>
      <c r="N1" s="2" t="s">
        <v>2</v>
      </c>
      <c r="O1" s="2" t="s">
        <v>11</v>
      </c>
      <c r="P1" s="2" t="s">
        <v>3</v>
      </c>
      <c r="Q1" s="2" t="s">
        <v>4</v>
      </c>
      <c r="R1" s="2" t="s">
        <v>5</v>
      </c>
      <c r="U1" s="1" t="s">
        <v>97</v>
      </c>
      <c r="V1" s="2" t="s">
        <v>0</v>
      </c>
      <c r="W1" s="2" t="s">
        <v>1</v>
      </c>
      <c r="X1" s="2" t="s">
        <v>2</v>
      </c>
      <c r="Y1" s="2" t="s">
        <v>11</v>
      </c>
      <c r="Z1" s="2" t="s">
        <v>3</v>
      </c>
      <c r="AA1" s="2" t="s">
        <v>4</v>
      </c>
      <c r="AB1" s="2" t="s">
        <v>5</v>
      </c>
      <c r="AE1" s="1" t="s">
        <v>97</v>
      </c>
      <c r="AF1" s="2" t="s">
        <v>0</v>
      </c>
      <c r="AG1" s="2" t="s">
        <v>1</v>
      </c>
      <c r="AH1" s="2" t="s">
        <v>2</v>
      </c>
      <c r="AI1" s="2" t="s">
        <v>11</v>
      </c>
      <c r="AJ1" s="2" t="s">
        <v>3</v>
      </c>
      <c r="AK1" s="2" t="s">
        <v>4</v>
      </c>
      <c r="AL1" s="2" t="s">
        <v>5</v>
      </c>
    </row>
    <row r="2" spans="1:38" x14ac:dyDescent="0.25">
      <c r="A2" s="11" t="s">
        <v>98</v>
      </c>
      <c r="B2">
        <v>2</v>
      </c>
      <c r="C2">
        <v>1</v>
      </c>
      <c r="D2">
        <v>1</v>
      </c>
      <c r="E2" t="s">
        <v>158</v>
      </c>
      <c r="F2">
        <v>1</v>
      </c>
      <c r="G2">
        <v>5072</v>
      </c>
      <c r="H2">
        <v>5072</v>
      </c>
      <c r="K2" s="11" t="s">
        <v>293</v>
      </c>
      <c r="L2">
        <v>2</v>
      </c>
      <c r="M2">
        <v>2</v>
      </c>
      <c r="N2">
        <v>1</v>
      </c>
      <c r="O2" t="s">
        <v>183</v>
      </c>
      <c r="P2">
        <v>1</v>
      </c>
      <c r="Q2">
        <v>2284</v>
      </c>
      <c r="R2">
        <v>2284</v>
      </c>
      <c r="U2" s="11" t="s">
        <v>314</v>
      </c>
      <c r="V2">
        <v>1</v>
      </c>
      <c r="W2">
        <v>3</v>
      </c>
      <c r="X2">
        <v>1</v>
      </c>
      <c r="Y2" t="s">
        <v>369</v>
      </c>
      <c r="Z2">
        <v>1</v>
      </c>
      <c r="AA2">
        <v>1791</v>
      </c>
      <c r="AB2">
        <v>1791</v>
      </c>
      <c r="AE2" s="11" t="s">
        <v>645</v>
      </c>
      <c r="AF2">
        <v>1</v>
      </c>
      <c r="AG2">
        <v>4</v>
      </c>
      <c r="AH2">
        <v>1</v>
      </c>
      <c r="AI2" t="s">
        <v>392</v>
      </c>
      <c r="AJ2">
        <v>1</v>
      </c>
      <c r="AK2">
        <v>1285</v>
      </c>
      <c r="AL2">
        <v>1285</v>
      </c>
    </row>
    <row r="3" spans="1:38" ht="15.75" x14ac:dyDescent="0.25">
      <c r="A3" s="1" t="s">
        <v>127</v>
      </c>
      <c r="D3">
        <v>2</v>
      </c>
      <c r="E3" t="s">
        <v>159</v>
      </c>
      <c r="F3">
        <v>1</v>
      </c>
      <c r="G3">
        <v>3671</v>
      </c>
      <c r="H3">
        <v>3671</v>
      </c>
      <c r="K3" s="1" t="s">
        <v>127</v>
      </c>
      <c r="N3">
        <v>2</v>
      </c>
      <c r="O3" t="s">
        <v>180</v>
      </c>
      <c r="P3">
        <v>1</v>
      </c>
      <c r="Q3">
        <v>1995</v>
      </c>
      <c r="R3">
        <v>1995</v>
      </c>
      <c r="U3" s="1" t="s">
        <v>127</v>
      </c>
      <c r="X3">
        <v>2</v>
      </c>
      <c r="Y3" t="s">
        <v>370</v>
      </c>
      <c r="Z3">
        <v>1</v>
      </c>
      <c r="AA3">
        <v>2921</v>
      </c>
      <c r="AB3">
        <v>2921</v>
      </c>
      <c r="AE3" s="1" t="s">
        <v>127</v>
      </c>
      <c r="AH3">
        <v>2</v>
      </c>
      <c r="AI3" t="s">
        <v>385</v>
      </c>
      <c r="AJ3">
        <v>1</v>
      </c>
      <c r="AK3">
        <v>1402</v>
      </c>
      <c r="AL3">
        <v>1402</v>
      </c>
    </row>
    <row r="4" spans="1:38" x14ac:dyDescent="0.25">
      <c r="A4" t="s">
        <v>99</v>
      </c>
      <c r="D4">
        <v>3</v>
      </c>
      <c r="E4" t="s">
        <v>160</v>
      </c>
      <c r="F4">
        <v>1</v>
      </c>
      <c r="G4">
        <v>3372</v>
      </c>
      <c r="H4">
        <v>3372</v>
      </c>
      <c r="K4" t="s">
        <v>290</v>
      </c>
      <c r="N4">
        <v>3</v>
      </c>
      <c r="O4" t="s">
        <v>182</v>
      </c>
      <c r="P4">
        <v>1</v>
      </c>
      <c r="Q4">
        <v>2144</v>
      </c>
      <c r="R4">
        <v>2144</v>
      </c>
      <c r="U4" t="s">
        <v>330</v>
      </c>
      <c r="X4">
        <v>3</v>
      </c>
      <c r="Y4" t="s">
        <v>371</v>
      </c>
      <c r="Z4">
        <v>1</v>
      </c>
      <c r="AA4">
        <v>2107</v>
      </c>
      <c r="AB4">
        <v>2107</v>
      </c>
      <c r="AE4" t="s">
        <v>655</v>
      </c>
      <c r="AH4">
        <v>3</v>
      </c>
      <c r="AI4" t="s">
        <v>391</v>
      </c>
      <c r="AJ4">
        <v>1</v>
      </c>
      <c r="AK4">
        <v>2636</v>
      </c>
      <c r="AL4">
        <v>2636</v>
      </c>
    </row>
    <row r="5" spans="1:38" x14ac:dyDescent="0.25">
      <c r="D5">
        <v>4</v>
      </c>
      <c r="E5" t="s">
        <v>161</v>
      </c>
      <c r="F5">
        <v>1</v>
      </c>
      <c r="G5">
        <v>4387</v>
      </c>
      <c r="H5">
        <v>4387</v>
      </c>
      <c r="K5" t="s">
        <v>295</v>
      </c>
      <c r="N5">
        <v>4</v>
      </c>
      <c r="O5" t="s">
        <v>181</v>
      </c>
      <c r="P5">
        <v>1</v>
      </c>
      <c r="Q5">
        <v>2300</v>
      </c>
      <c r="R5">
        <v>2300</v>
      </c>
      <c r="U5" t="s">
        <v>395</v>
      </c>
      <c r="X5">
        <v>4</v>
      </c>
      <c r="Y5" t="s">
        <v>372</v>
      </c>
      <c r="Z5">
        <v>1</v>
      </c>
      <c r="AA5">
        <v>2062</v>
      </c>
      <c r="AB5">
        <v>2062</v>
      </c>
      <c r="AE5" t="s">
        <v>395</v>
      </c>
      <c r="AH5">
        <v>4</v>
      </c>
      <c r="AI5" t="s">
        <v>370</v>
      </c>
      <c r="AJ5">
        <v>1</v>
      </c>
      <c r="AK5">
        <v>3213</v>
      </c>
      <c r="AL5">
        <v>3213</v>
      </c>
    </row>
    <row r="6" spans="1:38" x14ac:dyDescent="0.25">
      <c r="D6">
        <v>5</v>
      </c>
      <c r="E6" t="s">
        <v>162</v>
      </c>
      <c r="F6">
        <v>1</v>
      </c>
      <c r="G6">
        <v>4120</v>
      </c>
      <c r="H6">
        <v>4120</v>
      </c>
      <c r="N6">
        <v>5</v>
      </c>
      <c r="O6" t="s">
        <v>161</v>
      </c>
      <c r="P6">
        <v>1</v>
      </c>
      <c r="Q6">
        <v>1932</v>
      </c>
      <c r="R6">
        <v>1932</v>
      </c>
      <c r="X6">
        <v>5</v>
      </c>
      <c r="Y6" t="s">
        <v>373</v>
      </c>
      <c r="Z6">
        <v>1</v>
      </c>
      <c r="AA6">
        <v>1943</v>
      </c>
      <c r="AB6">
        <v>1943</v>
      </c>
      <c r="AH6">
        <v>5</v>
      </c>
      <c r="AI6" t="s">
        <v>389</v>
      </c>
      <c r="AJ6">
        <v>1</v>
      </c>
      <c r="AK6">
        <v>1742</v>
      </c>
      <c r="AL6">
        <v>1742</v>
      </c>
    </row>
    <row r="7" spans="1:38" x14ac:dyDescent="0.25">
      <c r="D7">
        <v>6</v>
      </c>
      <c r="E7" t="s">
        <v>163</v>
      </c>
      <c r="F7">
        <v>1</v>
      </c>
      <c r="G7">
        <v>4151</v>
      </c>
      <c r="H7">
        <v>4151</v>
      </c>
      <c r="N7">
        <v>6</v>
      </c>
      <c r="O7" t="s">
        <v>166</v>
      </c>
      <c r="P7">
        <v>1</v>
      </c>
      <c r="Q7">
        <v>1431</v>
      </c>
      <c r="R7">
        <v>1431</v>
      </c>
      <c r="X7">
        <v>6</v>
      </c>
      <c r="Y7" t="s">
        <v>374</v>
      </c>
      <c r="Z7">
        <v>1</v>
      </c>
      <c r="AA7">
        <v>1767</v>
      </c>
      <c r="AB7">
        <v>1767</v>
      </c>
      <c r="AH7">
        <v>6</v>
      </c>
      <c r="AI7" t="s">
        <v>381</v>
      </c>
      <c r="AJ7">
        <v>1</v>
      </c>
      <c r="AK7">
        <v>2688</v>
      </c>
      <c r="AL7">
        <v>2688</v>
      </c>
    </row>
    <row r="8" spans="1:38" x14ac:dyDescent="0.25">
      <c r="D8">
        <v>7</v>
      </c>
      <c r="E8" t="s">
        <v>164</v>
      </c>
      <c r="F8">
        <v>1</v>
      </c>
      <c r="G8">
        <v>5038</v>
      </c>
      <c r="H8">
        <v>5038</v>
      </c>
      <c r="N8">
        <v>7</v>
      </c>
      <c r="O8" t="s">
        <v>168</v>
      </c>
      <c r="P8">
        <v>1</v>
      </c>
      <c r="Q8">
        <v>1601</v>
      </c>
      <c r="R8">
        <v>1601</v>
      </c>
      <c r="X8">
        <v>7</v>
      </c>
      <c r="Y8" t="s">
        <v>375</v>
      </c>
      <c r="Z8">
        <v>1</v>
      </c>
      <c r="AA8">
        <v>3258</v>
      </c>
      <c r="AB8">
        <v>3258</v>
      </c>
      <c r="AH8">
        <v>7</v>
      </c>
      <c r="AI8" t="s">
        <v>388</v>
      </c>
      <c r="AJ8">
        <v>1</v>
      </c>
      <c r="AK8">
        <v>4620</v>
      </c>
      <c r="AL8">
        <v>4620</v>
      </c>
    </row>
    <row r="9" spans="1:38" x14ac:dyDescent="0.25">
      <c r="D9">
        <v>8</v>
      </c>
      <c r="E9" t="s">
        <v>165</v>
      </c>
      <c r="F9">
        <v>1</v>
      </c>
      <c r="G9">
        <v>2625</v>
      </c>
      <c r="H9">
        <v>2625</v>
      </c>
      <c r="N9">
        <v>8</v>
      </c>
      <c r="O9" t="s">
        <v>171</v>
      </c>
      <c r="P9">
        <v>1</v>
      </c>
      <c r="Q9">
        <v>1995</v>
      </c>
      <c r="R9">
        <v>1995</v>
      </c>
      <c r="X9">
        <v>8</v>
      </c>
      <c r="Y9" t="s">
        <v>376</v>
      </c>
      <c r="Z9">
        <v>1</v>
      </c>
      <c r="AA9">
        <v>1175</v>
      </c>
      <c r="AB9">
        <v>1175</v>
      </c>
      <c r="AH9">
        <v>8</v>
      </c>
      <c r="AI9" t="s">
        <v>369</v>
      </c>
      <c r="AJ9">
        <v>1</v>
      </c>
      <c r="AK9">
        <v>2857</v>
      </c>
      <c r="AL9">
        <v>2857</v>
      </c>
    </row>
    <row r="10" spans="1:38" x14ac:dyDescent="0.25">
      <c r="D10">
        <v>9</v>
      </c>
      <c r="E10" t="s">
        <v>166</v>
      </c>
      <c r="F10">
        <v>1</v>
      </c>
      <c r="G10">
        <v>2376</v>
      </c>
      <c r="H10">
        <v>2376</v>
      </c>
      <c r="N10">
        <v>9</v>
      </c>
      <c r="O10" t="s">
        <v>175</v>
      </c>
      <c r="P10">
        <v>1</v>
      </c>
      <c r="Q10">
        <v>2441</v>
      </c>
      <c r="R10">
        <v>2441</v>
      </c>
      <c r="X10">
        <v>9</v>
      </c>
      <c r="Y10" t="s">
        <v>377</v>
      </c>
      <c r="Z10">
        <v>1</v>
      </c>
      <c r="AA10">
        <v>2749</v>
      </c>
      <c r="AB10">
        <v>2749</v>
      </c>
      <c r="AH10">
        <v>9</v>
      </c>
      <c r="AI10" t="s">
        <v>371</v>
      </c>
      <c r="AJ10">
        <v>1</v>
      </c>
      <c r="AK10">
        <v>1969</v>
      </c>
      <c r="AL10">
        <v>1969</v>
      </c>
    </row>
    <row r="11" spans="1:38" x14ac:dyDescent="0.25">
      <c r="D11">
        <v>10</v>
      </c>
      <c r="E11" t="s">
        <v>167</v>
      </c>
      <c r="F11">
        <v>1</v>
      </c>
      <c r="G11">
        <v>3516</v>
      </c>
      <c r="H11">
        <v>3516</v>
      </c>
      <c r="N11">
        <v>10</v>
      </c>
      <c r="O11" t="s">
        <v>162</v>
      </c>
      <c r="P11">
        <v>1</v>
      </c>
      <c r="Q11">
        <v>4763</v>
      </c>
      <c r="R11">
        <v>4763</v>
      </c>
      <c r="X11">
        <v>10</v>
      </c>
      <c r="Y11" t="s">
        <v>378</v>
      </c>
      <c r="Z11" s="4">
        <v>0</v>
      </c>
      <c r="AA11" s="4">
        <v>2290</v>
      </c>
      <c r="AB11" s="4"/>
      <c r="AH11">
        <v>10</v>
      </c>
      <c r="AI11" t="s">
        <v>376</v>
      </c>
      <c r="AJ11">
        <v>1</v>
      </c>
      <c r="AK11">
        <v>2278</v>
      </c>
      <c r="AL11">
        <v>2278</v>
      </c>
    </row>
    <row r="12" spans="1:38" x14ac:dyDescent="0.25">
      <c r="D12">
        <v>11</v>
      </c>
      <c r="E12" t="s">
        <v>168</v>
      </c>
      <c r="F12">
        <v>1</v>
      </c>
      <c r="G12">
        <v>2634</v>
      </c>
      <c r="H12">
        <v>2634</v>
      </c>
      <c r="N12">
        <v>11</v>
      </c>
      <c r="O12" t="s">
        <v>158</v>
      </c>
      <c r="P12">
        <v>1</v>
      </c>
      <c r="Q12">
        <v>1727</v>
      </c>
      <c r="R12">
        <v>1727</v>
      </c>
      <c r="X12">
        <v>11</v>
      </c>
      <c r="Y12" t="s">
        <v>379</v>
      </c>
      <c r="Z12" s="4">
        <v>0</v>
      </c>
      <c r="AA12" s="4">
        <v>2733</v>
      </c>
      <c r="AB12" s="4"/>
      <c r="AH12">
        <v>11</v>
      </c>
      <c r="AI12" t="s">
        <v>386</v>
      </c>
      <c r="AJ12">
        <v>1</v>
      </c>
      <c r="AK12">
        <v>1880</v>
      </c>
      <c r="AL12">
        <v>1880</v>
      </c>
    </row>
    <row r="13" spans="1:38" x14ac:dyDescent="0.25">
      <c r="D13">
        <v>12</v>
      </c>
      <c r="E13" t="s">
        <v>169</v>
      </c>
      <c r="F13">
        <v>1</v>
      </c>
      <c r="G13">
        <v>1839</v>
      </c>
      <c r="H13">
        <v>1839</v>
      </c>
      <c r="N13">
        <v>12</v>
      </c>
      <c r="O13" t="s">
        <v>159</v>
      </c>
      <c r="P13">
        <v>1</v>
      </c>
      <c r="Q13">
        <v>3174</v>
      </c>
      <c r="R13">
        <v>3174</v>
      </c>
      <c r="X13">
        <v>12</v>
      </c>
      <c r="Y13" t="s">
        <v>380</v>
      </c>
      <c r="Z13">
        <v>1</v>
      </c>
      <c r="AA13">
        <v>2400</v>
      </c>
      <c r="AB13">
        <v>2400</v>
      </c>
      <c r="AH13">
        <v>12</v>
      </c>
      <c r="AI13" t="s">
        <v>375</v>
      </c>
      <c r="AJ13" s="4">
        <v>0</v>
      </c>
      <c r="AK13" s="4">
        <v>2474</v>
      </c>
      <c r="AL13" s="4"/>
    </row>
    <row r="14" spans="1:38" x14ac:dyDescent="0.25">
      <c r="D14">
        <v>13</v>
      </c>
      <c r="E14" t="s">
        <v>170</v>
      </c>
      <c r="F14">
        <v>1</v>
      </c>
      <c r="G14">
        <v>2655</v>
      </c>
      <c r="H14">
        <v>2655</v>
      </c>
      <c r="N14">
        <v>13</v>
      </c>
      <c r="O14" t="s">
        <v>178</v>
      </c>
      <c r="P14">
        <v>1</v>
      </c>
      <c r="Q14">
        <v>1612</v>
      </c>
      <c r="R14">
        <v>1612</v>
      </c>
      <c r="X14">
        <v>13</v>
      </c>
      <c r="Y14" t="s">
        <v>381</v>
      </c>
      <c r="Z14">
        <v>1</v>
      </c>
      <c r="AA14">
        <v>2805</v>
      </c>
      <c r="AB14">
        <v>2805</v>
      </c>
      <c r="AH14">
        <v>13</v>
      </c>
      <c r="AI14" t="s">
        <v>384</v>
      </c>
      <c r="AJ14">
        <v>1</v>
      </c>
      <c r="AK14">
        <v>2048</v>
      </c>
      <c r="AL14">
        <v>2048</v>
      </c>
    </row>
    <row r="15" spans="1:38" x14ac:dyDescent="0.25">
      <c r="D15">
        <v>14</v>
      </c>
      <c r="E15" t="s">
        <v>171</v>
      </c>
      <c r="F15">
        <v>1</v>
      </c>
      <c r="G15">
        <v>2248</v>
      </c>
      <c r="H15">
        <v>2248</v>
      </c>
      <c r="N15">
        <v>14</v>
      </c>
      <c r="O15" t="s">
        <v>173</v>
      </c>
      <c r="P15">
        <v>1</v>
      </c>
      <c r="Q15">
        <v>1833</v>
      </c>
      <c r="R15">
        <v>1833</v>
      </c>
      <c r="X15">
        <v>14</v>
      </c>
      <c r="Y15" t="s">
        <v>382</v>
      </c>
      <c r="Z15">
        <v>1</v>
      </c>
      <c r="AA15">
        <v>891</v>
      </c>
      <c r="AB15">
        <v>891</v>
      </c>
      <c r="AH15">
        <v>14</v>
      </c>
      <c r="AI15" t="s">
        <v>372</v>
      </c>
      <c r="AJ15">
        <v>1</v>
      </c>
      <c r="AK15">
        <v>1384</v>
      </c>
      <c r="AL15">
        <v>1384</v>
      </c>
    </row>
    <row r="16" spans="1:38" x14ac:dyDescent="0.25">
      <c r="D16">
        <v>15</v>
      </c>
      <c r="E16" t="s">
        <v>172</v>
      </c>
      <c r="F16" s="4">
        <v>0</v>
      </c>
      <c r="G16" s="4">
        <v>0</v>
      </c>
      <c r="H16" s="4"/>
      <c r="N16">
        <v>15</v>
      </c>
      <c r="O16" t="s">
        <v>172</v>
      </c>
      <c r="P16">
        <v>1</v>
      </c>
      <c r="Q16">
        <v>2866</v>
      </c>
      <c r="R16">
        <v>2866</v>
      </c>
      <c r="X16">
        <v>15</v>
      </c>
      <c r="Y16" t="s">
        <v>383</v>
      </c>
      <c r="Z16">
        <v>1</v>
      </c>
      <c r="AA16">
        <v>5213</v>
      </c>
      <c r="AB16">
        <v>5213</v>
      </c>
      <c r="AH16">
        <v>15</v>
      </c>
      <c r="AI16" t="s">
        <v>377</v>
      </c>
      <c r="AJ16">
        <v>1</v>
      </c>
      <c r="AK16">
        <v>2711</v>
      </c>
      <c r="AL16">
        <v>2711</v>
      </c>
    </row>
    <row r="17" spans="4:38" x14ac:dyDescent="0.25">
      <c r="D17">
        <v>16</v>
      </c>
      <c r="E17" t="s">
        <v>173</v>
      </c>
      <c r="F17">
        <v>1</v>
      </c>
      <c r="G17">
        <v>1857</v>
      </c>
      <c r="H17">
        <v>1857</v>
      </c>
      <c r="N17">
        <v>16</v>
      </c>
      <c r="O17" t="s">
        <v>164</v>
      </c>
      <c r="P17">
        <v>1</v>
      </c>
      <c r="Q17">
        <v>2571</v>
      </c>
      <c r="R17">
        <v>2571</v>
      </c>
      <c r="X17">
        <v>16</v>
      </c>
      <c r="Y17" t="s">
        <v>384</v>
      </c>
      <c r="Z17">
        <v>1</v>
      </c>
      <c r="AA17">
        <v>2024</v>
      </c>
      <c r="AB17">
        <v>2024</v>
      </c>
      <c r="AH17">
        <v>16</v>
      </c>
      <c r="AI17" t="s">
        <v>373</v>
      </c>
      <c r="AJ17">
        <v>1</v>
      </c>
      <c r="AK17">
        <v>2192</v>
      </c>
      <c r="AL17">
        <v>2192</v>
      </c>
    </row>
    <row r="18" spans="4:38" x14ac:dyDescent="0.25">
      <c r="D18">
        <v>17</v>
      </c>
      <c r="E18" t="s">
        <v>174</v>
      </c>
      <c r="F18">
        <v>1</v>
      </c>
      <c r="G18">
        <v>2781</v>
      </c>
      <c r="H18">
        <v>2781</v>
      </c>
      <c r="N18">
        <v>17</v>
      </c>
      <c r="O18" t="s">
        <v>169</v>
      </c>
      <c r="P18">
        <v>1</v>
      </c>
      <c r="Q18">
        <v>2216</v>
      </c>
      <c r="R18">
        <v>2216</v>
      </c>
      <c r="X18">
        <v>17</v>
      </c>
      <c r="Y18" t="s">
        <v>385</v>
      </c>
      <c r="Z18">
        <v>1</v>
      </c>
      <c r="AA18">
        <v>1750</v>
      </c>
      <c r="AB18">
        <v>1750</v>
      </c>
      <c r="AH18">
        <v>17</v>
      </c>
      <c r="AI18" t="s">
        <v>390</v>
      </c>
      <c r="AJ18">
        <v>1</v>
      </c>
      <c r="AK18">
        <v>1955</v>
      </c>
      <c r="AL18">
        <v>1955</v>
      </c>
    </row>
    <row r="19" spans="4:38" x14ac:dyDescent="0.25">
      <c r="D19">
        <v>18</v>
      </c>
      <c r="E19" t="s">
        <v>175</v>
      </c>
      <c r="F19">
        <v>1</v>
      </c>
      <c r="G19">
        <v>2054</v>
      </c>
      <c r="H19">
        <v>2054</v>
      </c>
      <c r="N19">
        <v>18</v>
      </c>
      <c r="O19" t="s">
        <v>174</v>
      </c>
      <c r="P19">
        <v>1</v>
      </c>
      <c r="Q19">
        <v>2060</v>
      </c>
      <c r="R19">
        <v>2060</v>
      </c>
      <c r="X19">
        <v>18</v>
      </c>
      <c r="Y19" t="s">
        <v>386</v>
      </c>
      <c r="Z19">
        <v>1</v>
      </c>
      <c r="AA19">
        <v>1542</v>
      </c>
      <c r="AB19">
        <v>1542</v>
      </c>
      <c r="AH19">
        <v>18</v>
      </c>
      <c r="AI19" t="s">
        <v>380</v>
      </c>
      <c r="AJ19">
        <v>1</v>
      </c>
      <c r="AK19">
        <v>2482</v>
      </c>
      <c r="AL19">
        <v>2482</v>
      </c>
    </row>
    <row r="20" spans="4:38" x14ac:dyDescent="0.25">
      <c r="D20">
        <v>19</v>
      </c>
      <c r="E20" t="s">
        <v>176</v>
      </c>
      <c r="F20">
        <v>1</v>
      </c>
      <c r="G20">
        <v>3230</v>
      </c>
      <c r="H20">
        <v>3230</v>
      </c>
      <c r="N20">
        <v>19</v>
      </c>
      <c r="O20" t="s">
        <v>167</v>
      </c>
      <c r="P20">
        <v>1</v>
      </c>
      <c r="Q20">
        <v>2565</v>
      </c>
      <c r="R20">
        <v>2565</v>
      </c>
      <c r="X20">
        <v>19</v>
      </c>
      <c r="Y20" t="s">
        <v>387</v>
      </c>
      <c r="Z20">
        <v>1</v>
      </c>
      <c r="AA20">
        <v>988</v>
      </c>
      <c r="AB20">
        <v>988</v>
      </c>
      <c r="AH20">
        <v>19</v>
      </c>
      <c r="AI20" t="s">
        <v>379</v>
      </c>
      <c r="AJ20">
        <v>1</v>
      </c>
      <c r="AK20">
        <v>2695</v>
      </c>
      <c r="AL20">
        <v>2695</v>
      </c>
    </row>
    <row r="21" spans="4:38" x14ac:dyDescent="0.25">
      <c r="D21">
        <v>20</v>
      </c>
      <c r="E21" t="s">
        <v>177</v>
      </c>
      <c r="F21">
        <v>1</v>
      </c>
      <c r="G21">
        <v>2054</v>
      </c>
      <c r="H21">
        <v>2054</v>
      </c>
      <c r="N21">
        <v>20</v>
      </c>
      <c r="O21" t="s">
        <v>179</v>
      </c>
      <c r="P21" s="4">
        <v>0</v>
      </c>
      <c r="Q21" s="4">
        <v>4129</v>
      </c>
      <c r="R21" s="4"/>
      <c r="X21">
        <v>20</v>
      </c>
      <c r="Y21" t="s">
        <v>388</v>
      </c>
      <c r="Z21">
        <v>1</v>
      </c>
      <c r="AA21">
        <v>859</v>
      </c>
      <c r="AB21">
        <v>859</v>
      </c>
      <c r="AH21">
        <v>20</v>
      </c>
      <c r="AI21" t="s">
        <v>374</v>
      </c>
      <c r="AJ21">
        <v>1</v>
      </c>
      <c r="AK21">
        <v>2067</v>
      </c>
      <c r="AL21">
        <v>2067</v>
      </c>
    </row>
    <row r="22" spans="4:38" x14ac:dyDescent="0.25">
      <c r="D22">
        <v>21</v>
      </c>
      <c r="E22" t="s">
        <v>178</v>
      </c>
      <c r="F22">
        <v>1</v>
      </c>
      <c r="G22">
        <v>2481</v>
      </c>
      <c r="H22">
        <v>2481</v>
      </c>
      <c r="N22">
        <v>21</v>
      </c>
      <c r="O22" t="s">
        <v>177</v>
      </c>
      <c r="P22">
        <v>1</v>
      </c>
      <c r="Q22">
        <v>1180</v>
      </c>
      <c r="R22">
        <v>1180</v>
      </c>
      <c r="X22">
        <v>21</v>
      </c>
      <c r="Y22" t="s">
        <v>389</v>
      </c>
      <c r="Z22">
        <v>1</v>
      </c>
      <c r="AA22">
        <v>3030</v>
      </c>
      <c r="AB22">
        <v>3030</v>
      </c>
      <c r="AH22">
        <v>21</v>
      </c>
      <c r="AI22" t="s">
        <v>378</v>
      </c>
      <c r="AJ22">
        <v>1</v>
      </c>
      <c r="AK22">
        <v>2680</v>
      </c>
      <c r="AL22">
        <v>2680</v>
      </c>
    </row>
    <row r="23" spans="4:38" x14ac:dyDescent="0.25">
      <c r="D23">
        <v>22</v>
      </c>
      <c r="E23" t="s">
        <v>179</v>
      </c>
      <c r="F23" s="4">
        <v>0</v>
      </c>
      <c r="G23" s="4">
        <v>6875</v>
      </c>
      <c r="H23" s="4"/>
      <c r="N23">
        <v>22</v>
      </c>
      <c r="O23" t="s">
        <v>176</v>
      </c>
      <c r="P23">
        <v>1</v>
      </c>
      <c r="Q23">
        <v>3441</v>
      </c>
      <c r="R23">
        <v>3441</v>
      </c>
      <c r="X23">
        <v>22</v>
      </c>
      <c r="Y23" t="s">
        <v>390</v>
      </c>
      <c r="Z23">
        <v>1</v>
      </c>
      <c r="AA23">
        <v>1524</v>
      </c>
      <c r="AB23">
        <v>1524</v>
      </c>
      <c r="AH23">
        <v>22</v>
      </c>
      <c r="AI23" t="s">
        <v>393</v>
      </c>
      <c r="AJ23">
        <v>1</v>
      </c>
      <c r="AK23">
        <v>3006</v>
      </c>
      <c r="AL23">
        <v>3006</v>
      </c>
    </row>
    <row r="24" spans="4:38" x14ac:dyDescent="0.25">
      <c r="D24">
        <v>23</v>
      </c>
      <c r="E24" t="s">
        <v>180</v>
      </c>
      <c r="F24">
        <v>1</v>
      </c>
      <c r="G24">
        <v>1630</v>
      </c>
      <c r="H24">
        <v>1630</v>
      </c>
      <c r="N24">
        <v>23</v>
      </c>
      <c r="O24" t="s">
        <v>163</v>
      </c>
      <c r="P24">
        <v>1</v>
      </c>
      <c r="Q24">
        <v>2689</v>
      </c>
      <c r="R24">
        <v>2689</v>
      </c>
      <c r="X24">
        <v>23</v>
      </c>
      <c r="Y24" t="s">
        <v>391</v>
      </c>
      <c r="Z24">
        <v>1</v>
      </c>
      <c r="AA24">
        <v>1939</v>
      </c>
      <c r="AB24">
        <v>1939</v>
      </c>
      <c r="AH24">
        <v>23</v>
      </c>
      <c r="AI24" t="s">
        <v>382</v>
      </c>
      <c r="AJ24">
        <v>1</v>
      </c>
      <c r="AK24">
        <v>1829</v>
      </c>
      <c r="AL24">
        <v>1829</v>
      </c>
    </row>
    <row r="25" spans="4:38" x14ac:dyDescent="0.25">
      <c r="D25">
        <v>24</v>
      </c>
      <c r="E25" t="s">
        <v>181</v>
      </c>
      <c r="F25">
        <v>1</v>
      </c>
      <c r="G25">
        <v>2271</v>
      </c>
      <c r="H25">
        <v>2271</v>
      </c>
      <c r="N25">
        <v>24</v>
      </c>
      <c r="O25" t="s">
        <v>170</v>
      </c>
      <c r="P25">
        <v>1</v>
      </c>
      <c r="Q25">
        <v>1345</v>
      </c>
      <c r="R25">
        <v>1345</v>
      </c>
      <c r="X25">
        <v>24</v>
      </c>
      <c r="Y25" t="s">
        <v>392</v>
      </c>
      <c r="Z25">
        <v>1</v>
      </c>
      <c r="AA25">
        <v>1609</v>
      </c>
      <c r="AB25">
        <v>1609</v>
      </c>
      <c r="AH25">
        <v>24</v>
      </c>
      <c r="AI25" t="s">
        <v>383</v>
      </c>
      <c r="AJ25">
        <v>1</v>
      </c>
      <c r="AK25">
        <v>4892</v>
      </c>
      <c r="AL25">
        <v>4892</v>
      </c>
    </row>
    <row r="26" spans="4:38" x14ac:dyDescent="0.25">
      <c r="D26">
        <v>25</v>
      </c>
      <c r="E26" t="s">
        <v>182</v>
      </c>
      <c r="F26">
        <v>1</v>
      </c>
      <c r="G26">
        <v>1811</v>
      </c>
      <c r="H26">
        <v>1811</v>
      </c>
      <c r="N26">
        <v>25</v>
      </c>
      <c r="O26" t="s">
        <v>160</v>
      </c>
      <c r="P26">
        <v>1</v>
      </c>
      <c r="Q26">
        <v>1473</v>
      </c>
      <c r="R26">
        <v>1473</v>
      </c>
      <c r="X26">
        <v>25</v>
      </c>
      <c r="Y26" t="s">
        <v>393</v>
      </c>
      <c r="Z26">
        <v>1</v>
      </c>
      <c r="AA26">
        <v>7508</v>
      </c>
      <c r="AB26">
        <v>7508</v>
      </c>
      <c r="AH26">
        <v>25</v>
      </c>
      <c r="AI26" t="s">
        <v>394</v>
      </c>
      <c r="AJ26">
        <v>1</v>
      </c>
      <c r="AK26">
        <v>2269</v>
      </c>
      <c r="AL26">
        <v>2269</v>
      </c>
    </row>
    <row r="27" spans="4:38" x14ac:dyDescent="0.25">
      <c r="D27">
        <v>26</v>
      </c>
      <c r="E27" t="s">
        <v>183</v>
      </c>
      <c r="F27">
        <v>1</v>
      </c>
      <c r="G27">
        <v>4282</v>
      </c>
      <c r="H27">
        <v>4282</v>
      </c>
      <c r="N27">
        <v>26</v>
      </c>
      <c r="O27" t="s">
        <v>165</v>
      </c>
      <c r="P27">
        <v>1</v>
      </c>
      <c r="Q27">
        <v>1314</v>
      </c>
      <c r="R27">
        <v>1314</v>
      </c>
      <c r="X27">
        <v>26</v>
      </c>
      <c r="Y27" t="s">
        <v>394</v>
      </c>
      <c r="Z27">
        <v>1</v>
      </c>
      <c r="AA27">
        <v>2395</v>
      </c>
      <c r="AB27">
        <v>2395</v>
      </c>
      <c r="AH27">
        <v>26</v>
      </c>
      <c r="AI27" t="s">
        <v>387</v>
      </c>
      <c r="AJ27">
        <v>1</v>
      </c>
      <c r="AK27">
        <v>1247</v>
      </c>
      <c r="AL27">
        <v>1247</v>
      </c>
    </row>
    <row r="28" spans="4:38" x14ac:dyDescent="0.25">
      <c r="AB28">
        <f>SUM(AB2:AB27)</f>
        <v>56250</v>
      </c>
      <c r="AC28">
        <v>24</v>
      </c>
    </row>
    <row r="29" spans="4:38" x14ac:dyDescent="0.25">
      <c r="F29">
        <f>SUM(F2:F28)</f>
        <v>24</v>
      </c>
      <c r="H29">
        <f>SUM(H2:H28)</f>
        <v>72155</v>
      </c>
      <c r="P29">
        <f>SUM(P2:P28)</f>
        <v>25</v>
      </c>
      <c r="R29">
        <f>SUM(R2:R28)</f>
        <v>54952</v>
      </c>
      <c r="Z29">
        <f>SUM(Z2:Z28)</f>
        <v>24</v>
      </c>
      <c r="AB29" s="8">
        <f>AB28/AC28</f>
        <v>2343.75</v>
      </c>
      <c r="AJ29">
        <f>SUM(AJ2:AJ28)</f>
        <v>25</v>
      </c>
      <c r="AL29">
        <f>SUM(AL2:AL28)</f>
        <v>60027</v>
      </c>
    </row>
    <row r="30" spans="4:38" x14ac:dyDescent="0.25">
      <c r="Q30" s="8">
        <f>R29/P29</f>
        <v>2198.08</v>
      </c>
      <c r="AK30" s="2">
        <f>AL29/AJ29</f>
        <v>2401.08</v>
      </c>
    </row>
    <row r="31" spans="4:38" x14ac:dyDescent="0.25">
      <c r="G31" s="8">
        <f>H29/F29</f>
        <v>3006.4583333333335</v>
      </c>
    </row>
    <row r="34" spans="3:17" x14ac:dyDescent="0.25">
      <c r="D34" t="s">
        <v>644</v>
      </c>
      <c r="E34" t="s">
        <v>293</v>
      </c>
      <c r="F34" t="s">
        <v>314</v>
      </c>
      <c r="G34" t="s">
        <v>645</v>
      </c>
      <c r="N34" t="s">
        <v>644</v>
      </c>
      <c r="O34" t="s">
        <v>293</v>
      </c>
      <c r="P34" t="s">
        <v>314</v>
      </c>
      <c r="Q34" t="s">
        <v>645</v>
      </c>
    </row>
    <row r="35" spans="3:17" x14ac:dyDescent="0.25">
      <c r="C35" t="s">
        <v>647</v>
      </c>
      <c r="D35">
        <v>24</v>
      </c>
      <c r="E35">
        <v>25</v>
      </c>
      <c r="F35">
        <v>24</v>
      </c>
      <c r="G35">
        <v>25</v>
      </c>
      <c r="M35" t="s">
        <v>709</v>
      </c>
      <c r="N35">
        <v>3006.4583333333335</v>
      </c>
      <c r="O35">
        <v>2198.08</v>
      </c>
      <c r="P35">
        <v>2343.75</v>
      </c>
      <c r="Q35">
        <v>2401.08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workbookViewId="0">
      <selection activeCell="Y3" sqref="Y3"/>
    </sheetView>
  </sheetViews>
  <sheetFormatPr baseColWidth="10" defaultRowHeight="15" x14ac:dyDescent="0.25"/>
  <cols>
    <col min="1" max="1" width="28.85546875" customWidth="1"/>
    <col min="4" max="4" width="32.5703125" customWidth="1"/>
    <col min="9" max="9" width="30.140625" customWidth="1"/>
    <col min="15" max="15" width="16.5703125" customWidth="1"/>
    <col min="25" max="25" width="16.7109375" customWidth="1"/>
  </cols>
  <sheetData>
    <row r="1" spans="1:26" ht="15.75" x14ac:dyDescent="0.25">
      <c r="A1" s="1" t="s">
        <v>97</v>
      </c>
      <c r="B1" s="2" t="s">
        <v>0</v>
      </c>
      <c r="C1" s="2" t="s">
        <v>1</v>
      </c>
      <c r="D1" s="2" t="s">
        <v>184</v>
      </c>
      <c r="E1" s="1" t="s">
        <v>185</v>
      </c>
      <c r="I1" s="1" t="s">
        <v>97</v>
      </c>
      <c r="J1" s="2" t="s">
        <v>0</v>
      </c>
      <c r="K1" s="2" t="s">
        <v>1</v>
      </c>
      <c r="L1" s="2" t="s">
        <v>184</v>
      </c>
      <c r="M1" s="1" t="s">
        <v>185</v>
      </c>
      <c r="O1" s="1" t="s">
        <v>97</v>
      </c>
      <c r="P1" s="2" t="s">
        <v>0</v>
      </c>
      <c r="Q1" s="2" t="s">
        <v>1</v>
      </c>
      <c r="R1" s="2" t="s">
        <v>184</v>
      </c>
      <c r="S1" s="1" t="s">
        <v>185</v>
      </c>
      <c r="V1" s="1" t="s">
        <v>97</v>
      </c>
      <c r="W1" s="2" t="s">
        <v>0</v>
      </c>
      <c r="X1" s="2" t="s">
        <v>1</v>
      </c>
      <c r="Y1" s="2" t="s">
        <v>184</v>
      </c>
      <c r="Z1" s="1" t="s">
        <v>185</v>
      </c>
    </row>
    <row r="2" spans="1:26" x14ac:dyDescent="0.25">
      <c r="A2" s="11" t="s">
        <v>98</v>
      </c>
      <c r="B2">
        <v>2</v>
      </c>
      <c r="C2">
        <v>1</v>
      </c>
      <c r="D2" s="4" t="s">
        <v>188</v>
      </c>
      <c r="E2">
        <v>0</v>
      </c>
      <c r="I2" s="11" t="s">
        <v>293</v>
      </c>
      <c r="J2">
        <v>2</v>
      </c>
      <c r="K2">
        <v>2</v>
      </c>
      <c r="L2" s="4" t="s">
        <v>297</v>
      </c>
      <c r="O2" s="11" t="s">
        <v>314</v>
      </c>
      <c r="P2">
        <v>1</v>
      </c>
      <c r="Q2">
        <v>2</v>
      </c>
      <c r="R2" s="4" t="s">
        <v>332</v>
      </c>
      <c r="V2" s="11" t="s">
        <v>645</v>
      </c>
      <c r="W2">
        <v>1</v>
      </c>
      <c r="X2">
        <v>4</v>
      </c>
      <c r="Y2" s="4" t="s">
        <v>710</v>
      </c>
    </row>
    <row r="3" spans="1:26" ht="15.75" x14ac:dyDescent="0.25">
      <c r="A3" s="1" t="s">
        <v>186</v>
      </c>
      <c r="I3" s="1" t="s">
        <v>186</v>
      </c>
      <c r="L3" s="4" t="s">
        <v>298</v>
      </c>
      <c r="O3" s="1" t="s">
        <v>186</v>
      </c>
      <c r="R3" s="4" t="s">
        <v>659</v>
      </c>
      <c r="V3" s="1" t="s">
        <v>186</v>
      </c>
      <c r="Y3" s="4"/>
    </row>
    <row r="4" spans="1:26" x14ac:dyDescent="0.25">
      <c r="A4" t="s">
        <v>99</v>
      </c>
      <c r="I4" t="s">
        <v>290</v>
      </c>
      <c r="L4" s="4" t="s">
        <v>299</v>
      </c>
      <c r="O4" t="s">
        <v>330</v>
      </c>
      <c r="R4" s="4" t="s">
        <v>299</v>
      </c>
      <c r="V4" t="s">
        <v>655</v>
      </c>
      <c r="Y4" s="4"/>
    </row>
    <row r="5" spans="1:26" ht="15.75" x14ac:dyDescent="0.25">
      <c r="A5" s="1" t="s">
        <v>187</v>
      </c>
      <c r="D5" t="s">
        <v>189</v>
      </c>
      <c r="I5" s="1" t="s">
        <v>296</v>
      </c>
      <c r="O5" s="1" t="s">
        <v>296</v>
      </c>
      <c r="R5" s="4" t="s">
        <v>657</v>
      </c>
      <c r="V5" s="1" t="s">
        <v>296</v>
      </c>
    </row>
    <row r="6" spans="1:26" ht="15.75" x14ac:dyDescent="0.25">
      <c r="A6" t="s">
        <v>300</v>
      </c>
      <c r="I6" t="s">
        <v>300</v>
      </c>
      <c r="O6" t="s">
        <v>331</v>
      </c>
      <c r="R6" s="4" t="s">
        <v>658</v>
      </c>
      <c r="V6" s="1" t="s">
        <v>331</v>
      </c>
    </row>
    <row r="13" spans="1:26" x14ac:dyDescent="0.25">
      <c r="G13" t="s">
        <v>644</v>
      </c>
      <c r="H13" t="s">
        <v>293</v>
      </c>
      <c r="I13" t="s">
        <v>314</v>
      </c>
      <c r="J13" t="s">
        <v>645</v>
      </c>
    </row>
    <row r="14" spans="1:26" x14ac:dyDescent="0.25">
      <c r="F14" t="s">
        <v>648</v>
      </c>
      <c r="G14">
        <v>0</v>
      </c>
      <c r="H14">
        <v>0</v>
      </c>
      <c r="I14">
        <v>0</v>
      </c>
      <c r="J14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workbookViewId="0">
      <selection activeCell="Z4" sqref="Z4"/>
    </sheetView>
  </sheetViews>
  <sheetFormatPr baseColWidth="10" defaultRowHeight="15" x14ac:dyDescent="0.25"/>
  <cols>
    <col min="1" max="1" width="32.140625" customWidth="1"/>
    <col min="10" max="10" width="31.5703125" customWidth="1"/>
    <col min="18" max="18" width="17.140625" customWidth="1"/>
    <col min="26" max="26" width="18.7109375" customWidth="1"/>
  </cols>
  <sheetData>
    <row r="1" spans="1:31" ht="15.75" x14ac:dyDescent="0.25">
      <c r="A1" s="1" t="s">
        <v>97</v>
      </c>
      <c r="B1" s="2" t="s">
        <v>0</v>
      </c>
      <c r="C1" s="2" t="s">
        <v>1</v>
      </c>
      <c r="D1" s="2" t="s">
        <v>190</v>
      </c>
      <c r="E1" s="2" t="s">
        <v>184</v>
      </c>
      <c r="F1" s="1" t="s">
        <v>185</v>
      </c>
      <c r="J1" s="1" t="s">
        <v>97</v>
      </c>
      <c r="K1" s="2" t="s">
        <v>0</v>
      </c>
      <c r="L1" s="2" t="s">
        <v>1</v>
      </c>
      <c r="M1" s="2" t="s">
        <v>190</v>
      </c>
      <c r="N1" s="2" t="s">
        <v>184</v>
      </c>
      <c r="O1" s="1" t="s">
        <v>185</v>
      </c>
      <c r="P1" s="1"/>
      <c r="R1" s="1" t="s">
        <v>97</v>
      </c>
      <c r="S1" s="2" t="s">
        <v>0</v>
      </c>
      <c r="T1" s="2" t="s">
        <v>1</v>
      </c>
      <c r="U1" s="2" t="s">
        <v>190</v>
      </c>
      <c r="V1" s="2" t="s">
        <v>184</v>
      </c>
      <c r="W1" s="1" t="s">
        <v>185</v>
      </c>
      <c r="Z1" s="1" t="s">
        <v>97</v>
      </c>
      <c r="AA1" s="2" t="s">
        <v>0</v>
      </c>
      <c r="AB1" s="2" t="s">
        <v>1</v>
      </c>
      <c r="AC1" s="2" t="s">
        <v>190</v>
      </c>
      <c r="AD1" s="2" t="s">
        <v>184</v>
      </c>
      <c r="AE1" s="1" t="s">
        <v>185</v>
      </c>
    </row>
    <row r="2" spans="1:31" ht="15.75" x14ac:dyDescent="0.25">
      <c r="A2" s="3" t="s">
        <v>6</v>
      </c>
      <c r="B2">
        <v>2</v>
      </c>
      <c r="C2">
        <v>1</v>
      </c>
      <c r="D2">
        <v>1</v>
      </c>
      <c r="E2" s="6" t="s">
        <v>192</v>
      </c>
      <c r="F2" s="2">
        <v>6</v>
      </c>
      <c r="J2" s="3" t="s">
        <v>293</v>
      </c>
      <c r="K2">
        <v>2</v>
      </c>
      <c r="L2">
        <v>2</v>
      </c>
      <c r="N2" s="4" t="s">
        <v>302</v>
      </c>
      <c r="O2" s="2">
        <v>7</v>
      </c>
      <c r="P2" s="2"/>
      <c r="R2" s="3" t="s">
        <v>314</v>
      </c>
      <c r="S2">
        <v>1</v>
      </c>
      <c r="T2">
        <v>3</v>
      </c>
      <c r="U2">
        <v>1</v>
      </c>
      <c r="V2" s="6" t="s">
        <v>335</v>
      </c>
      <c r="W2" s="2">
        <v>4</v>
      </c>
      <c r="Z2" s="3" t="s">
        <v>645</v>
      </c>
      <c r="AA2">
        <v>1</v>
      </c>
      <c r="AB2">
        <v>4</v>
      </c>
      <c r="AC2">
        <v>1</v>
      </c>
      <c r="AD2" t="s">
        <v>335</v>
      </c>
      <c r="AE2" s="2">
        <v>4</v>
      </c>
    </row>
    <row r="3" spans="1:31" ht="15.75" x14ac:dyDescent="0.25">
      <c r="A3" s="1" t="s">
        <v>191</v>
      </c>
      <c r="D3">
        <v>1</v>
      </c>
      <c r="E3" t="s">
        <v>193</v>
      </c>
      <c r="J3" s="1" t="s">
        <v>191</v>
      </c>
      <c r="M3">
        <v>1</v>
      </c>
      <c r="N3" t="s">
        <v>308</v>
      </c>
      <c r="R3" s="1" t="s">
        <v>191</v>
      </c>
      <c r="U3">
        <v>1</v>
      </c>
      <c r="V3" t="s">
        <v>336</v>
      </c>
      <c r="Z3" s="1" t="s">
        <v>191</v>
      </c>
      <c r="AC3">
        <v>0</v>
      </c>
      <c r="AD3" s="17" t="s">
        <v>660</v>
      </c>
    </row>
    <row r="4" spans="1:31" x14ac:dyDescent="0.25">
      <c r="A4" t="s">
        <v>99</v>
      </c>
      <c r="D4">
        <v>1</v>
      </c>
      <c r="E4" t="s">
        <v>194</v>
      </c>
      <c r="J4" t="s">
        <v>290</v>
      </c>
      <c r="M4">
        <v>1</v>
      </c>
      <c r="N4" t="s">
        <v>303</v>
      </c>
      <c r="R4" t="s">
        <v>333</v>
      </c>
      <c r="U4">
        <v>1</v>
      </c>
      <c r="V4" t="s">
        <v>337</v>
      </c>
      <c r="Z4" t="s">
        <v>655</v>
      </c>
      <c r="AC4">
        <v>1</v>
      </c>
      <c r="AD4" t="s">
        <v>661</v>
      </c>
    </row>
    <row r="5" spans="1:31" ht="15.75" x14ac:dyDescent="0.25">
      <c r="A5" s="1" t="s">
        <v>187</v>
      </c>
      <c r="D5">
        <v>1</v>
      </c>
      <c r="E5" t="s">
        <v>195</v>
      </c>
      <c r="J5" s="1" t="s">
        <v>187</v>
      </c>
      <c r="M5">
        <v>1</v>
      </c>
      <c r="N5" t="s">
        <v>304</v>
      </c>
      <c r="R5" s="1" t="s">
        <v>187</v>
      </c>
      <c r="V5" s="4" t="s">
        <v>338</v>
      </c>
      <c r="Z5" s="1" t="s">
        <v>187</v>
      </c>
      <c r="AC5">
        <v>1</v>
      </c>
      <c r="AD5" t="s">
        <v>663</v>
      </c>
    </row>
    <row r="6" spans="1:31" ht="15.75" x14ac:dyDescent="0.25">
      <c r="D6">
        <v>1</v>
      </c>
      <c r="E6" t="s">
        <v>196</v>
      </c>
      <c r="J6" s="1" t="s">
        <v>301</v>
      </c>
      <c r="M6">
        <v>1</v>
      </c>
      <c r="N6" t="s">
        <v>196</v>
      </c>
      <c r="R6" s="1" t="s">
        <v>334</v>
      </c>
      <c r="V6" s="4" t="s">
        <v>339</v>
      </c>
      <c r="Z6" s="1" t="s">
        <v>334</v>
      </c>
      <c r="AC6">
        <v>1</v>
      </c>
      <c r="AD6" t="s">
        <v>662</v>
      </c>
    </row>
    <row r="7" spans="1:31" x14ac:dyDescent="0.25">
      <c r="D7">
        <v>1</v>
      </c>
      <c r="E7" t="s">
        <v>197</v>
      </c>
      <c r="M7">
        <v>1</v>
      </c>
      <c r="N7" t="s">
        <v>310</v>
      </c>
      <c r="V7" s="4" t="s">
        <v>336</v>
      </c>
    </row>
    <row r="8" spans="1:31" x14ac:dyDescent="0.25">
      <c r="D8">
        <f>SUM(D2:D7)</f>
        <v>6</v>
      </c>
      <c r="M8">
        <v>1</v>
      </c>
      <c r="N8" t="s">
        <v>309</v>
      </c>
      <c r="U8">
        <v>1</v>
      </c>
      <c r="V8" t="s">
        <v>340</v>
      </c>
    </row>
    <row r="9" spans="1:31" x14ac:dyDescent="0.25">
      <c r="N9" s="4" t="s">
        <v>305</v>
      </c>
      <c r="V9" s="4"/>
    </row>
    <row r="10" spans="1:31" x14ac:dyDescent="0.25">
      <c r="N10" s="4" t="s">
        <v>306</v>
      </c>
      <c r="V10" s="4"/>
    </row>
    <row r="11" spans="1:31" x14ac:dyDescent="0.25">
      <c r="M11">
        <v>1</v>
      </c>
      <c r="N11" t="s">
        <v>307</v>
      </c>
    </row>
    <row r="13" spans="1:31" x14ac:dyDescent="0.25">
      <c r="M13" s="2">
        <f>SUM(M2:M12)</f>
        <v>7</v>
      </c>
    </row>
    <row r="16" spans="1:31" x14ac:dyDescent="0.25">
      <c r="D16" t="s">
        <v>644</v>
      </c>
      <c r="E16" t="s">
        <v>293</v>
      </c>
      <c r="F16" t="s">
        <v>314</v>
      </c>
      <c r="G16" t="s">
        <v>645</v>
      </c>
    </row>
    <row r="17" spans="3:7" x14ac:dyDescent="0.25">
      <c r="C17" t="s">
        <v>649</v>
      </c>
      <c r="D17">
        <v>6</v>
      </c>
      <c r="E17">
        <v>7</v>
      </c>
      <c r="F17">
        <v>4</v>
      </c>
      <c r="G17">
        <v>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6"/>
  <sheetViews>
    <sheetView workbookViewId="0">
      <selection activeCell="AJ5" sqref="AJ5"/>
    </sheetView>
  </sheetViews>
  <sheetFormatPr baseColWidth="10" defaultRowHeight="15" x14ac:dyDescent="0.25"/>
  <cols>
    <col min="1" max="1" width="23.28515625" customWidth="1"/>
    <col min="7" max="7" width="18.85546875" customWidth="1"/>
    <col min="8" max="8" width="17.7109375" customWidth="1"/>
    <col min="13" max="13" width="33.140625" customWidth="1"/>
    <col min="19" max="19" width="18.7109375" customWidth="1"/>
    <col min="20" max="20" width="18.85546875" customWidth="1"/>
    <col min="32" max="32" width="18.28515625" customWidth="1"/>
    <col min="42" max="42" width="20" customWidth="1"/>
    <col min="43" max="43" width="17.42578125" customWidth="1"/>
  </cols>
  <sheetData>
    <row r="1" spans="1:44" ht="15.7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5</v>
      </c>
      <c r="M1" s="1" t="s">
        <v>97</v>
      </c>
      <c r="N1" s="2" t="s">
        <v>0</v>
      </c>
      <c r="O1" s="2" t="s">
        <v>1</v>
      </c>
      <c r="P1" s="2" t="s">
        <v>2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5</v>
      </c>
      <c r="Y1" s="1" t="s">
        <v>97</v>
      </c>
      <c r="Z1" s="2" t="s">
        <v>0</v>
      </c>
      <c r="AA1" s="2" t="s">
        <v>1</v>
      </c>
      <c r="AB1" s="2" t="s">
        <v>2</v>
      </c>
      <c r="AC1" s="2" t="s">
        <v>91</v>
      </c>
      <c r="AD1" s="2" t="s">
        <v>92</v>
      </c>
      <c r="AE1" s="2" t="s">
        <v>93</v>
      </c>
      <c r="AF1" s="2" t="s">
        <v>94</v>
      </c>
      <c r="AG1" s="2" t="s">
        <v>5</v>
      </c>
      <c r="AJ1" s="1" t="s">
        <v>97</v>
      </c>
      <c r="AK1" s="2" t="s">
        <v>0</v>
      </c>
      <c r="AL1" s="2" t="s">
        <v>1</v>
      </c>
      <c r="AM1" s="2" t="s">
        <v>2</v>
      </c>
      <c r="AN1" s="2" t="s">
        <v>91</v>
      </c>
      <c r="AO1" s="2" t="s">
        <v>92</v>
      </c>
      <c r="AP1" s="2" t="s">
        <v>93</v>
      </c>
      <c r="AQ1" s="2" t="s">
        <v>94</v>
      </c>
      <c r="AR1" s="2" t="s">
        <v>5</v>
      </c>
    </row>
    <row r="2" spans="1:44" ht="15.75" x14ac:dyDescent="0.25">
      <c r="A2" s="3" t="s">
        <v>6</v>
      </c>
      <c r="B2">
        <v>2</v>
      </c>
      <c r="C2">
        <v>1</v>
      </c>
      <c r="D2">
        <v>1</v>
      </c>
      <c r="E2" t="s">
        <v>96</v>
      </c>
      <c r="F2" t="s">
        <v>199</v>
      </c>
      <c r="G2" s="4">
        <v>0</v>
      </c>
      <c r="H2" s="4">
        <v>0</v>
      </c>
      <c r="I2" s="4"/>
      <c r="M2" s="3" t="s">
        <v>293</v>
      </c>
      <c r="N2">
        <v>2</v>
      </c>
      <c r="O2">
        <v>2</v>
      </c>
      <c r="P2">
        <v>1</v>
      </c>
      <c r="Q2" t="s">
        <v>95</v>
      </c>
      <c r="R2" t="s">
        <v>229</v>
      </c>
      <c r="S2" s="4">
        <v>0</v>
      </c>
      <c r="T2" s="4">
        <v>4703</v>
      </c>
      <c r="U2" s="4"/>
      <c r="Y2" s="3" t="s">
        <v>314</v>
      </c>
      <c r="Z2">
        <v>1</v>
      </c>
      <c r="AA2">
        <v>3</v>
      </c>
      <c r="AB2">
        <v>1</v>
      </c>
      <c r="AC2" t="s">
        <v>95</v>
      </c>
      <c r="AD2" t="s">
        <v>396</v>
      </c>
      <c r="AE2" s="4">
        <v>0</v>
      </c>
      <c r="AF2" s="4">
        <v>0</v>
      </c>
      <c r="AG2" s="4"/>
      <c r="AJ2" s="3" t="s">
        <v>645</v>
      </c>
      <c r="AK2">
        <v>1</v>
      </c>
      <c r="AL2">
        <v>4</v>
      </c>
      <c r="AM2">
        <v>1</v>
      </c>
      <c r="AN2" t="s">
        <v>95</v>
      </c>
      <c r="AO2" t="s">
        <v>415</v>
      </c>
      <c r="AP2">
        <v>1</v>
      </c>
      <c r="AQ2">
        <v>4672</v>
      </c>
      <c r="AR2">
        <v>4672</v>
      </c>
    </row>
    <row r="3" spans="1:44" ht="15.75" x14ac:dyDescent="0.25">
      <c r="A3" s="1" t="s">
        <v>198</v>
      </c>
      <c r="D3">
        <v>2</v>
      </c>
      <c r="E3" t="s">
        <v>96</v>
      </c>
      <c r="F3" t="s">
        <v>200</v>
      </c>
      <c r="G3">
        <v>1</v>
      </c>
      <c r="H3">
        <v>2361</v>
      </c>
      <c r="I3">
        <v>2361</v>
      </c>
      <c r="M3" s="1" t="s">
        <v>198</v>
      </c>
      <c r="P3">
        <v>2</v>
      </c>
      <c r="Q3" t="s">
        <v>95</v>
      </c>
      <c r="R3" t="s">
        <v>212</v>
      </c>
      <c r="S3">
        <v>1</v>
      </c>
      <c r="T3">
        <v>2498</v>
      </c>
      <c r="U3">
        <v>2498</v>
      </c>
      <c r="Y3" s="1" t="s">
        <v>198</v>
      </c>
      <c r="AB3">
        <v>2</v>
      </c>
      <c r="AC3" t="s">
        <v>96</v>
      </c>
      <c r="AD3" t="s">
        <v>397</v>
      </c>
      <c r="AE3">
        <v>1</v>
      </c>
      <c r="AF3">
        <v>3933</v>
      </c>
      <c r="AG3">
        <v>3933</v>
      </c>
      <c r="AJ3" s="1" t="s">
        <v>198</v>
      </c>
      <c r="AM3">
        <v>2</v>
      </c>
      <c r="AN3" t="s">
        <v>95</v>
      </c>
      <c r="AO3" t="s">
        <v>337</v>
      </c>
      <c r="AP3">
        <v>1</v>
      </c>
      <c r="AQ3">
        <v>1924</v>
      </c>
      <c r="AR3">
        <v>1924</v>
      </c>
    </row>
    <row r="4" spans="1:44" x14ac:dyDescent="0.25">
      <c r="A4" t="s">
        <v>99</v>
      </c>
      <c r="D4">
        <v>3</v>
      </c>
      <c r="E4" t="s">
        <v>95</v>
      </c>
      <c r="F4" t="s">
        <v>201</v>
      </c>
      <c r="G4" s="4">
        <v>0</v>
      </c>
      <c r="H4" s="4">
        <v>3519</v>
      </c>
      <c r="I4" s="4"/>
      <c r="M4" t="s">
        <v>290</v>
      </c>
      <c r="P4">
        <v>3</v>
      </c>
      <c r="Q4" t="s">
        <v>96</v>
      </c>
      <c r="R4" t="s">
        <v>199</v>
      </c>
      <c r="S4" s="4">
        <v>0</v>
      </c>
      <c r="T4" s="4">
        <v>3383</v>
      </c>
      <c r="U4" s="4"/>
      <c r="Y4" t="s">
        <v>330</v>
      </c>
      <c r="AB4">
        <v>3</v>
      </c>
      <c r="AC4" t="s">
        <v>96</v>
      </c>
      <c r="AD4" t="s">
        <v>398</v>
      </c>
      <c r="AE4" s="4">
        <v>0</v>
      </c>
      <c r="AF4" s="4">
        <v>3087</v>
      </c>
      <c r="AG4" s="4"/>
      <c r="AJ4" t="s">
        <v>655</v>
      </c>
      <c r="AM4">
        <v>3</v>
      </c>
      <c r="AN4" t="s">
        <v>96</v>
      </c>
      <c r="AO4" t="s">
        <v>400</v>
      </c>
      <c r="AP4">
        <v>1</v>
      </c>
      <c r="AQ4">
        <v>2985</v>
      </c>
      <c r="AR4">
        <v>2985</v>
      </c>
    </row>
    <row r="5" spans="1:44" ht="15.75" x14ac:dyDescent="0.25">
      <c r="A5" s="1" t="s">
        <v>245</v>
      </c>
      <c r="D5">
        <v>4</v>
      </c>
      <c r="E5" t="s">
        <v>96</v>
      </c>
      <c r="F5" t="s">
        <v>202</v>
      </c>
      <c r="G5">
        <v>1</v>
      </c>
      <c r="H5">
        <v>4572</v>
      </c>
      <c r="I5">
        <v>4572</v>
      </c>
      <c r="M5" s="1" t="s">
        <v>311</v>
      </c>
      <c r="P5">
        <v>4</v>
      </c>
      <c r="Q5" t="s">
        <v>95</v>
      </c>
      <c r="R5" t="s">
        <v>213</v>
      </c>
      <c r="S5" s="4">
        <v>0</v>
      </c>
      <c r="T5" s="4">
        <v>1731</v>
      </c>
      <c r="U5" s="4"/>
      <c r="Y5" s="1" t="s">
        <v>435</v>
      </c>
      <c r="AB5">
        <v>4</v>
      </c>
      <c r="AC5" t="s">
        <v>95</v>
      </c>
      <c r="AD5" t="s">
        <v>399</v>
      </c>
      <c r="AE5" s="4">
        <v>0</v>
      </c>
      <c r="AF5" s="4">
        <v>3527</v>
      </c>
      <c r="AG5" s="4"/>
      <c r="AJ5" s="1" t="s">
        <v>665</v>
      </c>
      <c r="AM5">
        <v>4</v>
      </c>
      <c r="AN5" t="s">
        <v>95</v>
      </c>
      <c r="AO5" t="s">
        <v>412</v>
      </c>
      <c r="AP5" s="4">
        <v>0</v>
      </c>
      <c r="AQ5" s="4">
        <v>1968</v>
      </c>
      <c r="AR5" s="4"/>
    </row>
    <row r="6" spans="1:44" x14ac:dyDescent="0.25">
      <c r="D6">
        <v>5</v>
      </c>
      <c r="E6" t="s">
        <v>95</v>
      </c>
      <c r="F6" t="s">
        <v>203</v>
      </c>
      <c r="G6" s="4">
        <v>0</v>
      </c>
      <c r="H6" s="4">
        <v>0</v>
      </c>
      <c r="I6" s="4"/>
      <c r="P6">
        <v>5</v>
      </c>
      <c r="Q6" t="s">
        <v>96</v>
      </c>
      <c r="R6" t="s">
        <v>220</v>
      </c>
      <c r="S6">
        <v>1</v>
      </c>
      <c r="T6">
        <v>2756</v>
      </c>
      <c r="U6">
        <v>2756</v>
      </c>
      <c r="AB6">
        <v>5</v>
      </c>
      <c r="AC6" t="s">
        <v>96</v>
      </c>
      <c r="AD6" t="s">
        <v>400</v>
      </c>
      <c r="AE6">
        <v>1</v>
      </c>
      <c r="AF6">
        <v>2037</v>
      </c>
      <c r="AG6">
        <v>2037</v>
      </c>
      <c r="AM6">
        <v>5</v>
      </c>
      <c r="AN6" t="s">
        <v>95</v>
      </c>
      <c r="AO6" t="s">
        <v>396</v>
      </c>
      <c r="AP6" s="4">
        <v>0</v>
      </c>
      <c r="AQ6" s="4">
        <v>3556</v>
      </c>
      <c r="AR6" s="4"/>
    </row>
    <row r="7" spans="1:44" x14ac:dyDescent="0.25">
      <c r="D7">
        <v>6</v>
      </c>
      <c r="E7" t="s">
        <v>95</v>
      </c>
      <c r="F7" t="s">
        <v>204</v>
      </c>
      <c r="G7" s="4">
        <v>0</v>
      </c>
      <c r="H7" s="4">
        <v>3211</v>
      </c>
      <c r="I7" s="4"/>
      <c r="P7">
        <v>6</v>
      </c>
      <c r="Q7" t="s">
        <v>96</v>
      </c>
      <c r="R7" t="s">
        <v>224</v>
      </c>
      <c r="S7">
        <v>1</v>
      </c>
      <c r="T7">
        <v>4779</v>
      </c>
      <c r="U7">
        <v>4779</v>
      </c>
      <c r="AB7">
        <v>6</v>
      </c>
      <c r="AC7" t="s">
        <v>95</v>
      </c>
      <c r="AD7" t="s">
        <v>401</v>
      </c>
      <c r="AE7">
        <v>1</v>
      </c>
      <c r="AF7">
        <v>3605</v>
      </c>
      <c r="AG7">
        <v>3605</v>
      </c>
      <c r="AM7">
        <v>6</v>
      </c>
      <c r="AN7" t="s">
        <v>95</v>
      </c>
      <c r="AO7" t="s">
        <v>420</v>
      </c>
      <c r="AP7" s="4">
        <v>0</v>
      </c>
      <c r="AQ7" s="4">
        <v>3110</v>
      </c>
      <c r="AR7" s="4"/>
    </row>
    <row r="8" spans="1:44" x14ac:dyDescent="0.25">
      <c r="D8">
        <v>7</v>
      </c>
      <c r="E8" t="s">
        <v>95</v>
      </c>
      <c r="F8" t="s">
        <v>205</v>
      </c>
      <c r="G8" s="4">
        <v>0</v>
      </c>
      <c r="H8" s="4">
        <v>0</v>
      </c>
      <c r="I8" s="4"/>
      <c r="P8">
        <v>7</v>
      </c>
      <c r="Q8" t="s">
        <v>96</v>
      </c>
      <c r="R8" t="s">
        <v>234</v>
      </c>
      <c r="S8" s="4">
        <v>0</v>
      </c>
      <c r="T8" s="4">
        <v>4971</v>
      </c>
      <c r="U8" s="4"/>
      <c r="AB8">
        <v>7</v>
      </c>
      <c r="AC8" t="s">
        <v>96</v>
      </c>
      <c r="AD8" t="s">
        <v>402</v>
      </c>
      <c r="AE8">
        <v>1</v>
      </c>
      <c r="AF8">
        <v>4433</v>
      </c>
      <c r="AG8">
        <v>4433</v>
      </c>
      <c r="AM8">
        <v>7</v>
      </c>
      <c r="AN8" t="s">
        <v>96</v>
      </c>
      <c r="AO8" t="s">
        <v>413</v>
      </c>
      <c r="AP8">
        <v>1</v>
      </c>
      <c r="AQ8">
        <v>2130</v>
      </c>
      <c r="AR8">
        <v>2130</v>
      </c>
    </row>
    <row r="9" spans="1:44" x14ac:dyDescent="0.25">
      <c r="D9">
        <v>8</v>
      </c>
      <c r="E9" t="s">
        <v>96</v>
      </c>
      <c r="F9" t="s">
        <v>206</v>
      </c>
      <c r="G9" s="4">
        <v>0</v>
      </c>
      <c r="H9" s="4">
        <v>2387</v>
      </c>
      <c r="I9" s="4"/>
      <c r="P9">
        <v>8</v>
      </c>
      <c r="Q9" t="s">
        <v>95</v>
      </c>
      <c r="R9" t="s">
        <v>231</v>
      </c>
      <c r="S9" s="4">
        <v>0</v>
      </c>
      <c r="T9" s="4">
        <v>2844</v>
      </c>
      <c r="U9" s="4"/>
      <c r="AB9">
        <v>8</v>
      </c>
      <c r="AC9" t="s">
        <v>95</v>
      </c>
      <c r="AD9" t="s">
        <v>403</v>
      </c>
      <c r="AE9" s="4">
        <v>0</v>
      </c>
      <c r="AF9" s="4">
        <v>2619</v>
      </c>
      <c r="AG9" s="4"/>
      <c r="AM9">
        <v>8</v>
      </c>
      <c r="AN9" t="s">
        <v>95</v>
      </c>
      <c r="AO9" t="s">
        <v>424</v>
      </c>
      <c r="AP9">
        <v>1</v>
      </c>
      <c r="AQ9">
        <v>3287</v>
      </c>
      <c r="AR9">
        <v>3287</v>
      </c>
    </row>
    <row r="10" spans="1:44" x14ac:dyDescent="0.25">
      <c r="D10">
        <v>9</v>
      </c>
      <c r="E10" t="s">
        <v>95</v>
      </c>
      <c r="F10" t="s">
        <v>207</v>
      </c>
      <c r="G10" s="4">
        <v>0</v>
      </c>
      <c r="H10" s="4">
        <v>3091</v>
      </c>
      <c r="I10" s="4"/>
      <c r="P10">
        <v>9</v>
      </c>
      <c r="Q10" t="s">
        <v>96</v>
      </c>
      <c r="R10" t="s">
        <v>209</v>
      </c>
      <c r="S10">
        <v>1</v>
      </c>
      <c r="T10">
        <v>3050</v>
      </c>
      <c r="U10">
        <v>3050</v>
      </c>
      <c r="AB10">
        <v>9</v>
      </c>
      <c r="AC10" t="s">
        <v>96</v>
      </c>
      <c r="AD10" t="s">
        <v>404</v>
      </c>
      <c r="AE10">
        <v>1</v>
      </c>
      <c r="AF10">
        <v>2075</v>
      </c>
      <c r="AG10">
        <v>2075</v>
      </c>
      <c r="AM10">
        <v>9</v>
      </c>
      <c r="AN10" t="s">
        <v>96</v>
      </c>
      <c r="AO10" t="s">
        <v>429</v>
      </c>
      <c r="AP10">
        <v>1</v>
      </c>
      <c r="AQ10">
        <v>2296</v>
      </c>
      <c r="AR10">
        <v>2296</v>
      </c>
    </row>
    <row r="11" spans="1:44" x14ac:dyDescent="0.25">
      <c r="D11">
        <v>10</v>
      </c>
      <c r="E11" t="s">
        <v>95</v>
      </c>
      <c r="F11" t="s">
        <v>208</v>
      </c>
      <c r="G11">
        <v>1</v>
      </c>
      <c r="H11">
        <v>4140</v>
      </c>
      <c r="I11">
        <v>4140</v>
      </c>
      <c r="P11">
        <v>10</v>
      </c>
      <c r="Q11" t="s">
        <v>96</v>
      </c>
      <c r="R11" t="s">
        <v>206</v>
      </c>
      <c r="S11" s="4">
        <v>0</v>
      </c>
      <c r="T11" s="4">
        <v>0</v>
      </c>
      <c r="U11" s="4"/>
      <c r="AB11">
        <v>10</v>
      </c>
      <c r="AC11" t="s">
        <v>95</v>
      </c>
      <c r="AD11" t="s">
        <v>405</v>
      </c>
      <c r="AE11">
        <v>1</v>
      </c>
      <c r="AF11">
        <v>1878</v>
      </c>
      <c r="AG11">
        <v>1878</v>
      </c>
      <c r="AM11">
        <v>10</v>
      </c>
      <c r="AN11" t="s">
        <v>95</v>
      </c>
      <c r="AO11" t="s">
        <v>418</v>
      </c>
      <c r="AP11">
        <v>1</v>
      </c>
      <c r="AQ11">
        <v>1570</v>
      </c>
      <c r="AR11">
        <v>1570</v>
      </c>
    </row>
    <row r="12" spans="1:44" x14ac:dyDescent="0.25">
      <c r="D12">
        <v>11</v>
      </c>
      <c r="E12" t="s">
        <v>96</v>
      </c>
      <c r="F12" t="s">
        <v>209</v>
      </c>
      <c r="G12">
        <v>1</v>
      </c>
      <c r="H12">
        <v>1847</v>
      </c>
      <c r="I12">
        <v>1847</v>
      </c>
      <c r="P12">
        <v>11</v>
      </c>
      <c r="Q12" t="s">
        <v>96</v>
      </c>
      <c r="R12" t="s">
        <v>222</v>
      </c>
      <c r="S12">
        <v>1</v>
      </c>
      <c r="T12">
        <v>2471</v>
      </c>
      <c r="U12">
        <v>2471</v>
      </c>
      <c r="AB12">
        <v>11</v>
      </c>
      <c r="AC12" t="s">
        <v>96</v>
      </c>
      <c r="AD12" t="s">
        <v>406</v>
      </c>
      <c r="AE12">
        <v>1</v>
      </c>
      <c r="AF12">
        <v>3114</v>
      </c>
      <c r="AG12">
        <v>3114</v>
      </c>
      <c r="AM12">
        <v>11</v>
      </c>
      <c r="AN12" t="s">
        <v>96</v>
      </c>
      <c r="AO12" t="s">
        <v>398</v>
      </c>
      <c r="AP12" s="4">
        <v>0</v>
      </c>
      <c r="AQ12" s="4">
        <v>2857</v>
      </c>
      <c r="AR12" s="4"/>
    </row>
    <row r="13" spans="1:44" x14ac:dyDescent="0.25">
      <c r="D13">
        <v>12</v>
      </c>
      <c r="E13" t="s">
        <v>96</v>
      </c>
      <c r="F13" t="s">
        <v>210</v>
      </c>
      <c r="G13">
        <v>1</v>
      </c>
      <c r="H13">
        <v>3099</v>
      </c>
      <c r="I13">
        <v>3099</v>
      </c>
      <c r="P13">
        <v>12</v>
      </c>
      <c r="Q13" t="s">
        <v>95</v>
      </c>
      <c r="R13" t="s">
        <v>201</v>
      </c>
      <c r="S13">
        <v>1</v>
      </c>
      <c r="T13">
        <v>3310</v>
      </c>
      <c r="U13">
        <v>3310</v>
      </c>
      <c r="AB13">
        <v>12</v>
      </c>
      <c r="AC13" t="s">
        <v>95</v>
      </c>
      <c r="AD13" t="s">
        <v>407</v>
      </c>
      <c r="AE13">
        <v>1</v>
      </c>
      <c r="AF13">
        <v>3958</v>
      </c>
      <c r="AG13">
        <v>3958</v>
      </c>
      <c r="AM13">
        <v>12</v>
      </c>
      <c r="AN13" t="s">
        <v>95</v>
      </c>
      <c r="AO13" t="s">
        <v>434</v>
      </c>
      <c r="AP13">
        <v>1</v>
      </c>
      <c r="AQ13">
        <v>2032</v>
      </c>
      <c r="AR13">
        <v>2032</v>
      </c>
    </row>
    <row r="14" spans="1:44" x14ac:dyDescent="0.25">
      <c r="D14">
        <v>13</v>
      </c>
      <c r="E14" t="s">
        <v>95</v>
      </c>
      <c r="F14" t="s">
        <v>211</v>
      </c>
      <c r="G14" s="4">
        <v>0</v>
      </c>
      <c r="H14" s="4">
        <v>2636</v>
      </c>
      <c r="I14" s="4"/>
      <c r="P14">
        <v>13</v>
      </c>
      <c r="Q14" t="s">
        <v>96</v>
      </c>
      <c r="R14" t="s">
        <v>221</v>
      </c>
      <c r="S14" s="4">
        <v>0</v>
      </c>
      <c r="T14" s="4">
        <v>4766</v>
      </c>
      <c r="U14" s="4"/>
      <c r="AB14">
        <v>13</v>
      </c>
      <c r="AC14" t="s">
        <v>96</v>
      </c>
      <c r="AD14" t="s">
        <v>408</v>
      </c>
      <c r="AE14" s="4">
        <v>0</v>
      </c>
      <c r="AF14" s="4">
        <v>2051</v>
      </c>
      <c r="AG14" s="4"/>
      <c r="AM14">
        <v>13</v>
      </c>
      <c r="AN14" t="s">
        <v>96</v>
      </c>
      <c r="AO14" t="s">
        <v>423</v>
      </c>
      <c r="AP14" s="4">
        <v>0</v>
      </c>
      <c r="AQ14" s="4">
        <v>2541</v>
      </c>
      <c r="AR14" s="4"/>
    </row>
    <row r="15" spans="1:44" x14ac:dyDescent="0.25">
      <c r="D15">
        <v>14</v>
      </c>
      <c r="E15" t="s">
        <v>95</v>
      </c>
      <c r="F15" t="s">
        <v>212</v>
      </c>
      <c r="G15">
        <v>1</v>
      </c>
      <c r="H15">
        <v>1794</v>
      </c>
      <c r="I15">
        <v>1794</v>
      </c>
      <c r="P15">
        <v>14</v>
      </c>
      <c r="Q15" t="s">
        <v>95</v>
      </c>
      <c r="R15" t="s">
        <v>235</v>
      </c>
      <c r="S15">
        <v>1</v>
      </c>
      <c r="T15">
        <v>1996</v>
      </c>
      <c r="U15">
        <v>1996</v>
      </c>
      <c r="AB15">
        <v>14</v>
      </c>
      <c r="AC15" t="s">
        <v>96</v>
      </c>
      <c r="AD15" t="s">
        <v>409</v>
      </c>
      <c r="AE15">
        <v>1</v>
      </c>
      <c r="AF15">
        <v>3368</v>
      </c>
      <c r="AG15">
        <v>3368</v>
      </c>
      <c r="AM15">
        <v>14</v>
      </c>
      <c r="AN15" t="s">
        <v>96</v>
      </c>
      <c r="AO15" t="s">
        <v>428</v>
      </c>
      <c r="AP15" s="4">
        <v>0</v>
      </c>
      <c r="AQ15" s="4">
        <v>4951</v>
      </c>
      <c r="AR15" s="4"/>
    </row>
    <row r="16" spans="1:44" x14ac:dyDescent="0.25">
      <c r="D16">
        <v>15</v>
      </c>
      <c r="E16" t="s">
        <v>95</v>
      </c>
      <c r="F16" t="s">
        <v>213</v>
      </c>
      <c r="G16" s="4">
        <v>0</v>
      </c>
      <c r="H16" s="4">
        <v>2240</v>
      </c>
      <c r="I16" s="4"/>
      <c r="P16">
        <v>15</v>
      </c>
      <c r="Q16" t="s">
        <v>95</v>
      </c>
      <c r="R16" t="s">
        <v>215</v>
      </c>
      <c r="S16">
        <v>1</v>
      </c>
      <c r="T16">
        <v>2178</v>
      </c>
      <c r="U16">
        <v>2178</v>
      </c>
      <c r="AB16">
        <v>15</v>
      </c>
      <c r="AC16" t="s">
        <v>95</v>
      </c>
      <c r="AD16" t="s">
        <v>410</v>
      </c>
      <c r="AE16">
        <v>1</v>
      </c>
      <c r="AF16">
        <v>1545</v>
      </c>
      <c r="AG16">
        <v>1545</v>
      </c>
      <c r="AM16">
        <v>15</v>
      </c>
      <c r="AN16" t="s">
        <v>95</v>
      </c>
      <c r="AO16" t="s">
        <v>405</v>
      </c>
      <c r="AP16">
        <v>1</v>
      </c>
      <c r="AQ16">
        <v>2060</v>
      </c>
      <c r="AR16">
        <v>2060</v>
      </c>
    </row>
    <row r="17" spans="4:44" x14ac:dyDescent="0.25">
      <c r="D17">
        <v>16</v>
      </c>
      <c r="E17" t="s">
        <v>96</v>
      </c>
      <c r="F17" t="s">
        <v>214</v>
      </c>
      <c r="G17">
        <v>1</v>
      </c>
      <c r="H17">
        <v>3297</v>
      </c>
      <c r="I17">
        <v>3297</v>
      </c>
      <c r="P17">
        <v>16</v>
      </c>
      <c r="Q17" t="s">
        <v>96</v>
      </c>
      <c r="R17" t="s">
        <v>225</v>
      </c>
      <c r="S17">
        <v>1</v>
      </c>
      <c r="T17">
        <v>3115</v>
      </c>
      <c r="U17">
        <v>3115</v>
      </c>
      <c r="AB17">
        <v>16</v>
      </c>
      <c r="AC17" t="s">
        <v>95</v>
      </c>
      <c r="AD17" t="s">
        <v>411</v>
      </c>
      <c r="AE17" s="4">
        <v>0</v>
      </c>
      <c r="AF17" s="4">
        <v>3346</v>
      </c>
      <c r="AG17" s="4"/>
      <c r="AM17">
        <v>16</v>
      </c>
      <c r="AN17" t="s">
        <v>96</v>
      </c>
      <c r="AO17" t="s">
        <v>408</v>
      </c>
      <c r="AP17" s="4">
        <v>0</v>
      </c>
      <c r="AQ17" s="4">
        <v>2644</v>
      </c>
      <c r="AR17" s="4"/>
    </row>
    <row r="18" spans="4:44" x14ac:dyDescent="0.25">
      <c r="D18">
        <v>17</v>
      </c>
      <c r="E18" t="s">
        <v>95</v>
      </c>
      <c r="F18" t="s">
        <v>215</v>
      </c>
      <c r="G18">
        <v>1</v>
      </c>
      <c r="H18">
        <v>2760</v>
      </c>
      <c r="I18">
        <v>2760</v>
      </c>
      <c r="P18">
        <v>17</v>
      </c>
      <c r="Q18" t="s">
        <v>95</v>
      </c>
      <c r="R18" t="s">
        <v>233</v>
      </c>
      <c r="S18" s="4">
        <v>0</v>
      </c>
      <c r="T18" s="4">
        <v>3944</v>
      </c>
      <c r="U18" s="4"/>
      <c r="AB18">
        <v>17</v>
      </c>
      <c r="AC18" t="s">
        <v>95</v>
      </c>
      <c r="AD18" t="s">
        <v>412</v>
      </c>
      <c r="AE18">
        <v>1</v>
      </c>
      <c r="AF18">
        <v>2663</v>
      </c>
      <c r="AG18">
        <v>2663</v>
      </c>
      <c r="AM18">
        <v>17</v>
      </c>
      <c r="AN18" t="s">
        <v>95</v>
      </c>
      <c r="AO18" t="s">
        <v>401</v>
      </c>
      <c r="AP18" s="4">
        <v>0</v>
      </c>
      <c r="AQ18" s="4">
        <v>5156</v>
      </c>
      <c r="AR18" s="4"/>
    </row>
    <row r="19" spans="4:44" x14ac:dyDescent="0.25">
      <c r="D19">
        <v>18</v>
      </c>
      <c r="E19" t="s">
        <v>96</v>
      </c>
      <c r="F19" t="s">
        <v>216</v>
      </c>
      <c r="G19">
        <v>1</v>
      </c>
      <c r="H19">
        <v>1880</v>
      </c>
      <c r="I19">
        <v>1880</v>
      </c>
      <c r="P19">
        <v>18</v>
      </c>
      <c r="Q19" t="s">
        <v>96</v>
      </c>
      <c r="R19" t="s">
        <v>214</v>
      </c>
      <c r="S19">
        <v>1</v>
      </c>
      <c r="T19">
        <v>2754</v>
      </c>
      <c r="U19">
        <v>2754</v>
      </c>
      <c r="AB19">
        <v>18</v>
      </c>
      <c r="AC19" t="s">
        <v>96</v>
      </c>
      <c r="AD19" t="s">
        <v>413</v>
      </c>
      <c r="AE19">
        <v>1</v>
      </c>
      <c r="AF19">
        <v>2507</v>
      </c>
      <c r="AG19">
        <v>2507</v>
      </c>
      <c r="AM19">
        <v>18</v>
      </c>
      <c r="AN19" t="s">
        <v>96</v>
      </c>
      <c r="AO19" t="s">
        <v>404</v>
      </c>
      <c r="AP19">
        <v>1</v>
      </c>
      <c r="AQ19">
        <v>2627</v>
      </c>
      <c r="AR19">
        <v>2627</v>
      </c>
    </row>
    <row r="20" spans="4:44" x14ac:dyDescent="0.25">
      <c r="D20">
        <v>19</v>
      </c>
      <c r="E20" t="s">
        <v>95</v>
      </c>
      <c r="F20" t="s">
        <v>217</v>
      </c>
      <c r="G20">
        <v>1</v>
      </c>
      <c r="H20">
        <v>2444</v>
      </c>
      <c r="I20">
        <v>2444</v>
      </c>
      <c r="P20">
        <v>19</v>
      </c>
      <c r="Q20" t="s">
        <v>95</v>
      </c>
      <c r="R20" t="s">
        <v>218</v>
      </c>
      <c r="S20">
        <v>1</v>
      </c>
      <c r="T20">
        <v>1250</v>
      </c>
      <c r="U20">
        <v>1250</v>
      </c>
      <c r="AB20">
        <v>19</v>
      </c>
      <c r="AC20" t="s">
        <v>96</v>
      </c>
      <c r="AD20" t="s">
        <v>414</v>
      </c>
      <c r="AE20" s="4">
        <v>0</v>
      </c>
      <c r="AF20" s="4">
        <v>0</v>
      </c>
      <c r="AG20" s="4"/>
      <c r="AM20">
        <v>19</v>
      </c>
      <c r="AN20" t="s">
        <v>95</v>
      </c>
      <c r="AO20" t="s">
        <v>407</v>
      </c>
      <c r="AP20" s="4">
        <v>0</v>
      </c>
      <c r="AQ20" s="4">
        <v>3034</v>
      </c>
      <c r="AR20" s="4"/>
    </row>
    <row r="21" spans="4:44" x14ac:dyDescent="0.25">
      <c r="D21">
        <v>20</v>
      </c>
      <c r="E21" t="s">
        <v>95</v>
      </c>
      <c r="F21" t="s">
        <v>218</v>
      </c>
      <c r="G21">
        <v>1</v>
      </c>
      <c r="H21">
        <v>3643</v>
      </c>
      <c r="I21">
        <v>3643</v>
      </c>
      <c r="P21">
        <v>20</v>
      </c>
      <c r="Q21" t="s">
        <v>96</v>
      </c>
      <c r="R21" t="s">
        <v>228</v>
      </c>
      <c r="S21">
        <v>1</v>
      </c>
      <c r="T21">
        <v>5569</v>
      </c>
      <c r="U21">
        <v>5569</v>
      </c>
      <c r="AB21">
        <v>20</v>
      </c>
      <c r="AC21" t="s">
        <v>95</v>
      </c>
      <c r="AD21" t="s">
        <v>337</v>
      </c>
      <c r="AE21">
        <v>1</v>
      </c>
      <c r="AF21">
        <v>1118</v>
      </c>
      <c r="AG21">
        <v>1118</v>
      </c>
      <c r="AM21">
        <v>20</v>
      </c>
      <c r="AN21" t="s">
        <v>95</v>
      </c>
      <c r="AO21" t="s">
        <v>425</v>
      </c>
      <c r="AP21" s="4">
        <v>0</v>
      </c>
      <c r="AQ21" s="4">
        <v>2621</v>
      </c>
      <c r="AR21" s="4"/>
    </row>
    <row r="22" spans="4:44" x14ac:dyDescent="0.25">
      <c r="D22">
        <v>21</v>
      </c>
      <c r="E22" t="s">
        <v>95</v>
      </c>
      <c r="F22" t="s">
        <v>219</v>
      </c>
      <c r="G22">
        <v>1</v>
      </c>
      <c r="H22">
        <v>1755</v>
      </c>
      <c r="I22">
        <v>1755</v>
      </c>
      <c r="P22">
        <v>21</v>
      </c>
      <c r="Q22" t="s">
        <v>96</v>
      </c>
      <c r="R22" t="s">
        <v>200</v>
      </c>
      <c r="S22">
        <v>1</v>
      </c>
      <c r="T22">
        <v>1655</v>
      </c>
      <c r="U22">
        <v>1655</v>
      </c>
      <c r="AB22">
        <v>21</v>
      </c>
      <c r="AC22" t="s">
        <v>95</v>
      </c>
      <c r="AD22" t="s">
        <v>415</v>
      </c>
      <c r="AE22">
        <v>1</v>
      </c>
      <c r="AF22">
        <v>2588</v>
      </c>
      <c r="AG22">
        <v>2588</v>
      </c>
      <c r="AM22">
        <v>21</v>
      </c>
      <c r="AN22" t="s">
        <v>95</v>
      </c>
      <c r="AO22" t="s">
        <v>430</v>
      </c>
      <c r="AP22">
        <v>1</v>
      </c>
      <c r="AQ22">
        <v>1345</v>
      </c>
      <c r="AR22">
        <v>1345</v>
      </c>
    </row>
    <row r="23" spans="4:44" x14ac:dyDescent="0.25">
      <c r="D23">
        <v>22</v>
      </c>
      <c r="E23" t="s">
        <v>96</v>
      </c>
      <c r="F23" t="s">
        <v>220</v>
      </c>
      <c r="G23">
        <v>1</v>
      </c>
      <c r="H23">
        <v>2515</v>
      </c>
      <c r="I23">
        <v>2515</v>
      </c>
      <c r="P23">
        <v>22</v>
      </c>
      <c r="Q23" t="s">
        <v>95</v>
      </c>
      <c r="R23" t="s">
        <v>205</v>
      </c>
      <c r="S23" s="4">
        <v>0</v>
      </c>
      <c r="T23" s="4">
        <v>2359</v>
      </c>
      <c r="U23" s="4"/>
      <c r="AB23">
        <v>22</v>
      </c>
      <c r="AC23" t="s">
        <v>96</v>
      </c>
      <c r="AD23" t="s">
        <v>416</v>
      </c>
      <c r="AE23">
        <v>1</v>
      </c>
      <c r="AF23">
        <v>1908</v>
      </c>
      <c r="AG23">
        <v>1908</v>
      </c>
      <c r="AM23">
        <v>22</v>
      </c>
      <c r="AN23" t="s">
        <v>96</v>
      </c>
      <c r="AO23" t="s">
        <v>402</v>
      </c>
      <c r="AP23">
        <v>1</v>
      </c>
      <c r="AQ23">
        <v>2938</v>
      </c>
      <c r="AR23">
        <v>2938</v>
      </c>
    </row>
    <row r="24" spans="4:44" x14ac:dyDescent="0.25">
      <c r="D24">
        <v>23</v>
      </c>
      <c r="E24" t="s">
        <v>96</v>
      </c>
      <c r="F24" t="s">
        <v>221</v>
      </c>
      <c r="G24">
        <v>1</v>
      </c>
      <c r="H24">
        <v>2181</v>
      </c>
      <c r="I24">
        <v>2181</v>
      </c>
      <c r="P24">
        <v>23</v>
      </c>
      <c r="Q24" t="s">
        <v>96</v>
      </c>
      <c r="R24" t="s">
        <v>216</v>
      </c>
      <c r="S24" s="4">
        <v>0</v>
      </c>
      <c r="T24" s="4">
        <v>1628</v>
      </c>
      <c r="U24" s="4"/>
      <c r="AB24">
        <v>23</v>
      </c>
      <c r="AC24" t="s">
        <v>96</v>
      </c>
      <c r="AD24" t="s">
        <v>417</v>
      </c>
      <c r="AE24">
        <v>1</v>
      </c>
      <c r="AF24">
        <v>2047</v>
      </c>
      <c r="AG24">
        <v>2047</v>
      </c>
      <c r="AM24">
        <v>23</v>
      </c>
      <c r="AN24" t="s">
        <v>96</v>
      </c>
      <c r="AO24" t="s">
        <v>414</v>
      </c>
      <c r="AP24">
        <v>1</v>
      </c>
      <c r="AQ24">
        <v>5339</v>
      </c>
      <c r="AR24">
        <v>5339</v>
      </c>
    </row>
    <row r="25" spans="4:44" x14ac:dyDescent="0.25">
      <c r="D25">
        <v>24</v>
      </c>
      <c r="E25" t="s">
        <v>96</v>
      </c>
      <c r="F25" t="s">
        <v>222</v>
      </c>
      <c r="G25">
        <v>1</v>
      </c>
      <c r="H25">
        <v>2336</v>
      </c>
      <c r="I25">
        <v>2336</v>
      </c>
      <c r="P25">
        <v>24</v>
      </c>
      <c r="Q25" t="s">
        <v>95</v>
      </c>
      <c r="R25" t="s">
        <v>203</v>
      </c>
      <c r="S25" s="4">
        <v>0</v>
      </c>
      <c r="T25" s="4">
        <v>2146</v>
      </c>
      <c r="U25" s="4"/>
      <c r="AB25">
        <v>24</v>
      </c>
      <c r="AC25" t="s">
        <v>95</v>
      </c>
      <c r="AD25" t="s">
        <v>418</v>
      </c>
      <c r="AE25">
        <v>1</v>
      </c>
      <c r="AF25">
        <v>2273</v>
      </c>
      <c r="AG25">
        <v>2273</v>
      </c>
      <c r="AM25">
        <v>24</v>
      </c>
      <c r="AN25" t="s">
        <v>95</v>
      </c>
      <c r="AO25" t="s">
        <v>411</v>
      </c>
      <c r="AP25">
        <v>1</v>
      </c>
      <c r="AQ25">
        <v>3063</v>
      </c>
      <c r="AR25">
        <v>3063</v>
      </c>
    </row>
    <row r="26" spans="4:44" x14ac:dyDescent="0.25">
      <c r="D26">
        <v>25</v>
      </c>
      <c r="E26" t="s">
        <v>95</v>
      </c>
      <c r="F26" t="s">
        <v>223</v>
      </c>
      <c r="G26">
        <v>1</v>
      </c>
      <c r="H26">
        <v>3232</v>
      </c>
      <c r="I26">
        <v>3232</v>
      </c>
      <c r="P26">
        <v>25</v>
      </c>
      <c r="Q26" t="s">
        <v>96</v>
      </c>
      <c r="R26" t="s">
        <v>238</v>
      </c>
      <c r="S26">
        <v>1</v>
      </c>
      <c r="T26">
        <v>3645</v>
      </c>
      <c r="U26">
        <v>3645</v>
      </c>
      <c r="AB26">
        <v>25</v>
      </c>
      <c r="AC26" t="s">
        <v>96</v>
      </c>
      <c r="AD26" t="s">
        <v>419</v>
      </c>
      <c r="AE26">
        <v>1</v>
      </c>
      <c r="AF26">
        <v>1720</v>
      </c>
      <c r="AG26">
        <v>1720</v>
      </c>
      <c r="AM26">
        <v>25</v>
      </c>
      <c r="AN26" t="s">
        <v>95</v>
      </c>
      <c r="AO26" t="s">
        <v>403</v>
      </c>
      <c r="AP26" s="4">
        <v>0</v>
      </c>
      <c r="AQ26" s="4">
        <v>2648</v>
      </c>
      <c r="AR26" s="4"/>
    </row>
    <row r="27" spans="4:44" x14ac:dyDescent="0.25">
      <c r="D27">
        <v>26</v>
      </c>
      <c r="E27" t="s">
        <v>96</v>
      </c>
      <c r="F27" t="s">
        <v>224</v>
      </c>
      <c r="G27">
        <v>1</v>
      </c>
      <c r="H27">
        <v>3351</v>
      </c>
      <c r="I27">
        <v>3351</v>
      </c>
      <c r="P27">
        <v>26</v>
      </c>
      <c r="Q27" t="s">
        <v>96</v>
      </c>
      <c r="R27" t="s">
        <v>202</v>
      </c>
      <c r="S27" s="4">
        <v>0</v>
      </c>
      <c r="T27" s="4">
        <v>2600</v>
      </c>
      <c r="U27" s="4"/>
      <c r="AB27">
        <v>26</v>
      </c>
      <c r="AC27" t="s">
        <v>95</v>
      </c>
      <c r="AD27" t="s">
        <v>420</v>
      </c>
      <c r="AE27" s="4">
        <v>0</v>
      </c>
      <c r="AF27" s="4">
        <v>2106</v>
      </c>
      <c r="AG27" s="4"/>
      <c r="AM27">
        <v>26</v>
      </c>
      <c r="AN27" t="s">
        <v>95</v>
      </c>
      <c r="AO27" t="s">
        <v>399</v>
      </c>
      <c r="AP27">
        <v>1</v>
      </c>
      <c r="AQ27">
        <v>4457</v>
      </c>
      <c r="AR27">
        <v>4457</v>
      </c>
    </row>
    <row r="28" spans="4:44" x14ac:dyDescent="0.25">
      <c r="D28">
        <v>27</v>
      </c>
      <c r="E28" t="s">
        <v>96</v>
      </c>
      <c r="F28" t="s">
        <v>225</v>
      </c>
      <c r="G28">
        <v>1</v>
      </c>
      <c r="H28">
        <v>2387</v>
      </c>
      <c r="I28">
        <v>2387</v>
      </c>
      <c r="P28">
        <v>27</v>
      </c>
      <c r="Q28" t="s">
        <v>95</v>
      </c>
      <c r="R28" t="s">
        <v>208</v>
      </c>
      <c r="S28" s="4">
        <v>0</v>
      </c>
      <c r="T28" s="4">
        <v>2245</v>
      </c>
      <c r="U28" s="4"/>
      <c r="AB28">
        <v>27</v>
      </c>
      <c r="AC28" t="s">
        <v>96</v>
      </c>
      <c r="AD28" t="s">
        <v>421</v>
      </c>
      <c r="AE28">
        <v>1</v>
      </c>
      <c r="AF28">
        <v>3405</v>
      </c>
      <c r="AG28">
        <v>3405</v>
      </c>
      <c r="AM28">
        <v>27</v>
      </c>
      <c r="AN28" t="s">
        <v>96</v>
      </c>
      <c r="AO28" t="s">
        <v>406</v>
      </c>
      <c r="AP28" s="4">
        <v>0</v>
      </c>
      <c r="AQ28" s="4">
        <v>2722</v>
      </c>
      <c r="AR28" s="4"/>
    </row>
    <row r="29" spans="4:44" x14ac:dyDescent="0.25">
      <c r="D29">
        <v>28</v>
      </c>
      <c r="E29" t="s">
        <v>96</v>
      </c>
      <c r="F29" t="s">
        <v>226</v>
      </c>
      <c r="G29">
        <v>1</v>
      </c>
      <c r="H29">
        <v>3747</v>
      </c>
      <c r="I29">
        <v>3747</v>
      </c>
      <c r="P29">
        <v>28</v>
      </c>
      <c r="Q29" t="s">
        <v>95</v>
      </c>
      <c r="R29" t="s">
        <v>237</v>
      </c>
      <c r="S29">
        <v>1</v>
      </c>
      <c r="T29">
        <v>2678</v>
      </c>
      <c r="U29">
        <v>2678</v>
      </c>
      <c r="AB29">
        <v>28</v>
      </c>
      <c r="AC29" t="s">
        <v>95</v>
      </c>
      <c r="AD29" t="s">
        <v>422</v>
      </c>
      <c r="AE29" s="4">
        <v>0</v>
      </c>
      <c r="AF29" s="4">
        <v>1220</v>
      </c>
      <c r="AG29" s="4"/>
      <c r="AM29">
        <v>28</v>
      </c>
      <c r="AN29" t="s">
        <v>95</v>
      </c>
      <c r="AO29" t="s">
        <v>410</v>
      </c>
      <c r="AP29" s="4">
        <v>0</v>
      </c>
      <c r="AQ29" s="4">
        <v>2360</v>
      </c>
      <c r="AR29" s="4"/>
    </row>
    <row r="30" spans="4:44" x14ac:dyDescent="0.25">
      <c r="D30">
        <v>29</v>
      </c>
      <c r="E30" t="s">
        <v>95</v>
      </c>
      <c r="F30" t="s">
        <v>227</v>
      </c>
      <c r="G30">
        <v>1</v>
      </c>
      <c r="H30">
        <v>4022</v>
      </c>
      <c r="I30">
        <v>4022</v>
      </c>
      <c r="P30">
        <v>29</v>
      </c>
      <c r="Q30" t="s">
        <v>95</v>
      </c>
      <c r="R30" t="s">
        <v>227</v>
      </c>
      <c r="S30" s="4">
        <v>0</v>
      </c>
      <c r="T30" s="4">
        <v>2567</v>
      </c>
      <c r="U30" s="4"/>
      <c r="AB30">
        <v>29</v>
      </c>
      <c r="AC30" t="s">
        <v>96</v>
      </c>
      <c r="AD30" t="s">
        <v>423</v>
      </c>
      <c r="AE30">
        <v>1</v>
      </c>
      <c r="AF30">
        <v>2668</v>
      </c>
      <c r="AG30">
        <v>2668</v>
      </c>
      <c r="AM30">
        <v>29</v>
      </c>
      <c r="AN30" t="s">
        <v>96</v>
      </c>
      <c r="AO30" t="s">
        <v>397</v>
      </c>
      <c r="AP30" s="4">
        <v>0</v>
      </c>
      <c r="AQ30" s="4">
        <v>5700</v>
      </c>
      <c r="AR30" s="4"/>
    </row>
    <row r="31" spans="4:44" x14ac:dyDescent="0.25">
      <c r="D31">
        <v>30</v>
      </c>
      <c r="E31" t="s">
        <v>96</v>
      </c>
      <c r="F31" t="s">
        <v>228</v>
      </c>
      <c r="G31">
        <v>1</v>
      </c>
      <c r="H31">
        <v>3811</v>
      </c>
      <c r="I31">
        <v>3811</v>
      </c>
      <c r="P31">
        <v>30</v>
      </c>
      <c r="Q31" t="s">
        <v>95</v>
      </c>
      <c r="R31" t="s">
        <v>204</v>
      </c>
      <c r="S31" s="4">
        <v>0</v>
      </c>
      <c r="T31" s="4">
        <v>1325</v>
      </c>
      <c r="U31" s="4"/>
      <c r="AB31">
        <v>30</v>
      </c>
      <c r="AC31" t="s">
        <v>95</v>
      </c>
      <c r="AD31" t="s">
        <v>424</v>
      </c>
      <c r="AE31" s="4">
        <v>0</v>
      </c>
      <c r="AF31" s="4">
        <v>2449</v>
      </c>
      <c r="AG31" s="4"/>
      <c r="AM31">
        <v>30</v>
      </c>
      <c r="AN31" t="s">
        <v>96</v>
      </c>
      <c r="AO31" t="s">
        <v>426</v>
      </c>
      <c r="AP31">
        <v>1</v>
      </c>
      <c r="AQ31">
        <v>4323</v>
      </c>
      <c r="AR31">
        <v>4323</v>
      </c>
    </row>
    <row r="32" spans="4:44" x14ac:dyDescent="0.25">
      <c r="D32">
        <v>31</v>
      </c>
      <c r="E32" t="s">
        <v>95</v>
      </c>
      <c r="F32" t="s">
        <v>229</v>
      </c>
      <c r="G32">
        <v>1</v>
      </c>
      <c r="H32">
        <v>3192</v>
      </c>
      <c r="I32">
        <v>3192</v>
      </c>
      <c r="P32">
        <v>31</v>
      </c>
      <c r="Q32" t="s">
        <v>95</v>
      </c>
      <c r="R32" t="s">
        <v>223</v>
      </c>
      <c r="S32">
        <v>1</v>
      </c>
      <c r="T32">
        <v>3547</v>
      </c>
      <c r="U32">
        <v>3547</v>
      </c>
      <c r="AB32">
        <v>31</v>
      </c>
      <c r="AC32" t="s">
        <v>95</v>
      </c>
      <c r="AD32" t="s">
        <v>425</v>
      </c>
      <c r="AE32" s="4">
        <v>0</v>
      </c>
      <c r="AF32" s="4">
        <v>3210</v>
      </c>
      <c r="AG32" s="4"/>
      <c r="AM32">
        <v>31</v>
      </c>
      <c r="AN32" t="s">
        <v>96</v>
      </c>
      <c r="AO32" t="s">
        <v>409</v>
      </c>
      <c r="AP32" s="4">
        <v>0</v>
      </c>
      <c r="AQ32" s="4">
        <v>0</v>
      </c>
      <c r="AR32" s="4"/>
    </row>
    <row r="33" spans="3:44" x14ac:dyDescent="0.25">
      <c r="D33">
        <v>32</v>
      </c>
      <c r="E33" t="s">
        <v>96</v>
      </c>
      <c r="F33" t="s">
        <v>230</v>
      </c>
      <c r="G33">
        <v>1</v>
      </c>
      <c r="H33">
        <v>1847</v>
      </c>
      <c r="I33">
        <v>1847</v>
      </c>
      <c r="P33">
        <v>32</v>
      </c>
      <c r="Q33" t="s">
        <v>96</v>
      </c>
      <c r="R33" t="s">
        <v>230</v>
      </c>
      <c r="S33">
        <v>1</v>
      </c>
      <c r="T33">
        <v>855</v>
      </c>
      <c r="U33">
        <v>855</v>
      </c>
      <c r="AB33">
        <v>32</v>
      </c>
      <c r="AC33" t="s">
        <v>96</v>
      </c>
      <c r="AD33" t="s">
        <v>426</v>
      </c>
      <c r="AE33">
        <v>1</v>
      </c>
      <c r="AF33">
        <v>4158</v>
      </c>
      <c r="AG33">
        <v>4158</v>
      </c>
      <c r="AM33">
        <v>32</v>
      </c>
      <c r="AN33" t="s">
        <v>95</v>
      </c>
      <c r="AO33" t="s">
        <v>422</v>
      </c>
      <c r="AP33" s="4">
        <v>0</v>
      </c>
      <c r="AQ33" s="4">
        <v>3851</v>
      </c>
      <c r="AR33" s="4"/>
    </row>
    <row r="34" spans="3:44" x14ac:dyDescent="0.25">
      <c r="D34">
        <v>33</v>
      </c>
      <c r="E34" t="s">
        <v>95</v>
      </c>
      <c r="F34" t="s">
        <v>231</v>
      </c>
      <c r="G34">
        <v>1</v>
      </c>
      <c r="H34">
        <v>3195</v>
      </c>
      <c r="I34">
        <v>3195</v>
      </c>
      <c r="P34">
        <v>33</v>
      </c>
      <c r="Q34" t="s">
        <v>96</v>
      </c>
      <c r="R34" t="s">
        <v>226</v>
      </c>
      <c r="S34" s="4">
        <v>0</v>
      </c>
      <c r="T34" s="4">
        <v>0</v>
      </c>
      <c r="U34" s="4"/>
      <c r="AB34">
        <v>33</v>
      </c>
      <c r="AC34" t="s">
        <v>95</v>
      </c>
      <c r="AD34" t="s">
        <v>427</v>
      </c>
      <c r="AE34" s="4">
        <v>0</v>
      </c>
      <c r="AF34" s="4">
        <v>1676</v>
      </c>
      <c r="AG34" s="4"/>
      <c r="AM34">
        <v>33</v>
      </c>
      <c r="AN34" t="s">
        <v>96</v>
      </c>
      <c r="AO34" t="s">
        <v>419</v>
      </c>
      <c r="AP34">
        <v>1</v>
      </c>
      <c r="AQ34">
        <v>5335</v>
      </c>
      <c r="AR34">
        <v>5335</v>
      </c>
    </row>
    <row r="35" spans="3:44" x14ac:dyDescent="0.25">
      <c r="D35">
        <v>34</v>
      </c>
      <c r="E35" t="s">
        <v>96</v>
      </c>
      <c r="F35" t="s">
        <v>232</v>
      </c>
      <c r="G35">
        <v>1</v>
      </c>
      <c r="H35">
        <v>2084</v>
      </c>
      <c r="I35">
        <v>2084</v>
      </c>
      <c r="P35">
        <v>34</v>
      </c>
      <c r="Q35" t="s">
        <v>95</v>
      </c>
      <c r="R35" t="s">
        <v>219</v>
      </c>
      <c r="S35">
        <v>1</v>
      </c>
      <c r="T35">
        <v>1833</v>
      </c>
      <c r="U35">
        <v>1833</v>
      </c>
      <c r="AB35">
        <v>34</v>
      </c>
      <c r="AC35" t="s">
        <v>96</v>
      </c>
      <c r="AD35" t="s">
        <v>428</v>
      </c>
      <c r="AE35">
        <v>1</v>
      </c>
      <c r="AF35">
        <v>4124</v>
      </c>
      <c r="AG35">
        <v>4124</v>
      </c>
      <c r="AM35">
        <v>34</v>
      </c>
      <c r="AN35" t="s">
        <v>96</v>
      </c>
      <c r="AO35" t="s">
        <v>416</v>
      </c>
      <c r="AP35">
        <v>1</v>
      </c>
      <c r="AQ35">
        <v>1906</v>
      </c>
      <c r="AR35">
        <v>1906</v>
      </c>
    </row>
    <row r="36" spans="3:44" x14ac:dyDescent="0.25">
      <c r="D36">
        <v>35</v>
      </c>
      <c r="E36" t="s">
        <v>95</v>
      </c>
      <c r="F36" t="s">
        <v>233</v>
      </c>
      <c r="G36" s="4">
        <v>0</v>
      </c>
      <c r="H36" s="4">
        <v>2605</v>
      </c>
      <c r="I36" s="4"/>
      <c r="P36">
        <v>35</v>
      </c>
      <c r="Q36" t="s">
        <v>95</v>
      </c>
      <c r="R36" t="s">
        <v>211</v>
      </c>
      <c r="S36" s="4">
        <v>0</v>
      </c>
      <c r="T36" s="4">
        <v>1793</v>
      </c>
      <c r="U36" s="4"/>
      <c r="AB36">
        <v>35</v>
      </c>
      <c r="AC36" t="s">
        <v>96</v>
      </c>
      <c r="AD36" t="s">
        <v>429</v>
      </c>
      <c r="AE36">
        <v>1</v>
      </c>
      <c r="AF36">
        <v>3611</v>
      </c>
      <c r="AG36">
        <v>3611</v>
      </c>
      <c r="AM36">
        <v>35</v>
      </c>
      <c r="AN36" t="s">
        <v>95</v>
      </c>
      <c r="AO36" t="s">
        <v>431</v>
      </c>
      <c r="AP36" s="4">
        <v>0</v>
      </c>
      <c r="AQ36" s="4">
        <v>2189</v>
      </c>
      <c r="AR36" s="4"/>
    </row>
    <row r="37" spans="3:44" x14ac:dyDescent="0.25">
      <c r="D37">
        <v>36</v>
      </c>
      <c r="E37" t="s">
        <v>96</v>
      </c>
      <c r="F37" t="s">
        <v>234</v>
      </c>
      <c r="G37" s="4">
        <v>0</v>
      </c>
      <c r="H37" s="4">
        <v>2218</v>
      </c>
      <c r="I37" s="4"/>
      <c r="P37">
        <v>36</v>
      </c>
      <c r="Q37" t="s">
        <v>96</v>
      </c>
      <c r="R37" t="s">
        <v>210</v>
      </c>
      <c r="S37">
        <v>1</v>
      </c>
      <c r="T37">
        <v>1426</v>
      </c>
      <c r="U37">
        <v>1426</v>
      </c>
      <c r="AB37">
        <v>36</v>
      </c>
      <c r="AC37" t="s">
        <v>95</v>
      </c>
      <c r="AD37" t="s">
        <v>430</v>
      </c>
      <c r="AE37">
        <v>1</v>
      </c>
      <c r="AF37">
        <v>2240</v>
      </c>
      <c r="AG37">
        <v>2240</v>
      </c>
      <c r="AM37">
        <v>36</v>
      </c>
      <c r="AN37" t="s">
        <v>96</v>
      </c>
      <c r="AO37" t="s">
        <v>432</v>
      </c>
      <c r="AP37" s="4">
        <v>0</v>
      </c>
      <c r="AQ37" s="4">
        <v>5200</v>
      </c>
      <c r="AR37" s="4"/>
    </row>
    <row r="38" spans="3:44" x14ac:dyDescent="0.25">
      <c r="D38">
        <v>37</v>
      </c>
      <c r="E38" t="s">
        <v>95</v>
      </c>
      <c r="F38" t="s">
        <v>235</v>
      </c>
      <c r="G38">
        <v>1</v>
      </c>
      <c r="H38">
        <v>1623</v>
      </c>
      <c r="I38">
        <v>1623</v>
      </c>
      <c r="P38">
        <v>37</v>
      </c>
      <c r="Q38" t="s">
        <v>95</v>
      </c>
      <c r="R38" t="s">
        <v>207</v>
      </c>
      <c r="S38">
        <v>1</v>
      </c>
      <c r="T38">
        <v>4983</v>
      </c>
      <c r="U38">
        <v>4983</v>
      </c>
      <c r="AB38">
        <v>37</v>
      </c>
      <c r="AC38" t="s">
        <v>95</v>
      </c>
      <c r="AD38" t="s">
        <v>431</v>
      </c>
      <c r="AE38" s="4">
        <v>0</v>
      </c>
      <c r="AF38" s="4">
        <v>2407</v>
      </c>
      <c r="AG38" s="4"/>
      <c r="AM38">
        <v>37</v>
      </c>
      <c r="AN38" t="s">
        <v>96</v>
      </c>
      <c r="AO38" t="s">
        <v>433</v>
      </c>
      <c r="AP38">
        <v>1</v>
      </c>
      <c r="AQ38">
        <v>5726</v>
      </c>
      <c r="AR38">
        <v>5726</v>
      </c>
    </row>
    <row r="39" spans="3:44" x14ac:dyDescent="0.25">
      <c r="D39">
        <v>38</v>
      </c>
      <c r="E39" t="s">
        <v>96</v>
      </c>
      <c r="F39" t="s">
        <v>236</v>
      </c>
      <c r="G39">
        <v>1</v>
      </c>
      <c r="H39">
        <v>3296</v>
      </c>
      <c r="I39">
        <v>3296</v>
      </c>
      <c r="P39">
        <v>38</v>
      </c>
      <c r="Q39" t="s">
        <v>96</v>
      </c>
      <c r="R39" t="s">
        <v>232</v>
      </c>
      <c r="S39">
        <v>1</v>
      </c>
      <c r="T39">
        <v>1716</v>
      </c>
      <c r="U39">
        <v>1716</v>
      </c>
      <c r="AB39">
        <v>38</v>
      </c>
      <c r="AC39" t="s">
        <v>96</v>
      </c>
      <c r="AD39" t="s">
        <v>432</v>
      </c>
      <c r="AE39" s="4">
        <v>0</v>
      </c>
      <c r="AF39" s="4">
        <v>0</v>
      </c>
      <c r="AG39" s="4"/>
      <c r="AM39">
        <v>38</v>
      </c>
      <c r="AN39" t="s">
        <v>96</v>
      </c>
      <c r="AO39" t="s">
        <v>417</v>
      </c>
      <c r="AP39" s="4">
        <v>0</v>
      </c>
      <c r="AQ39" s="4">
        <v>2083</v>
      </c>
      <c r="AR39" s="4"/>
    </row>
    <row r="40" spans="3:44" x14ac:dyDescent="0.25">
      <c r="D40">
        <v>39</v>
      </c>
      <c r="E40" t="s">
        <v>95</v>
      </c>
      <c r="F40" t="s">
        <v>237</v>
      </c>
      <c r="G40">
        <v>1</v>
      </c>
      <c r="H40">
        <v>2569</v>
      </c>
      <c r="I40">
        <v>2569</v>
      </c>
      <c r="P40">
        <v>39</v>
      </c>
      <c r="Q40" t="s">
        <v>95</v>
      </c>
      <c r="R40" t="s">
        <v>217</v>
      </c>
      <c r="S40">
        <v>1</v>
      </c>
      <c r="T40">
        <v>2744</v>
      </c>
      <c r="U40">
        <v>2744</v>
      </c>
      <c r="AB40">
        <v>39</v>
      </c>
      <c r="AC40" t="s">
        <v>96</v>
      </c>
      <c r="AD40" t="s">
        <v>433</v>
      </c>
      <c r="AE40">
        <v>1</v>
      </c>
      <c r="AF40">
        <v>3130</v>
      </c>
      <c r="AG40">
        <v>3130</v>
      </c>
      <c r="AM40">
        <v>39</v>
      </c>
      <c r="AN40" t="s">
        <v>95</v>
      </c>
      <c r="AO40" t="s">
        <v>427</v>
      </c>
      <c r="AP40" s="4">
        <v>0</v>
      </c>
      <c r="AQ40" s="4">
        <v>2682</v>
      </c>
      <c r="AR40" s="4"/>
    </row>
    <row r="41" spans="3:44" x14ac:dyDescent="0.25">
      <c r="D41">
        <v>40</v>
      </c>
      <c r="E41" t="s">
        <v>96</v>
      </c>
      <c r="F41" t="s">
        <v>238</v>
      </c>
      <c r="G41">
        <v>1</v>
      </c>
      <c r="H41">
        <v>3527</v>
      </c>
      <c r="I41">
        <v>3527</v>
      </c>
      <c r="P41">
        <v>40</v>
      </c>
      <c r="Q41" t="s">
        <v>96</v>
      </c>
      <c r="R41" t="s">
        <v>236</v>
      </c>
      <c r="S41" s="4">
        <v>0</v>
      </c>
      <c r="T41" s="4">
        <v>3503</v>
      </c>
      <c r="U41" s="4"/>
      <c r="AB41">
        <v>40</v>
      </c>
      <c r="AC41" t="s">
        <v>95</v>
      </c>
      <c r="AD41" t="s">
        <v>434</v>
      </c>
      <c r="AE41">
        <v>1</v>
      </c>
      <c r="AF41">
        <v>1790</v>
      </c>
      <c r="AG41">
        <v>1790</v>
      </c>
      <c r="AM41">
        <v>40</v>
      </c>
      <c r="AN41" t="s">
        <v>96</v>
      </c>
      <c r="AO41" t="s">
        <v>421</v>
      </c>
      <c r="AP41" s="4">
        <v>0</v>
      </c>
      <c r="AQ41" s="4">
        <v>2353</v>
      </c>
      <c r="AR41" s="4"/>
    </row>
    <row r="42" spans="3:44" x14ac:dyDescent="0.25">
      <c r="G42" s="2">
        <f>SUM(G2:G41)</f>
        <v>29</v>
      </c>
      <c r="I42">
        <f>SUM(I2:I41)</f>
        <v>82507</v>
      </c>
    </row>
    <row r="43" spans="3:44" x14ac:dyDescent="0.25">
      <c r="H43">
        <f>I42/G42</f>
        <v>2845.0689655172414</v>
      </c>
      <c r="S43">
        <f>SUM(S2:S42)</f>
        <v>22</v>
      </c>
      <c r="U43">
        <f>SUM(U2:U42)</f>
        <v>60808</v>
      </c>
      <c r="AE43">
        <f>SUM(AE2:AE42)</f>
        <v>26</v>
      </c>
      <c r="AG43">
        <f>SUM(AG2:AG42)</f>
        <v>71896</v>
      </c>
      <c r="AH43">
        <v>26</v>
      </c>
      <c r="AP43">
        <f>SUM(AP2:AP42)</f>
        <v>19</v>
      </c>
      <c r="AR43">
        <f>SUM(AR2:AR42)</f>
        <v>60015</v>
      </c>
    </row>
    <row r="44" spans="3:44" x14ac:dyDescent="0.25">
      <c r="AG44" s="8">
        <f>AG43/AH43</f>
        <v>2765.2307692307691</v>
      </c>
      <c r="AQ44" s="5">
        <f>AR43/AP43</f>
        <v>3158.6842105263158</v>
      </c>
    </row>
    <row r="45" spans="3:44" x14ac:dyDescent="0.25">
      <c r="D45" t="s">
        <v>644</v>
      </c>
      <c r="E45" t="s">
        <v>293</v>
      </c>
      <c r="F45" t="s">
        <v>314</v>
      </c>
      <c r="G45" t="s">
        <v>645</v>
      </c>
      <c r="M45" t="s">
        <v>644</v>
      </c>
      <c r="N45" t="s">
        <v>293</v>
      </c>
      <c r="O45" t="s">
        <v>314</v>
      </c>
      <c r="P45" t="s">
        <v>645</v>
      </c>
      <c r="T45" s="8">
        <f>U43/S43</f>
        <v>2764</v>
      </c>
    </row>
    <row r="46" spans="3:44" x14ac:dyDescent="0.25">
      <c r="C46" t="s">
        <v>650</v>
      </c>
      <c r="D46">
        <v>29</v>
      </c>
      <c r="E46">
        <v>22</v>
      </c>
      <c r="F46">
        <v>26</v>
      </c>
      <c r="G46">
        <v>19</v>
      </c>
      <c r="I46" s="4"/>
      <c r="L46" t="s">
        <v>664</v>
      </c>
      <c r="M46">
        <v>2845.0689655172414</v>
      </c>
      <c r="N46">
        <v>2764</v>
      </c>
      <c r="O46">
        <v>2765.2307692307691</v>
      </c>
      <c r="P46">
        <v>3158.6842105263158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3"/>
  <sheetViews>
    <sheetView topLeftCell="D1" workbookViewId="0">
      <selection activeCell="T41" sqref="T41"/>
    </sheetView>
  </sheetViews>
  <sheetFormatPr baseColWidth="10" defaultRowHeight="15" x14ac:dyDescent="0.25"/>
  <cols>
    <col min="1" max="1" width="42.5703125" customWidth="1"/>
    <col min="6" max="6" width="21.85546875" customWidth="1"/>
    <col min="7" max="7" width="69.28515625" customWidth="1"/>
    <col min="14" max="14" width="30.7109375" customWidth="1"/>
    <col min="19" max="19" width="21.42578125" customWidth="1"/>
    <col min="20" max="20" width="80.7109375" customWidth="1"/>
    <col min="21" max="21" width="19.140625" customWidth="1"/>
    <col min="27" max="27" width="21.7109375" customWidth="1"/>
    <col min="32" max="32" width="17.85546875" customWidth="1"/>
    <col min="33" max="33" width="72.85546875" customWidth="1"/>
    <col min="34" max="34" width="25.28515625" customWidth="1"/>
    <col min="35" max="35" width="25.140625" customWidth="1"/>
    <col min="38" max="38" width="24.42578125" customWidth="1"/>
    <col min="42" max="42" width="16.42578125" customWidth="1"/>
    <col min="43" max="43" width="21.42578125" customWidth="1"/>
    <col min="44" max="44" width="55.85546875" customWidth="1"/>
  </cols>
  <sheetData>
    <row r="1" spans="1:46" ht="15.7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91</v>
      </c>
      <c r="F1" s="2" t="s">
        <v>92</v>
      </c>
      <c r="G1" s="2" t="s">
        <v>476</v>
      </c>
      <c r="H1" s="2" t="s">
        <v>239</v>
      </c>
      <c r="I1" s="2" t="s">
        <v>240</v>
      </c>
      <c r="N1" s="1" t="s">
        <v>97</v>
      </c>
      <c r="O1" s="2" t="s">
        <v>0</v>
      </c>
      <c r="P1" s="2" t="s">
        <v>1</v>
      </c>
      <c r="Q1" s="2" t="s">
        <v>2</v>
      </c>
      <c r="R1" s="2" t="s">
        <v>312</v>
      </c>
      <c r="S1" s="2" t="s">
        <v>92</v>
      </c>
      <c r="T1" s="2" t="s">
        <v>476</v>
      </c>
      <c r="U1" s="2" t="s">
        <v>239</v>
      </c>
      <c r="V1" s="2" t="s">
        <v>240</v>
      </c>
      <c r="AA1" s="1" t="s">
        <v>97</v>
      </c>
      <c r="AB1" s="2" t="s">
        <v>0</v>
      </c>
      <c r="AC1" s="2" t="s">
        <v>1</v>
      </c>
      <c r="AD1" s="2" t="s">
        <v>2</v>
      </c>
      <c r="AE1" s="2" t="s">
        <v>312</v>
      </c>
      <c r="AF1" s="2" t="s">
        <v>92</v>
      </c>
      <c r="AG1" s="2" t="s">
        <v>476</v>
      </c>
      <c r="AH1" s="2" t="s">
        <v>239</v>
      </c>
      <c r="AI1" s="2" t="s">
        <v>240</v>
      </c>
      <c r="AL1" s="1" t="s">
        <v>97</v>
      </c>
      <c r="AM1" s="2" t="s">
        <v>0</v>
      </c>
      <c r="AN1" s="2" t="s">
        <v>1</v>
      </c>
      <c r="AO1" s="2" t="s">
        <v>2</v>
      </c>
      <c r="AP1" s="2" t="s">
        <v>312</v>
      </c>
      <c r="AQ1" s="2" t="s">
        <v>519</v>
      </c>
      <c r="AR1" s="2" t="s">
        <v>476</v>
      </c>
      <c r="AS1" s="2" t="s">
        <v>239</v>
      </c>
      <c r="AT1" s="2" t="s">
        <v>240</v>
      </c>
    </row>
    <row r="2" spans="1:46" ht="15.75" x14ac:dyDescent="0.25">
      <c r="A2" s="3" t="s">
        <v>6</v>
      </c>
      <c r="B2">
        <v>2</v>
      </c>
      <c r="C2">
        <v>1</v>
      </c>
      <c r="D2">
        <v>1</v>
      </c>
      <c r="E2" t="s">
        <v>241</v>
      </c>
      <c r="F2" t="s">
        <v>246</v>
      </c>
      <c r="G2" t="s">
        <v>743</v>
      </c>
      <c r="N2" s="3" t="s">
        <v>293</v>
      </c>
      <c r="O2">
        <v>2</v>
      </c>
      <c r="P2">
        <v>2</v>
      </c>
      <c r="Q2">
        <v>1</v>
      </c>
      <c r="R2" t="s">
        <v>95</v>
      </c>
      <c r="S2" t="s">
        <v>272</v>
      </c>
      <c r="T2" t="s">
        <v>779</v>
      </c>
      <c r="AA2" s="3" t="s">
        <v>314</v>
      </c>
      <c r="AB2">
        <v>1</v>
      </c>
      <c r="AC2">
        <v>3</v>
      </c>
      <c r="AD2">
        <v>1</v>
      </c>
      <c r="AE2" t="s">
        <v>95</v>
      </c>
      <c r="AF2" t="s">
        <v>436</v>
      </c>
      <c r="AG2" t="s">
        <v>477</v>
      </c>
      <c r="AL2" s="3" t="s">
        <v>645</v>
      </c>
      <c r="AM2">
        <v>1</v>
      </c>
      <c r="AN2">
        <v>4</v>
      </c>
      <c r="AO2">
        <v>1</v>
      </c>
      <c r="AP2" t="s">
        <v>241</v>
      </c>
      <c r="AQ2" t="s">
        <v>474</v>
      </c>
      <c r="AR2" t="s">
        <v>666</v>
      </c>
    </row>
    <row r="3" spans="1:46" ht="15.75" x14ac:dyDescent="0.25">
      <c r="A3" s="1" t="s">
        <v>244</v>
      </c>
      <c r="D3">
        <v>2</v>
      </c>
      <c r="E3" t="s">
        <v>95</v>
      </c>
      <c r="F3" t="s">
        <v>247</v>
      </c>
      <c r="I3">
        <v>1</v>
      </c>
      <c r="N3" s="1" t="s">
        <v>244</v>
      </c>
      <c r="Q3">
        <v>2</v>
      </c>
      <c r="R3" t="s">
        <v>95</v>
      </c>
      <c r="S3" t="s">
        <v>273</v>
      </c>
      <c r="T3" t="s">
        <v>780</v>
      </c>
      <c r="AA3" s="1" t="s">
        <v>244</v>
      </c>
      <c r="AD3">
        <v>2</v>
      </c>
      <c r="AE3" t="s">
        <v>95</v>
      </c>
      <c r="AF3" t="s">
        <v>437</v>
      </c>
      <c r="AG3" t="s">
        <v>478</v>
      </c>
      <c r="AL3" s="1" t="s">
        <v>244</v>
      </c>
      <c r="AO3">
        <v>2</v>
      </c>
      <c r="AP3" t="s">
        <v>95</v>
      </c>
      <c r="AQ3" t="s">
        <v>472</v>
      </c>
      <c r="AR3" t="s">
        <v>667</v>
      </c>
    </row>
    <row r="4" spans="1:46" x14ac:dyDescent="0.25">
      <c r="A4" t="s">
        <v>99</v>
      </c>
      <c r="D4">
        <v>3</v>
      </c>
      <c r="E4" t="s">
        <v>241</v>
      </c>
      <c r="F4" t="s">
        <v>248</v>
      </c>
      <c r="G4" t="s">
        <v>744</v>
      </c>
      <c r="N4" t="s">
        <v>290</v>
      </c>
      <c r="Q4">
        <v>3</v>
      </c>
      <c r="R4" t="s">
        <v>95</v>
      </c>
      <c r="S4" t="s">
        <v>260</v>
      </c>
      <c r="T4" t="s">
        <v>781</v>
      </c>
      <c r="AA4" t="s">
        <v>330</v>
      </c>
      <c r="AD4">
        <v>3</v>
      </c>
      <c r="AE4" t="s">
        <v>241</v>
      </c>
      <c r="AF4" t="s">
        <v>438</v>
      </c>
      <c r="AG4" t="s">
        <v>479</v>
      </c>
      <c r="AL4" t="s">
        <v>655</v>
      </c>
      <c r="AO4">
        <v>3</v>
      </c>
      <c r="AP4" t="s">
        <v>241</v>
      </c>
      <c r="AQ4" t="s">
        <v>446</v>
      </c>
      <c r="AR4" t="s">
        <v>668</v>
      </c>
    </row>
    <row r="5" spans="1:46" x14ac:dyDescent="0.25">
      <c r="D5">
        <v>4</v>
      </c>
      <c r="E5" t="s">
        <v>241</v>
      </c>
      <c r="F5" t="s">
        <v>249</v>
      </c>
      <c r="I5">
        <v>1</v>
      </c>
      <c r="Q5">
        <v>4</v>
      </c>
      <c r="R5" t="s">
        <v>95</v>
      </c>
      <c r="S5" t="s">
        <v>254</v>
      </c>
      <c r="T5" t="s">
        <v>782</v>
      </c>
      <c r="AD5">
        <v>4</v>
      </c>
      <c r="AE5" t="s">
        <v>241</v>
      </c>
      <c r="AF5" t="s">
        <v>439</v>
      </c>
      <c r="AG5" t="s">
        <v>480</v>
      </c>
      <c r="AO5">
        <v>4</v>
      </c>
      <c r="AP5" t="s">
        <v>95</v>
      </c>
      <c r="AQ5" t="s">
        <v>436</v>
      </c>
      <c r="AR5" t="s">
        <v>669</v>
      </c>
    </row>
    <row r="6" spans="1:46" ht="15.75" x14ac:dyDescent="0.25">
      <c r="A6" s="1" t="s">
        <v>313</v>
      </c>
      <c r="D6">
        <v>5</v>
      </c>
      <c r="E6" t="s">
        <v>241</v>
      </c>
      <c r="F6" t="s">
        <v>250</v>
      </c>
      <c r="G6" t="s">
        <v>745</v>
      </c>
      <c r="N6" s="1" t="s">
        <v>313</v>
      </c>
      <c r="Q6">
        <v>5</v>
      </c>
      <c r="R6" t="s">
        <v>95</v>
      </c>
      <c r="S6" t="s">
        <v>281</v>
      </c>
      <c r="T6" t="s">
        <v>783</v>
      </c>
      <c r="AA6" s="1" t="s">
        <v>518</v>
      </c>
      <c r="AD6">
        <v>5</v>
      </c>
      <c r="AE6" t="s">
        <v>241</v>
      </c>
      <c r="AF6" t="s">
        <v>440</v>
      </c>
      <c r="AG6" t="s">
        <v>481</v>
      </c>
      <c r="AI6">
        <v>1</v>
      </c>
      <c r="AO6">
        <v>5</v>
      </c>
      <c r="AP6" t="s">
        <v>95</v>
      </c>
      <c r="AQ6" t="s">
        <v>454</v>
      </c>
      <c r="AR6" t="s">
        <v>670</v>
      </c>
    </row>
    <row r="7" spans="1:46" ht="15.75" x14ac:dyDescent="0.25">
      <c r="A7" s="1" t="s">
        <v>242</v>
      </c>
      <c r="D7">
        <v>6</v>
      </c>
      <c r="E7" t="s">
        <v>241</v>
      </c>
      <c r="F7" t="s">
        <v>251</v>
      </c>
      <c r="G7" t="s">
        <v>746</v>
      </c>
      <c r="N7" s="1" t="s">
        <v>242</v>
      </c>
      <c r="Q7">
        <v>6</v>
      </c>
      <c r="R7" t="s">
        <v>95</v>
      </c>
      <c r="S7" t="s">
        <v>282</v>
      </c>
      <c r="T7" t="s">
        <v>784</v>
      </c>
      <c r="AA7" s="1" t="s">
        <v>242</v>
      </c>
      <c r="AD7">
        <v>6</v>
      </c>
      <c r="AE7" t="s">
        <v>95</v>
      </c>
      <c r="AF7" t="s">
        <v>441</v>
      </c>
      <c r="AG7" t="s">
        <v>482</v>
      </c>
      <c r="AL7" s="1" t="s">
        <v>705</v>
      </c>
      <c r="AO7">
        <v>6</v>
      </c>
      <c r="AP7" t="s">
        <v>95</v>
      </c>
      <c r="AQ7" t="s">
        <v>465</v>
      </c>
      <c r="AR7" t="s">
        <v>671</v>
      </c>
    </row>
    <row r="8" spans="1:46" ht="15.75" x14ac:dyDescent="0.25">
      <c r="A8" s="1" t="s">
        <v>243</v>
      </c>
      <c r="D8">
        <v>7</v>
      </c>
      <c r="E8" t="s">
        <v>241</v>
      </c>
      <c r="F8" t="s">
        <v>252</v>
      </c>
      <c r="G8" t="s">
        <v>747</v>
      </c>
      <c r="N8" s="1" t="s">
        <v>243</v>
      </c>
      <c r="Q8">
        <v>7</v>
      </c>
      <c r="R8" t="s">
        <v>95</v>
      </c>
      <c r="S8" t="s">
        <v>268</v>
      </c>
      <c r="T8" t="s">
        <v>785</v>
      </c>
      <c r="AA8" s="1" t="s">
        <v>243</v>
      </c>
      <c r="AD8">
        <v>7</v>
      </c>
      <c r="AE8" t="s">
        <v>95</v>
      </c>
      <c r="AF8" t="s">
        <v>442</v>
      </c>
      <c r="AG8" t="s">
        <v>483</v>
      </c>
      <c r="AL8" s="1" t="s">
        <v>242</v>
      </c>
      <c r="AO8">
        <v>7</v>
      </c>
      <c r="AP8" t="s">
        <v>241</v>
      </c>
      <c r="AQ8" t="s">
        <v>463</v>
      </c>
      <c r="AR8" t="s">
        <v>672</v>
      </c>
    </row>
    <row r="9" spans="1:46" ht="15.75" x14ac:dyDescent="0.25">
      <c r="D9">
        <v>8</v>
      </c>
      <c r="E9" t="s">
        <v>95</v>
      </c>
      <c r="F9" t="s">
        <v>253</v>
      </c>
      <c r="G9" t="s">
        <v>748</v>
      </c>
      <c r="Q9">
        <v>8</v>
      </c>
      <c r="R9" t="s">
        <v>95</v>
      </c>
      <c r="S9" t="s">
        <v>275</v>
      </c>
      <c r="T9" t="s">
        <v>786</v>
      </c>
      <c r="AD9">
        <v>8</v>
      </c>
      <c r="AE9" t="s">
        <v>241</v>
      </c>
      <c r="AF9" t="s">
        <v>443</v>
      </c>
      <c r="AG9" t="s">
        <v>484</v>
      </c>
      <c r="AL9" s="1" t="s">
        <v>243</v>
      </c>
      <c r="AO9">
        <v>8</v>
      </c>
      <c r="AP9" t="s">
        <v>241</v>
      </c>
      <c r="AQ9" t="s">
        <v>450</v>
      </c>
      <c r="AR9" t="s">
        <v>673</v>
      </c>
    </row>
    <row r="10" spans="1:46" x14ac:dyDescent="0.25">
      <c r="D10">
        <v>9</v>
      </c>
      <c r="E10" t="s">
        <v>95</v>
      </c>
      <c r="F10" t="s">
        <v>254</v>
      </c>
      <c r="G10" t="s">
        <v>749</v>
      </c>
      <c r="Q10">
        <v>9</v>
      </c>
      <c r="R10" t="s">
        <v>241</v>
      </c>
      <c r="S10" t="s">
        <v>270</v>
      </c>
      <c r="T10" t="s">
        <v>787</v>
      </c>
      <c r="AD10">
        <v>9</v>
      </c>
      <c r="AE10" t="s">
        <v>95</v>
      </c>
      <c r="AF10" t="s">
        <v>444</v>
      </c>
      <c r="AG10" t="s">
        <v>485</v>
      </c>
      <c r="AO10">
        <v>9</v>
      </c>
      <c r="AP10" t="s">
        <v>95</v>
      </c>
      <c r="AQ10" t="s">
        <v>437</v>
      </c>
      <c r="AR10" t="s">
        <v>674</v>
      </c>
    </row>
    <row r="11" spans="1:46" x14ac:dyDescent="0.25">
      <c r="D11">
        <v>10</v>
      </c>
      <c r="E11" t="s">
        <v>241</v>
      </c>
      <c r="F11" t="s">
        <v>255</v>
      </c>
      <c r="G11" t="s">
        <v>750</v>
      </c>
      <c r="Q11">
        <v>10</v>
      </c>
      <c r="R11" t="s">
        <v>241</v>
      </c>
      <c r="S11" t="s">
        <v>274</v>
      </c>
      <c r="T11" t="s">
        <v>788</v>
      </c>
      <c r="AD11">
        <v>10</v>
      </c>
      <c r="AE11" t="s">
        <v>241</v>
      </c>
      <c r="AF11" t="s">
        <v>445</v>
      </c>
      <c r="AG11" t="s">
        <v>486</v>
      </c>
      <c r="AO11">
        <v>10</v>
      </c>
      <c r="AP11" t="s">
        <v>95</v>
      </c>
      <c r="AQ11" t="s">
        <v>464</v>
      </c>
      <c r="AR11" t="s">
        <v>675</v>
      </c>
    </row>
    <row r="12" spans="1:46" x14ac:dyDescent="0.25">
      <c r="D12">
        <v>11</v>
      </c>
      <c r="E12" t="s">
        <v>95</v>
      </c>
      <c r="F12" t="s">
        <v>256</v>
      </c>
      <c r="G12" t="s">
        <v>751</v>
      </c>
      <c r="Q12">
        <v>11</v>
      </c>
      <c r="R12" t="s">
        <v>241</v>
      </c>
      <c r="S12" t="s">
        <v>252</v>
      </c>
      <c r="T12" t="s">
        <v>789</v>
      </c>
      <c r="AD12">
        <v>11</v>
      </c>
      <c r="AE12" t="s">
        <v>241</v>
      </c>
      <c r="AF12" t="s">
        <v>446</v>
      </c>
      <c r="AG12" t="s">
        <v>487</v>
      </c>
      <c r="AO12">
        <v>11</v>
      </c>
      <c r="AP12" t="s">
        <v>241</v>
      </c>
      <c r="AQ12" t="s">
        <v>459</v>
      </c>
      <c r="AR12" t="s">
        <v>676</v>
      </c>
    </row>
    <row r="13" spans="1:46" x14ac:dyDescent="0.25">
      <c r="D13">
        <v>12</v>
      </c>
      <c r="E13" t="s">
        <v>241</v>
      </c>
      <c r="F13" t="s">
        <v>257</v>
      </c>
      <c r="G13" t="s">
        <v>752</v>
      </c>
      <c r="Q13">
        <v>12</v>
      </c>
      <c r="R13" t="s">
        <v>241</v>
      </c>
      <c r="S13" t="s">
        <v>246</v>
      </c>
      <c r="T13" t="s">
        <v>790</v>
      </c>
      <c r="AD13">
        <v>12</v>
      </c>
      <c r="AE13" t="s">
        <v>95</v>
      </c>
      <c r="AF13" t="s">
        <v>447</v>
      </c>
      <c r="AG13" t="s">
        <v>488</v>
      </c>
      <c r="AO13">
        <v>12</v>
      </c>
      <c r="AP13" t="s">
        <v>241</v>
      </c>
      <c r="AQ13" t="s">
        <v>445</v>
      </c>
      <c r="AR13" t="s">
        <v>677</v>
      </c>
    </row>
    <row r="14" spans="1:46" x14ac:dyDescent="0.25">
      <c r="D14">
        <v>13</v>
      </c>
      <c r="E14" t="s">
        <v>241</v>
      </c>
      <c r="F14" t="s">
        <v>258</v>
      </c>
      <c r="G14" t="s">
        <v>754</v>
      </c>
      <c r="Q14">
        <v>13</v>
      </c>
      <c r="R14" t="s">
        <v>95</v>
      </c>
      <c r="S14" t="s">
        <v>278</v>
      </c>
      <c r="T14" t="s">
        <v>791</v>
      </c>
      <c r="AD14">
        <v>13</v>
      </c>
      <c r="AE14" t="s">
        <v>241</v>
      </c>
      <c r="AF14" t="s">
        <v>448</v>
      </c>
      <c r="AG14" t="s">
        <v>489</v>
      </c>
      <c r="AO14">
        <v>13</v>
      </c>
      <c r="AP14" t="s">
        <v>241</v>
      </c>
      <c r="AQ14" t="s">
        <v>439</v>
      </c>
      <c r="AR14" t="s">
        <v>678</v>
      </c>
    </row>
    <row r="15" spans="1:46" x14ac:dyDescent="0.25">
      <c r="D15">
        <v>14</v>
      </c>
      <c r="E15" t="s">
        <v>241</v>
      </c>
      <c r="F15" t="s">
        <v>259</v>
      </c>
      <c r="G15" t="s">
        <v>753</v>
      </c>
      <c r="Q15">
        <v>14</v>
      </c>
      <c r="R15" t="s">
        <v>241</v>
      </c>
      <c r="S15" t="s">
        <v>251</v>
      </c>
      <c r="T15" t="s">
        <v>792</v>
      </c>
      <c r="AD15">
        <v>14</v>
      </c>
      <c r="AE15" t="s">
        <v>95</v>
      </c>
      <c r="AF15" t="s">
        <v>449</v>
      </c>
      <c r="AG15" t="s">
        <v>490</v>
      </c>
      <c r="AO15">
        <v>14</v>
      </c>
      <c r="AP15" t="s">
        <v>95</v>
      </c>
      <c r="AQ15" t="s">
        <v>456</v>
      </c>
      <c r="AR15" t="s">
        <v>679</v>
      </c>
    </row>
    <row r="16" spans="1:46" x14ac:dyDescent="0.25">
      <c r="D16">
        <v>15</v>
      </c>
      <c r="E16" t="s">
        <v>95</v>
      </c>
      <c r="F16" t="s">
        <v>260</v>
      </c>
      <c r="G16" t="s">
        <v>755</v>
      </c>
      <c r="Q16">
        <v>15</v>
      </c>
      <c r="R16" t="s">
        <v>95</v>
      </c>
      <c r="S16" t="s">
        <v>284</v>
      </c>
      <c r="T16" t="s">
        <v>793</v>
      </c>
      <c r="AD16">
        <v>15</v>
      </c>
      <c r="AE16" t="s">
        <v>241</v>
      </c>
      <c r="AF16" t="s">
        <v>450</v>
      </c>
      <c r="AG16" t="s">
        <v>491</v>
      </c>
      <c r="AO16">
        <v>15</v>
      </c>
      <c r="AP16" t="s">
        <v>241</v>
      </c>
      <c r="AQ16" t="s">
        <v>462</v>
      </c>
      <c r="AR16" t="s">
        <v>680</v>
      </c>
    </row>
    <row r="17" spans="4:44" x14ac:dyDescent="0.25">
      <c r="D17">
        <v>16</v>
      </c>
      <c r="E17" t="s">
        <v>241</v>
      </c>
      <c r="F17" t="s">
        <v>261</v>
      </c>
      <c r="I17">
        <v>1</v>
      </c>
      <c r="Q17">
        <v>16</v>
      </c>
      <c r="R17" t="s">
        <v>241</v>
      </c>
      <c r="S17" t="s">
        <v>248</v>
      </c>
      <c r="T17" t="s">
        <v>794</v>
      </c>
      <c r="AD17">
        <v>16</v>
      </c>
      <c r="AE17" t="s">
        <v>95</v>
      </c>
      <c r="AF17" t="s">
        <v>451</v>
      </c>
      <c r="AG17" t="s">
        <v>492</v>
      </c>
      <c r="AO17">
        <v>16</v>
      </c>
      <c r="AP17" t="s">
        <v>241</v>
      </c>
      <c r="AQ17" t="s">
        <v>458</v>
      </c>
      <c r="AR17" t="s">
        <v>681</v>
      </c>
    </row>
    <row r="18" spans="4:44" x14ac:dyDescent="0.25">
      <c r="D18">
        <v>17</v>
      </c>
      <c r="E18" t="s">
        <v>95</v>
      </c>
      <c r="F18" t="s">
        <v>262</v>
      </c>
      <c r="G18" t="s">
        <v>756</v>
      </c>
      <c r="Q18">
        <v>17</v>
      </c>
      <c r="R18" t="s">
        <v>95</v>
      </c>
      <c r="S18" t="s">
        <v>247</v>
      </c>
      <c r="V18">
        <v>1</v>
      </c>
      <c r="AD18">
        <v>17</v>
      </c>
      <c r="AE18" t="s">
        <v>95</v>
      </c>
      <c r="AF18" t="s">
        <v>452</v>
      </c>
      <c r="AG18" t="s">
        <v>493</v>
      </c>
      <c r="AO18">
        <v>17</v>
      </c>
      <c r="AP18" t="s">
        <v>95</v>
      </c>
      <c r="AQ18" t="s">
        <v>449</v>
      </c>
      <c r="AR18" t="s">
        <v>682</v>
      </c>
    </row>
    <row r="19" spans="4:44" x14ac:dyDescent="0.25">
      <c r="D19">
        <v>18</v>
      </c>
      <c r="E19" t="s">
        <v>241</v>
      </c>
      <c r="F19" t="s">
        <v>263</v>
      </c>
      <c r="G19" t="s">
        <v>757</v>
      </c>
      <c r="Q19">
        <v>18</v>
      </c>
      <c r="R19" t="s">
        <v>241</v>
      </c>
      <c r="S19" t="s">
        <v>269</v>
      </c>
      <c r="T19" t="s">
        <v>795</v>
      </c>
      <c r="AD19">
        <v>18</v>
      </c>
      <c r="AE19" t="s">
        <v>241</v>
      </c>
      <c r="AF19" t="s">
        <v>453</v>
      </c>
      <c r="AG19" t="s">
        <v>494</v>
      </c>
      <c r="AO19">
        <v>18</v>
      </c>
      <c r="AP19" t="s">
        <v>95</v>
      </c>
      <c r="AQ19" t="s">
        <v>457</v>
      </c>
      <c r="AR19" t="s">
        <v>683</v>
      </c>
    </row>
    <row r="20" spans="4:44" x14ac:dyDescent="0.25">
      <c r="D20">
        <v>19</v>
      </c>
      <c r="E20" t="s">
        <v>95</v>
      </c>
      <c r="F20" t="s">
        <v>264</v>
      </c>
      <c r="G20" t="s">
        <v>758</v>
      </c>
      <c r="Q20">
        <v>19</v>
      </c>
      <c r="R20" t="s">
        <v>95</v>
      </c>
      <c r="S20" t="s">
        <v>262</v>
      </c>
      <c r="T20" t="s">
        <v>796</v>
      </c>
      <c r="AD20">
        <v>19</v>
      </c>
      <c r="AE20" t="s">
        <v>95</v>
      </c>
      <c r="AF20" t="s">
        <v>454</v>
      </c>
      <c r="AG20" t="s">
        <v>495</v>
      </c>
      <c r="AO20">
        <v>19</v>
      </c>
      <c r="AP20" t="s">
        <v>241</v>
      </c>
      <c r="AQ20" t="s">
        <v>453</v>
      </c>
      <c r="AR20" t="s">
        <v>684</v>
      </c>
    </row>
    <row r="21" spans="4:44" x14ac:dyDescent="0.25">
      <c r="D21">
        <v>20</v>
      </c>
      <c r="E21" t="s">
        <v>241</v>
      </c>
      <c r="F21" t="s">
        <v>265</v>
      </c>
      <c r="G21" t="s">
        <v>759</v>
      </c>
      <c r="Q21">
        <v>20</v>
      </c>
      <c r="R21" t="s">
        <v>241</v>
      </c>
      <c r="S21" t="s">
        <v>255</v>
      </c>
      <c r="T21" t="s">
        <v>797</v>
      </c>
      <c r="AD21">
        <v>20</v>
      </c>
      <c r="AE21" t="s">
        <v>95</v>
      </c>
      <c r="AF21" t="s">
        <v>455</v>
      </c>
      <c r="AG21" t="s">
        <v>496</v>
      </c>
      <c r="AO21">
        <v>20</v>
      </c>
      <c r="AP21" t="s">
        <v>95</v>
      </c>
      <c r="AQ21" t="s">
        <v>442</v>
      </c>
      <c r="AR21" t="s">
        <v>685</v>
      </c>
    </row>
    <row r="22" spans="4:44" x14ac:dyDescent="0.25">
      <c r="D22">
        <v>21</v>
      </c>
      <c r="E22" t="s">
        <v>95</v>
      </c>
      <c r="F22" t="s">
        <v>266</v>
      </c>
      <c r="G22" t="s">
        <v>760</v>
      </c>
      <c r="Q22">
        <v>21</v>
      </c>
      <c r="R22" t="s">
        <v>95</v>
      </c>
      <c r="S22" t="s">
        <v>267</v>
      </c>
      <c r="T22" t="s">
        <v>798</v>
      </c>
      <c r="AD22">
        <v>21</v>
      </c>
      <c r="AE22" t="s">
        <v>95</v>
      </c>
      <c r="AF22" t="s">
        <v>456</v>
      </c>
      <c r="AG22" t="s">
        <v>497</v>
      </c>
      <c r="AO22">
        <v>21</v>
      </c>
      <c r="AP22" t="s">
        <v>95</v>
      </c>
      <c r="AQ22" t="s">
        <v>441</v>
      </c>
      <c r="AR22" t="s">
        <v>686</v>
      </c>
    </row>
    <row r="23" spans="4:44" x14ac:dyDescent="0.25">
      <c r="D23">
        <v>22</v>
      </c>
      <c r="E23" t="s">
        <v>95</v>
      </c>
      <c r="F23" t="s">
        <v>267</v>
      </c>
      <c r="G23" t="s">
        <v>761</v>
      </c>
      <c r="Q23">
        <v>22</v>
      </c>
      <c r="R23" t="s">
        <v>241</v>
      </c>
      <c r="S23" t="s">
        <v>258</v>
      </c>
      <c r="T23" t="s">
        <v>799</v>
      </c>
      <c r="AD23">
        <v>22</v>
      </c>
      <c r="AE23" t="s">
        <v>95</v>
      </c>
      <c r="AF23" t="s">
        <v>457</v>
      </c>
      <c r="AG23" t="s">
        <v>498</v>
      </c>
      <c r="AO23">
        <v>22</v>
      </c>
      <c r="AP23" t="s">
        <v>241</v>
      </c>
      <c r="AQ23" t="s">
        <v>473</v>
      </c>
      <c r="AR23" t="s">
        <v>687</v>
      </c>
    </row>
    <row r="24" spans="4:44" x14ac:dyDescent="0.25">
      <c r="D24">
        <v>23</v>
      </c>
      <c r="E24" t="s">
        <v>95</v>
      </c>
      <c r="F24" t="s">
        <v>268</v>
      </c>
      <c r="G24" t="s">
        <v>762</v>
      </c>
      <c r="Q24">
        <v>23</v>
      </c>
      <c r="R24" t="s">
        <v>241</v>
      </c>
      <c r="S24" t="s">
        <v>283</v>
      </c>
      <c r="T24" t="s">
        <v>800</v>
      </c>
      <c r="AD24">
        <v>23</v>
      </c>
      <c r="AE24" t="s">
        <v>241</v>
      </c>
      <c r="AF24" t="s">
        <v>458</v>
      </c>
      <c r="AG24" t="s">
        <v>499</v>
      </c>
      <c r="AO24">
        <v>23</v>
      </c>
      <c r="AP24" t="s">
        <v>241</v>
      </c>
      <c r="AQ24" t="s">
        <v>461</v>
      </c>
      <c r="AR24" t="s">
        <v>688</v>
      </c>
    </row>
    <row r="25" spans="4:44" x14ac:dyDescent="0.25">
      <c r="D25">
        <v>24</v>
      </c>
      <c r="E25" t="s">
        <v>241</v>
      </c>
      <c r="F25" t="s">
        <v>269</v>
      </c>
      <c r="G25" t="s">
        <v>763</v>
      </c>
      <c r="Q25">
        <v>24</v>
      </c>
      <c r="R25" t="s">
        <v>95</v>
      </c>
      <c r="S25" t="s">
        <v>266</v>
      </c>
      <c r="T25" t="s">
        <v>801</v>
      </c>
      <c r="AD25">
        <v>24</v>
      </c>
      <c r="AE25" t="s">
        <v>241</v>
      </c>
      <c r="AF25" t="s">
        <v>459</v>
      </c>
      <c r="AG25" t="s">
        <v>500</v>
      </c>
      <c r="AO25">
        <v>24</v>
      </c>
      <c r="AP25" t="s">
        <v>241</v>
      </c>
      <c r="AQ25" t="s">
        <v>438</v>
      </c>
      <c r="AR25" t="s">
        <v>689</v>
      </c>
    </row>
    <row r="26" spans="4:44" x14ac:dyDescent="0.25">
      <c r="D26">
        <v>25</v>
      </c>
      <c r="E26" t="s">
        <v>241</v>
      </c>
      <c r="F26" t="s">
        <v>270</v>
      </c>
      <c r="G26" t="s">
        <v>764</v>
      </c>
      <c r="Q26">
        <v>25</v>
      </c>
      <c r="R26" t="s">
        <v>241</v>
      </c>
      <c r="S26" t="s">
        <v>276</v>
      </c>
      <c r="T26" t="s">
        <v>770</v>
      </c>
      <c r="AD26">
        <v>25</v>
      </c>
      <c r="AE26" t="s">
        <v>95</v>
      </c>
      <c r="AF26" t="s">
        <v>460</v>
      </c>
      <c r="AG26" t="s">
        <v>501</v>
      </c>
      <c r="AO26">
        <v>25</v>
      </c>
      <c r="AP26" t="s">
        <v>95</v>
      </c>
      <c r="AQ26" t="s">
        <v>460</v>
      </c>
      <c r="AR26" t="s">
        <v>690</v>
      </c>
    </row>
    <row r="27" spans="4:44" x14ac:dyDescent="0.25">
      <c r="D27">
        <v>26</v>
      </c>
      <c r="E27" t="s">
        <v>241</v>
      </c>
      <c r="F27" t="s">
        <v>271</v>
      </c>
      <c r="G27" t="s">
        <v>765</v>
      </c>
      <c r="Q27">
        <v>26</v>
      </c>
      <c r="R27" t="s">
        <v>95</v>
      </c>
      <c r="S27" t="s">
        <v>285</v>
      </c>
      <c r="V27">
        <v>1</v>
      </c>
      <c r="AD27">
        <v>26</v>
      </c>
      <c r="AE27" t="s">
        <v>241</v>
      </c>
      <c r="AF27" t="s">
        <v>461</v>
      </c>
      <c r="AG27" t="s">
        <v>502</v>
      </c>
      <c r="AO27">
        <v>26</v>
      </c>
      <c r="AP27" t="s">
        <v>95</v>
      </c>
      <c r="AQ27" t="s">
        <v>468</v>
      </c>
      <c r="AR27" t="s">
        <v>691</v>
      </c>
    </row>
    <row r="28" spans="4:44" x14ac:dyDescent="0.25">
      <c r="D28">
        <v>27</v>
      </c>
      <c r="E28" t="s">
        <v>95</v>
      </c>
      <c r="F28" t="s">
        <v>272</v>
      </c>
      <c r="G28" t="s">
        <v>766</v>
      </c>
      <c r="Q28">
        <v>27</v>
      </c>
      <c r="R28" t="s">
        <v>241</v>
      </c>
      <c r="S28" t="s">
        <v>249</v>
      </c>
      <c r="V28">
        <v>1</v>
      </c>
      <c r="AD28">
        <v>27</v>
      </c>
      <c r="AE28" t="s">
        <v>241</v>
      </c>
      <c r="AF28" t="s">
        <v>462</v>
      </c>
      <c r="AG28" t="s">
        <v>503</v>
      </c>
      <c r="AO28">
        <v>27</v>
      </c>
      <c r="AP28" t="s">
        <v>241</v>
      </c>
      <c r="AQ28" t="s">
        <v>475</v>
      </c>
      <c r="AR28" t="s">
        <v>692</v>
      </c>
    </row>
    <row r="29" spans="4:44" x14ac:dyDescent="0.25">
      <c r="D29">
        <v>28</v>
      </c>
      <c r="E29" t="s">
        <v>95</v>
      </c>
      <c r="F29" t="s">
        <v>273</v>
      </c>
      <c r="G29" t="s">
        <v>767</v>
      </c>
      <c r="Q29">
        <v>28</v>
      </c>
      <c r="R29" t="s">
        <v>241</v>
      </c>
      <c r="S29" t="s">
        <v>250</v>
      </c>
      <c r="T29" t="s">
        <v>802</v>
      </c>
      <c r="AD29">
        <v>28</v>
      </c>
      <c r="AE29" t="s">
        <v>241</v>
      </c>
      <c r="AF29" t="s">
        <v>463</v>
      </c>
      <c r="AG29" t="s">
        <v>504</v>
      </c>
      <c r="AH29" t="s">
        <v>505</v>
      </c>
      <c r="AO29">
        <v>28</v>
      </c>
      <c r="AP29" t="s">
        <v>95</v>
      </c>
      <c r="AQ29" t="s">
        <v>447</v>
      </c>
      <c r="AR29" t="s">
        <v>693</v>
      </c>
    </row>
    <row r="30" spans="4:44" x14ac:dyDescent="0.25">
      <c r="D30">
        <v>29</v>
      </c>
      <c r="E30" t="s">
        <v>241</v>
      </c>
      <c r="F30" t="s">
        <v>274</v>
      </c>
      <c r="G30" t="s">
        <v>768</v>
      </c>
      <c r="Q30">
        <v>29</v>
      </c>
      <c r="R30" t="s">
        <v>241</v>
      </c>
      <c r="S30" t="s">
        <v>271</v>
      </c>
      <c r="T30" t="s">
        <v>803</v>
      </c>
      <c r="AD30">
        <v>29</v>
      </c>
      <c r="AE30" t="s">
        <v>95</v>
      </c>
      <c r="AF30" t="s">
        <v>464</v>
      </c>
      <c r="AG30" t="s">
        <v>506</v>
      </c>
      <c r="AO30">
        <v>29</v>
      </c>
      <c r="AP30" t="s">
        <v>95</v>
      </c>
      <c r="AQ30" t="s">
        <v>452</v>
      </c>
      <c r="AR30" t="s">
        <v>694</v>
      </c>
    </row>
    <row r="31" spans="4:44" x14ac:dyDescent="0.25">
      <c r="D31">
        <v>30</v>
      </c>
      <c r="E31" t="s">
        <v>95</v>
      </c>
      <c r="F31" t="s">
        <v>275</v>
      </c>
      <c r="G31" t="s">
        <v>769</v>
      </c>
      <c r="Q31">
        <v>30</v>
      </c>
      <c r="R31" t="s">
        <v>241</v>
      </c>
      <c r="S31" t="s">
        <v>257</v>
      </c>
      <c r="T31" t="s">
        <v>804</v>
      </c>
      <c r="AD31">
        <v>30</v>
      </c>
      <c r="AE31" t="s">
        <v>95</v>
      </c>
      <c r="AF31" t="s">
        <v>465</v>
      </c>
      <c r="AG31" t="s">
        <v>507</v>
      </c>
      <c r="AO31">
        <v>30</v>
      </c>
      <c r="AP31" t="s">
        <v>95</v>
      </c>
      <c r="AQ31" t="s">
        <v>444</v>
      </c>
      <c r="AR31" t="s">
        <v>695</v>
      </c>
    </row>
    <row r="32" spans="4:44" x14ac:dyDescent="0.25">
      <c r="D32">
        <v>31</v>
      </c>
      <c r="E32" t="s">
        <v>241</v>
      </c>
      <c r="F32" t="s">
        <v>276</v>
      </c>
      <c r="G32" t="s">
        <v>770</v>
      </c>
      <c r="Q32">
        <v>31</v>
      </c>
      <c r="R32" t="s">
        <v>241</v>
      </c>
      <c r="S32" t="s">
        <v>259</v>
      </c>
      <c r="T32" t="s">
        <v>805</v>
      </c>
      <c r="AD32">
        <v>31</v>
      </c>
      <c r="AE32" t="s">
        <v>95</v>
      </c>
      <c r="AF32" t="s">
        <v>466</v>
      </c>
      <c r="AG32" t="s">
        <v>508</v>
      </c>
      <c r="AO32">
        <v>31</v>
      </c>
      <c r="AP32" t="s">
        <v>241</v>
      </c>
      <c r="AQ32" t="s">
        <v>467</v>
      </c>
      <c r="AR32" t="s">
        <v>696</v>
      </c>
    </row>
    <row r="33" spans="2:46" x14ac:dyDescent="0.25">
      <c r="D33">
        <v>32</v>
      </c>
      <c r="E33" t="s">
        <v>95</v>
      </c>
      <c r="F33" t="s">
        <v>277</v>
      </c>
      <c r="G33" t="s">
        <v>771</v>
      </c>
      <c r="Q33">
        <v>32</v>
      </c>
      <c r="R33" t="s">
        <v>241</v>
      </c>
      <c r="S33" t="s">
        <v>261</v>
      </c>
      <c r="T33" t="s">
        <v>806</v>
      </c>
      <c r="AD33">
        <v>32</v>
      </c>
      <c r="AE33" t="s">
        <v>241</v>
      </c>
      <c r="AF33" t="s">
        <v>467</v>
      </c>
      <c r="AG33" t="s">
        <v>509</v>
      </c>
      <c r="AO33">
        <v>32</v>
      </c>
      <c r="AP33" t="s">
        <v>95</v>
      </c>
      <c r="AQ33" t="s">
        <v>466</v>
      </c>
      <c r="AR33" t="s">
        <v>697</v>
      </c>
    </row>
    <row r="34" spans="2:46" x14ac:dyDescent="0.25">
      <c r="D34">
        <v>33</v>
      </c>
      <c r="E34" t="s">
        <v>95</v>
      </c>
      <c r="F34" t="s">
        <v>278</v>
      </c>
      <c r="G34" t="s">
        <v>772</v>
      </c>
      <c r="Q34">
        <v>33</v>
      </c>
      <c r="R34" t="s">
        <v>241</v>
      </c>
      <c r="S34" t="s">
        <v>280</v>
      </c>
      <c r="T34" t="s">
        <v>807</v>
      </c>
      <c r="AD34">
        <v>33</v>
      </c>
      <c r="AE34" t="s">
        <v>95</v>
      </c>
      <c r="AF34" t="s">
        <v>468</v>
      </c>
      <c r="AG34" t="s">
        <v>510</v>
      </c>
      <c r="AO34">
        <v>33</v>
      </c>
      <c r="AP34" t="s">
        <v>95</v>
      </c>
      <c r="AQ34" t="s">
        <v>451</v>
      </c>
      <c r="AR34" t="s">
        <v>698</v>
      </c>
    </row>
    <row r="35" spans="2:46" x14ac:dyDescent="0.25">
      <c r="D35">
        <v>34</v>
      </c>
      <c r="E35" t="s">
        <v>95</v>
      </c>
      <c r="F35" t="s">
        <v>279</v>
      </c>
      <c r="G35" t="s">
        <v>773</v>
      </c>
      <c r="Q35">
        <v>34</v>
      </c>
      <c r="R35" t="s">
        <v>95</v>
      </c>
      <c r="S35" t="s">
        <v>279</v>
      </c>
      <c r="T35" t="s">
        <v>808</v>
      </c>
      <c r="AD35">
        <v>34</v>
      </c>
      <c r="AE35" t="s">
        <v>241</v>
      </c>
      <c r="AF35" t="s">
        <v>469</v>
      </c>
      <c r="AG35" t="s">
        <v>511</v>
      </c>
      <c r="AI35">
        <v>1</v>
      </c>
      <c r="AO35">
        <v>34</v>
      </c>
      <c r="AP35" t="s">
        <v>241</v>
      </c>
      <c r="AQ35" t="s">
        <v>440</v>
      </c>
      <c r="AR35" t="s">
        <v>481</v>
      </c>
      <c r="AT35">
        <v>1</v>
      </c>
    </row>
    <row r="36" spans="2:46" x14ac:dyDescent="0.25">
      <c r="D36">
        <v>35</v>
      </c>
      <c r="E36" t="s">
        <v>241</v>
      </c>
      <c r="F36" t="s">
        <v>280</v>
      </c>
      <c r="G36" t="s">
        <v>774</v>
      </c>
      <c r="Q36">
        <v>35</v>
      </c>
      <c r="R36" t="s">
        <v>95</v>
      </c>
      <c r="S36" t="s">
        <v>253</v>
      </c>
      <c r="T36" t="s">
        <v>809</v>
      </c>
      <c r="AD36">
        <v>35</v>
      </c>
      <c r="AE36" t="s">
        <v>241</v>
      </c>
      <c r="AF36" t="s">
        <v>470</v>
      </c>
      <c r="AG36" t="s">
        <v>512</v>
      </c>
      <c r="AO36">
        <v>35</v>
      </c>
      <c r="AP36" t="s">
        <v>241</v>
      </c>
      <c r="AQ36" t="s">
        <v>443</v>
      </c>
      <c r="AR36" t="s">
        <v>699</v>
      </c>
    </row>
    <row r="37" spans="2:46" x14ac:dyDescent="0.25">
      <c r="D37">
        <v>36</v>
      </c>
      <c r="E37" t="s">
        <v>95</v>
      </c>
      <c r="F37" t="s">
        <v>281</v>
      </c>
      <c r="G37" t="s">
        <v>775</v>
      </c>
      <c r="Q37">
        <v>36</v>
      </c>
      <c r="R37" t="s">
        <v>95</v>
      </c>
      <c r="S37" t="s">
        <v>277</v>
      </c>
      <c r="T37" t="s">
        <v>810</v>
      </c>
      <c r="AD37">
        <v>36</v>
      </c>
      <c r="AE37" t="s">
        <v>95</v>
      </c>
      <c r="AF37" t="s">
        <v>471</v>
      </c>
      <c r="AG37" t="s">
        <v>513</v>
      </c>
      <c r="AO37">
        <v>36</v>
      </c>
      <c r="AP37" t="s">
        <v>241</v>
      </c>
      <c r="AQ37" t="s">
        <v>448</v>
      </c>
      <c r="AR37" t="s">
        <v>700</v>
      </c>
    </row>
    <row r="38" spans="2:46" x14ac:dyDescent="0.25">
      <c r="D38">
        <v>37</v>
      </c>
      <c r="E38" t="s">
        <v>95</v>
      </c>
      <c r="F38" t="s">
        <v>282</v>
      </c>
      <c r="G38" t="s">
        <v>776</v>
      </c>
      <c r="Q38">
        <v>37</v>
      </c>
      <c r="R38" t="s">
        <v>241</v>
      </c>
      <c r="S38" t="s">
        <v>265</v>
      </c>
      <c r="T38" t="s">
        <v>811</v>
      </c>
      <c r="AD38">
        <v>37</v>
      </c>
      <c r="AE38" t="s">
        <v>95</v>
      </c>
      <c r="AF38" t="s">
        <v>472</v>
      </c>
      <c r="AG38" t="s">
        <v>514</v>
      </c>
      <c r="AO38">
        <v>37</v>
      </c>
      <c r="AP38" t="s">
        <v>95</v>
      </c>
      <c r="AQ38" t="s">
        <v>471</v>
      </c>
      <c r="AR38" t="s">
        <v>701</v>
      </c>
    </row>
    <row r="39" spans="2:46" x14ac:dyDescent="0.25">
      <c r="D39">
        <v>38</v>
      </c>
      <c r="E39" t="s">
        <v>241</v>
      </c>
      <c r="F39" t="s">
        <v>283</v>
      </c>
      <c r="G39" t="s">
        <v>777</v>
      </c>
      <c r="Q39">
        <v>38</v>
      </c>
      <c r="R39" t="s">
        <v>241</v>
      </c>
      <c r="S39" t="s">
        <v>263</v>
      </c>
      <c r="V39">
        <v>1</v>
      </c>
      <c r="AD39">
        <v>38</v>
      </c>
      <c r="AE39" t="s">
        <v>241</v>
      </c>
      <c r="AF39" t="s">
        <v>473</v>
      </c>
      <c r="AG39" t="s">
        <v>515</v>
      </c>
      <c r="AO39">
        <v>38</v>
      </c>
      <c r="AP39" t="s">
        <v>241</v>
      </c>
      <c r="AQ39" t="s">
        <v>470</v>
      </c>
      <c r="AR39" t="s">
        <v>702</v>
      </c>
    </row>
    <row r="40" spans="2:46" x14ac:dyDescent="0.25">
      <c r="D40">
        <v>39</v>
      </c>
      <c r="E40" t="s">
        <v>95</v>
      </c>
      <c r="F40" t="s">
        <v>284</v>
      </c>
      <c r="Q40">
        <v>39</v>
      </c>
      <c r="R40" t="s">
        <v>95</v>
      </c>
      <c r="S40" t="s">
        <v>264</v>
      </c>
      <c r="T40" t="s">
        <v>812</v>
      </c>
      <c r="AD40">
        <v>39</v>
      </c>
      <c r="AE40" t="s">
        <v>241</v>
      </c>
      <c r="AF40" t="s">
        <v>474</v>
      </c>
      <c r="AG40" t="s">
        <v>516</v>
      </c>
      <c r="AO40">
        <v>39</v>
      </c>
      <c r="AP40" t="s">
        <v>95</v>
      </c>
      <c r="AQ40" t="s">
        <v>455</v>
      </c>
      <c r="AR40" t="s">
        <v>703</v>
      </c>
    </row>
    <row r="41" spans="2:46" x14ac:dyDescent="0.25">
      <c r="D41">
        <v>40</v>
      </c>
      <c r="E41" t="s">
        <v>95</v>
      </c>
      <c r="F41" t="s">
        <v>285</v>
      </c>
      <c r="G41" t="s">
        <v>778</v>
      </c>
      <c r="I41">
        <v>1</v>
      </c>
      <c r="Q41">
        <v>40</v>
      </c>
      <c r="R41" t="s">
        <v>95</v>
      </c>
      <c r="S41" t="s">
        <v>256</v>
      </c>
      <c r="T41" t="s">
        <v>813</v>
      </c>
      <c r="AD41">
        <v>40</v>
      </c>
      <c r="AE41" t="s">
        <v>241</v>
      </c>
      <c r="AF41" t="s">
        <v>475</v>
      </c>
      <c r="AG41" t="s">
        <v>517</v>
      </c>
      <c r="AO41">
        <v>40</v>
      </c>
      <c r="AP41" t="s">
        <v>241</v>
      </c>
      <c r="AQ41" t="s">
        <v>469</v>
      </c>
      <c r="AR41" t="s">
        <v>704</v>
      </c>
    </row>
    <row r="42" spans="2:46" x14ac:dyDescent="0.25">
      <c r="C42" t="s">
        <v>644</v>
      </c>
      <c r="D42" t="s">
        <v>293</v>
      </c>
      <c r="E42" t="s">
        <v>314</v>
      </c>
      <c r="F42" t="s">
        <v>645</v>
      </c>
      <c r="I42">
        <f>SUM(I2:I41)</f>
        <v>4</v>
      </c>
      <c r="V42">
        <f>SUM(V2:V41)</f>
        <v>4</v>
      </c>
      <c r="AI42">
        <f>SUM(AI2:AI41)</f>
        <v>2</v>
      </c>
    </row>
    <row r="43" spans="2:46" x14ac:dyDescent="0.25">
      <c r="B43" t="s">
        <v>651</v>
      </c>
      <c r="C43">
        <v>4</v>
      </c>
      <c r="D43">
        <v>4</v>
      </c>
      <c r="E43">
        <v>2</v>
      </c>
      <c r="F43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workbookViewId="0">
      <selection activeCell="AD5" sqref="AD5"/>
    </sheetView>
  </sheetViews>
  <sheetFormatPr baseColWidth="10" defaultRowHeight="15" x14ac:dyDescent="0.25"/>
  <cols>
    <col min="1" max="1" width="19.42578125" customWidth="1"/>
    <col min="10" max="10" width="25.28515625" customWidth="1"/>
    <col min="19" max="19" width="23.5703125" customWidth="1"/>
    <col min="27" max="27" width="29.140625" customWidth="1"/>
    <col min="30" max="30" width="20.7109375" customWidth="1"/>
    <col min="36" max="36" width="17.28515625" customWidth="1"/>
    <col min="37" max="37" width="29.5703125" customWidth="1"/>
  </cols>
  <sheetData>
    <row r="1" spans="1:37" ht="15.75" x14ac:dyDescent="0.25">
      <c r="A1" s="1" t="s">
        <v>97</v>
      </c>
      <c r="B1" t="s">
        <v>0</v>
      </c>
      <c r="C1" t="s">
        <v>1</v>
      </c>
      <c r="D1" t="s">
        <v>2</v>
      </c>
      <c r="E1" t="s">
        <v>312</v>
      </c>
      <c r="F1" t="s">
        <v>519</v>
      </c>
      <c r="G1" t="s">
        <v>476</v>
      </c>
      <c r="H1" t="s">
        <v>520</v>
      </c>
      <c r="J1" s="1" t="s">
        <v>97</v>
      </c>
      <c r="K1" t="s">
        <v>0</v>
      </c>
      <c r="L1" t="s">
        <v>1</v>
      </c>
      <c r="M1" t="s">
        <v>2</v>
      </c>
      <c r="N1" t="s">
        <v>312</v>
      </c>
      <c r="O1" t="s">
        <v>519</v>
      </c>
      <c r="P1" t="s">
        <v>476</v>
      </c>
      <c r="Q1" t="s">
        <v>520</v>
      </c>
      <c r="S1" s="1" t="s">
        <v>97</v>
      </c>
      <c r="T1" t="s">
        <v>0</v>
      </c>
      <c r="U1" t="s">
        <v>1</v>
      </c>
      <c r="V1" t="s">
        <v>2</v>
      </c>
      <c r="W1" t="s">
        <v>312</v>
      </c>
      <c r="X1" t="s">
        <v>519</v>
      </c>
      <c r="Y1" t="s">
        <v>476</v>
      </c>
      <c r="Z1" t="s">
        <v>520</v>
      </c>
      <c r="AD1" s="1" t="s">
        <v>97</v>
      </c>
      <c r="AE1" t="s">
        <v>0</v>
      </c>
      <c r="AF1" t="s">
        <v>1</v>
      </c>
      <c r="AG1" t="s">
        <v>2</v>
      </c>
      <c r="AH1" t="s">
        <v>814</v>
      </c>
      <c r="AI1" t="s">
        <v>815</v>
      </c>
      <c r="AJ1" t="s">
        <v>476</v>
      </c>
      <c r="AK1" t="s">
        <v>520</v>
      </c>
    </row>
    <row r="2" spans="1:37" ht="15.75" x14ac:dyDescent="0.25">
      <c r="A2" s="3" t="s">
        <v>6</v>
      </c>
      <c r="B2">
        <v>2</v>
      </c>
      <c r="C2">
        <v>1</v>
      </c>
      <c r="D2">
        <v>1</v>
      </c>
      <c r="E2" t="s">
        <v>523</v>
      </c>
      <c r="F2" t="s">
        <v>598</v>
      </c>
      <c r="G2">
        <v>1</v>
      </c>
      <c r="J2" s="3" t="s">
        <v>293</v>
      </c>
      <c r="K2">
        <v>2</v>
      </c>
      <c r="L2">
        <v>2</v>
      </c>
      <c r="M2">
        <v>1</v>
      </c>
      <c r="N2" t="s">
        <v>521</v>
      </c>
      <c r="O2" t="s">
        <v>562</v>
      </c>
      <c r="P2">
        <v>1</v>
      </c>
      <c r="S2" s="3" t="s">
        <v>314</v>
      </c>
      <c r="T2">
        <v>1</v>
      </c>
      <c r="U2">
        <v>3</v>
      </c>
      <c r="V2">
        <v>1</v>
      </c>
      <c r="W2" t="s">
        <v>525</v>
      </c>
      <c r="X2" t="s">
        <v>540</v>
      </c>
      <c r="Y2">
        <v>0</v>
      </c>
      <c r="Z2" s="14" t="s">
        <v>541</v>
      </c>
      <c r="AD2" s="3" t="s">
        <v>645</v>
      </c>
      <c r="AE2">
        <v>1</v>
      </c>
      <c r="AF2">
        <v>4</v>
      </c>
      <c r="AG2">
        <v>1</v>
      </c>
      <c r="AH2" t="s">
        <v>521</v>
      </c>
      <c r="AI2" t="s">
        <v>567</v>
      </c>
      <c r="AJ2">
        <v>1</v>
      </c>
    </row>
    <row r="3" spans="1:37" x14ac:dyDescent="0.25">
      <c r="A3" t="s">
        <v>527</v>
      </c>
      <c r="D3">
        <v>2</v>
      </c>
      <c r="E3" t="s">
        <v>525</v>
      </c>
      <c r="F3" t="s">
        <v>568</v>
      </c>
      <c r="G3">
        <v>0</v>
      </c>
      <c r="H3" s="13" t="s">
        <v>619</v>
      </c>
      <c r="J3" t="s">
        <v>527</v>
      </c>
      <c r="M3">
        <v>2</v>
      </c>
      <c r="N3" t="s">
        <v>525</v>
      </c>
      <c r="O3" t="s">
        <v>609</v>
      </c>
      <c r="P3">
        <v>1</v>
      </c>
      <c r="S3" t="s">
        <v>527</v>
      </c>
      <c r="V3">
        <v>2</v>
      </c>
      <c r="W3" t="s">
        <v>521</v>
      </c>
      <c r="X3" t="s">
        <v>419</v>
      </c>
      <c r="Y3">
        <v>1</v>
      </c>
      <c r="AD3" t="s">
        <v>527</v>
      </c>
      <c r="AG3">
        <v>2</v>
      </c>
      <c r="AH3" t="s">
        <v>521</v>
      </c>
      <c r="AI3" t="s">
        <v>545</v>
      </c>
      <c r="AJ3">
        <v>1</v>
      </c>
    </row>
    <row r="4" spans="1:37" x14ac:dyDescent="0.25">
      <c r="A4" t="s">
        <v>99</v>
      </c>
      <c r="D4">
        <v>3</v>
      </c>
      <c r="E4" t="s">
        <v>525</v>
      </c>
      <c r="F4" t="s">
        <v>609</v>
      </c>
      <c r="G4">
        <v>1</v>
      </c>
      <c r="J4" t="s">
        <v>290</v>
      </c>
      <c r="M4">
        <v>3</v>
      </c>
      <c r="N4" t="s">
        <v>525</v>
      </c>
      <c r="O4" t="s">
        <v>601</v>
      </c>
      <c r="P4">
        <v>0</v>
      </c>
      <c r="Q4" t="s">
        <v>627</v>
      </c>
      <c r="S4" t="s">
        <v>330</v>
      </c>
      <c r="V4">
        <v>3</v>
      </c>
      <c r="W4" t="s">
        <v>523</v>
      </c>
      <c r="X4" t="s">
        <v>546</v>
      </c>
      <c r="Y4">
        <v>1</v>
      </c>
      <c r="Z4" t="s">
        <v>631</v>
      </c>
      <c r="AD4" t="s">
        <v>655</v>
      </c>
      <c r="AG4">
        <v>3</v>
      </c>
      <c r="AH4" t="s">
        <v>523</v>
      </c>
      <c r="AI4" t="s">
        <v>551</v>
      </c>
      <c r="AJ4">
        <v>0</v>
      </c>
      <c r="AK4" t="s">
        <v>816</v>
      </c>
    </row>
    <row r="5" spans="1:37" x14ac:dyDescent="0.25">
      <c r="A5" t="s">
        <v>626</v>
      </c>
      <c r="D5">
        <v>4</v>
      </c>
      <c r="E5" t="s">
        <v>523</v>
      </c>
      <c r="F5" t="s">
        <v>604</v>
      </c>
      <c r="G5">
        <v>1</v>
      </c>
      <c r="J5" t="s">
        <v>626</v>
      </c>
      <c r="M5">
        <v>4</v>
      </c>
      <c r="N5" t="s">
        <v>523</v>
      </c>
      <c r="O5" t="s">
        <v>598</v>
      </c>
      <c r="P5">
        <v>1</v>
      </c>
      <c r="S5" t="s">
        <v>642</v>
      </c>
      <c r="V5">
        <v>4</v>
      </c>
      <c r="W5" t="s">
        <v>523</v>
      </c>
      <c r="X5" t="s">
        <v>599</v>
      </c>
      <c r="Y5">
        <v>1</v>
      </c>
      <c r="AD5" t="s">
        <v>642</v>
      </c>
      <c r="AG5">
        <v>4</v>
      </c>
      <c r="AH5" t="s">
        <v>521</v>
      </c>
      <c r="AI5" t="s">
        <v>595</v>
      </c>
      <c r="AJ5">
        <v>1</v>
      </c>
    </row>
    <row r="6" spans="1:37" x14ac:dyDescent="0.25">
      <c r="D6">
        <v>5</v>
      </c>
      <c r="E6" t="s">
        <v>521</v>
      </c>
      <c r="F6" t="s">
        <v>610</v>
      </c>
      <c r="G6">
        <v>0</v>
      </c>
      <c r="H6" s="14" t="s">
        <v>620</v>
      </c>
      <c r="M6">
        <v>5</v>
      </c>
      <c r="N6" t="s">
        <v>521</v>
      </c>
      <c r="O6" t="s">
        <v>593</v>
      </c>
      <c r="P6">
        <v>1</v>
      </c>
      <c r="V6">
        <v>5</v>
      </c>
      <c r="W6" t="s">
        <v>523</v>
      </c>
      <c r="X6" t="s">
        <v>575</v>
      </c>
      <c r="Y6">
        <v>0</v>
      </c>
      <c r="Z6" s="14" t="s">
        <v>630</v>
      </c>
      <c r="AG6">
        <v>5</v>
      </c>
      <c r="AH6" t="s">
        <v>525</v>
      </c>
      <c r="AI6" t="s">
        <v>549</v>
      </c>
      <c r="AJ6">
        <v>0</v>
      </c>
      <c r="AK6" t="s">
        <v>639</v>
      </c>
    </row>
    <row r="7" spans="1:37" x14ac:dyDescent="0.25">
      <c r="D7">
        <v>6</v>
      </c>
      <c r="E7" t="s">
        <v>521</v>
      </c>
      <c r="F7" t="s">
        <v>566</v>
      </c>
      <c r="G7">
        <v>1</v>
      </c>
      <c r="M7">
        <v>6</v>
      </c>
      <c r="N7" t="s">
        <v>521</v>
      </c>
      <c r="O7" t="s">
        <v>576</v>
      </c>
      <c r="P7">
        <v>1</v>
      </c>
      <c r="V7">
        <v>6</v>
      </c>
      <c r="W7" t="s">
        <v>521</v>
      </c>
      <c r="X7" t="s">
        <v>595</v>
      </c>
      <c r="Y7">
        <v>1</v>
      </c>
      <c r="AG7">
        <v>6</v>
      </c>
      <c r="AH7" t="s">
        <v>521</v>
      </c>
      <c r="AI7" t="s">
        <v>532</v>
      </c>
      <c r="AJ7">
        <v>1</v>
      </c>
    </row>
    <row r="8" spans="1:37" x14ac:dyDescent="0.25">
      <c r="D8">
        <v>7</v>
      </c>
      <c r="E8" t="s">
        <v>523</v>
      </c>
      <c r="F8" t="s">
        <v>618</v>
      </c>
      <c r="G8">
        <v>1</v>
      </c>
      <c r="M8">
        <v>7</v>
      </c>
      <c r="N8" t="s">
        <v>521</v>
      </c>
      <c r="O8" t="s">
        <v>581</v>
      </c>
      <c r="P8">
        <v>1</v>
      </c>
      <c r="V8">
        <v>7</v>
      </c>
      <c r="W8" t="s">
        <v>521</v>
      </c>
      <c r="X8" t="s">
        <v>565</v>
      </c>
      <c r="Y8">
        <v>1</v>
      </c>
      <c r="AG8">
        <v>7</v>
      </c>
      <c r="AH8" t="s">
        <v>525</v>
      </c>
      <c r="AI8" t="s">
        <v>579</v>
      </c>
      <c r="AJ8">
        <v>0</v>
      </c>
      <c r="AK8" t="s">
        <v>641</v>
      </c>
    </row>
    <row r="9" spans="1:37" x14ac:dyDescent="0.25">
      <c r="D9">
        <v>8</v>
      </c>
      <c r="E9" t="s">
        <v>521</v>
      </c>
      <c r="F9" t="s">
        <v>535</v>
      </c>
      <c r="G9">
        <v>1</v>
      </c>
      <c r="M9">
        <v>8</v>
      </c>
      <c r="N9" t="s">
        <v>525</v>
      </c>
      <c r="O9" t="s">
        <v>548</v>
      </c>
      <c r="P9">
        <v>1</v>
      </c>
      <c r="V9">
        <v>8</v>
      </c>
      <c r="W9" t="s">
        <v>523</v>
      </c>
      <c r="X9" t="s">
        <v>539</v>
      </c>
      <c r="Y9">
        <v>1</v>
      </c>
      <c r="AG9">
        <v>8</v>
      </c>
      <c r="AH9" t="s">
        <v>525</v>
      </c>
      <c r="AI9" t="s">
        <v>587</v>
      </c>
      <c r="AJ9">
        <v>0</v>
      </c>
      <c r="AK9" s="14" t="s">
        <v>818</v>
      </c>
    </row>
    <row r="10" spans="1:37" x14ac:dyDescent="0.25">
      <c r="D10">
        <v>9</v>
      </c>
      <c r="E10" t="s">
        <v>525</v>
      </c>
      <c r="F10" t="s">
        <v>606</v>
      </c>
      <c r="G10">
        <v>1</v>
      </c>
      <c r="M10">
        <v>9</v>
      </c>
      <c r="N10" t="s">
        <v>525</v>
      </c>
      <c r="O10" t="s">
        <v>577</v>
      </c>
      <c r="P10">
        <v>1</v>
      </c>
      <c r="V10">
        <v>9</v>
      </c>
      <c r="W10" t="s">
        <v>523</v>
      </c>
      <c r="X10" t="s">
        <v>551</v>
      </c>
      <c r="Y10">
        <v>0</v>
      </c>
      <c r="Z10" t="s">
        <v>632</v>
      </c>
      <c r="AG10">
        <v>9</v>
      </c>
      <c r="AH10" t="s">
        <v>521</v>
      </c>
      <c r="AI10" t="s">
        <v>594</v>
      </c>
      <c r="AJ10">
        <v>1</v>
      </c>
    </row>
    <row r="11" spans="1:37" x14ac:dyDescent="0.25">
      <c r="D11">
        <v>10</v>
      </c>
      <c r="E11" t="s">
        <v>525</v>
      </c>
      <c r="F11" t="s">
        <v>612</v>
      </c>
      <c r="G11">
        <v>1</v>
      </c>
      <c r="M11">
        <v>10</v>
      </c>
      <c r="N11" t="s">
        <v>521</v>
      </c>
      <c r="O11" t="s">
        <v>584</v>
      </c>
      <c r="P11">
        <v>1</v>
      </c>
      <c r="V11">
        <v>10</v>
      </c>
      <c r="W11" t="s">
        <v>525</v>
      </c>
      <c r="X11" t="s">
        <v>563</v>
      </c>
      <c r="Y11">
        <v>0</v>
      </c>
      <c r="Z11" t="s">
        <v>564</v>
      </c>
      <c r="AG11">
        <v>10</v>
      </c>
      <c r="AH11" t="s">
        <v>523</v>
      </c>
      <c r="AI11" t="s">
        <v>582</v>
      </c>
      <c r="AJ11">
        <v>1</v>
      </c>
    </row>
    <row r="12" spans="1:37" x14ac:dyDescent="0.25">
      <c r="D12">
        <v>11</v>
      </c>
      <c r="E12" t="s">
        <v>523</v>
      </c>
      <c r="F12" t="s">
        <v>586</v>
      </c>
      <c r="G12">
        <v>1</v>
      </c>
      <c r="M12">
        <v>11</v>
      </c>
      <c r="N12" t="s">
        <v>525</v>
      </c>
      <c r="O12" t="s">
        <v>602</v>
      </c>
      <c r="P12">
        <v>1</v>
      </c>
      <c r="V12">
        <v>11</v>
      </c>
      <c r="W12" t="s">
        <v>523</v>
      </c>
      <c r="X12" t="s">
        <v>607</v>
      </c>
      <c r="Y12">
        <v>1</v>
      </c>
      <c r="AG12">
        <v>11</v>
      </c>
      <c r="AH12" t="s">
        <v>523</v>
      </c>
      <c r="AI12" t="s">
        <v>575</v>
      </c>
      <c r="AJ12">
        <v>1</v>
      </c>
    </row>
    <row r="13" spans="1:37" x14ac:dyDescent="0.25">
      <c r="D13">
        <v>12</v>
      </c>
      <c r="E13" t="s">
        <v>521</v>
      </c>
      <c r="F13" t="s">
        <v>593</v>
      </c>
      <c r="G13">
        <v>1</v>
      </c>
      <c r="M13">
        <v>12</v>
      </c>
      <c r="N13" t="s">
        <v>525</v>
      </c>
      <c r="O13" t="s">
        <v>558</v>
      </c>
      <c r="P13">
        <v>1</v>
      </c>
      <c r="V13">
        <v>12</v>
      </c>
      <c r="W13" t="s">
        <v>525</v>
      </c>
      <c r="X13" t="s">
        <v>608</v>
      </c>
      <c r="Y13">
        <v>0</v>
      </c>
      <c r="Z13" s="14" t="s">
        <v>633</v>
      </c>
      <c r="AG13">
        <v>12</v>
      </c>
      <c r="AH13" t="s">
        <v>525</v>
      </c>
      <c r="AI13" t="s">
        <v>572</v>
      </c>
      <c r="AJ13">
        <v>1</v>
      </c>
    </row>
    <row r="14" spans="1:37" x14ac:dyDescent="0.25">
      <c r="D14">
        <v>13</v>
      </c>
      <c r="E14" t="s">
        <v>521</v>
      </c>
      <c r="F14" t="s">
        <v>615</v>
      </c>
      <c r="G14">
        <v>1</v>
      </c>
      <c r="M14">
        <v>13</v>
      </c>
      <c r="N14" t="s">
        <v>521</v>
      </c>
      <c r="O14" t="s">
        <v>596</v>
      </c>
      <c r="P14">
        <v>1</v>
      </c>
      <c r="V14">
        <v>13</v>
      </c>
      <c r="W14" t="s">
        <v>525</v>
      </c>
      <c r="X14" t="s">
        <v>543</v>
      </c>
      <c r="Y14">
        <v>0</v>
      </c>
      <c r="Z14" s="14" t="s">
        <v>634</v>
      </c>
      <c r="AG14">
        <v>13</v>
      </c>
      <c r="AH14" t="s">
        <v>525</v>
      </c>
      <c r="AI14" t="s">
        <v>605</v>
      </c>
      <c r="AJ14">
        <v>0</v>
      </c>
      <c r="AK14" s="14" t="s">
        <v>635</v>
      </c>
    </row>
    <row r="15" spans="1:37" x14ac:dyDescent="0.25">
      <c r="D15">
        <v>14</v>
      </c>
      <c r="E15" t="s">
        <v>525</v>
      </c>
      <c r="F15" t="s">
        <v>589</v>
      </c>
      <c r="G15">
        <v>1</v>
      </c>
      <c r="M15">
        <v>14</v>
      </c>
      <c r="N15" t="s">
        <v>525</v>
      </c>
      <c r="O15" t="s">
        <v>606</v>
      </c>
      <c r="P15">
        <v>1</v>
      </c>
      <c r="V15">
        <v>14</v>
      </c>
      <c r="W15" t="s">
        <v>523</v>
      </c>
      <c r="X15" t="s">
        <v>524</v>
      </c>
      <c r="Y15">
        <v>1</v>
      </c>
      <c r="AG15">
        <v>14</v>
      </c>
      <c r="AH15" t="s">
        <v>523</v>
      </c>
      <c r="AI15" t="s">
        <v>524</v>
      </c>
      <c r="AJ15">
        <v>1</v>
      </c>
    </row>
    <row r="16" spans="1:37" x14ac:dyDescent="0.25">
      <c r="D16">
        <v>15</v>
      </c>
      <c r="E16" t="s">
        <v>521</v>
      </c>
      <c r="F16" t="s">
        <v>544</v>
      </c>
      <c r="G16">
        <v>1</v>
      </c>
      <c r="M16">
        <v>15</v>
      </c>
      <c r="N16" t="s">
        <v>523</v>
      </c>
      <c r="O16" t="s">
        <v>538</v>
      </c>
      <c r="P16">
        <v>1</v>
      </c>
      <c r="V16">
        <v>15</v>
      </c>
      <c r="W16" t="s">
        <v>521</v>
      </c>
      <c r="X16" t="s">
        <v>522</v>
      </c>
      <c r="Y16">
        <v>1</v>
      </c>
      <c r="AG16">
        <v>15</v>
      </c>
      <c r="AH16" t="s">
        <v>523</v>
      </c>
      <c r="AI16" t="s">
        <v>599</v>
      </c>
      <c r="AJ16">
        <v>1</v>
      </c>
    </row>
    <row r="17" spans="4:37" x14ac:dyDescent="0.25">
      <c r="D17">
        <v>16</v>
      </c>
      <c r="E17" t="s">
        <v>525</v>
      </c>
      <c r="F17" t="s">
        <v>560</v>
      </c>
      <c r="G17">
        <v>1</v>
      </c>
      <c r="M17">
        <v>16</v>
      </c>
      <c r="N17" t="s">
        <v>525</v>
      </c>
      <c r="O17" t="s">
        <v>612</v>
      </c>
      <c r="P17">
        <v>0</v>
      </c>
      <c r="Q17" t="s">
        <v>613</v>
      </c>
      <c r="V17">
        <v>16</v>
      </c>
      <c r="W17" t="s">
        <v>525</v>
      </c>
      <c r="X17" t="s">
        <v>605</v>
      </c>
      <c r="Y17">
        <v>0</v>
      </c>
      <c r="Z17" s="14" t="s">
        <v>635</v>
      </c>
      <c r="AG17">
        <v>16</v>
      </c>
      <c r="AH17" t="s">
        <v>521</v>
      </c>
      <c r="AI17" t="s">
        <v>580</v>
      </c>
      <c r="AJ17">
        <v>1</v>
      </c>
    </row>
    <row r="18" spans="4:37" x14ac:dyDescent="0.25">
      <c r="D18">
        <v>17</v>
      </c>
      <c r="E18" t="s">
        <v>525</v>
      </c>
      <c r="F18" t="s">
        <v>526</v>
      </c>
      <c r="G18">
        <v>1</v>
      </c>
      <c r="M18">
        <v>17</v>
      </c>
      <c r="N18" t="s">
        <v>521</v>
      </c>
      <c r="O18" t="s">
        <v>544</v>
      </c>
      <c r="P18">
        <v>1</v>
      </c>
      <c r="V18">
        <v>17</v>
      </c>
      <c r="W18" t="s">
        <v>523</v>
      </c>
      <c r="X18" t="s">
        <v>536</v>
      </c>
      <c r="Y18" s="15">
        <v>1</v>
      </c>
      <c r="Z18" s="16">
        <v>1</v>
      </c>
      <c r="AG18">
        <v>17</v>
      </c>
      <c r="AH18" t="s">
        <v>523</v>
      </c>
      <c r="AI18" t="s">
        <v>536</v>
      </c>
      <c r="AJ18">
        <v>1</v>
      </c>
    </row>
    <row r="19" spans="4:37" x14ac:dyDescent="0.25">
      <c r="D19">
        <v>18</v>
      </c>
      <c r="E19" t="s">
        <v>521</v>
      </c>
      <c r="F19" t="s">
        <v>584</v>
      </c>
      <c r="G19">
        <v>1</v>
      </c>
      <c r="M19">
        <v>18</v>
      </c>
      <c r="N19" t="s">
        <v>523</v>
      </c>
      <c r="O19" t="s">
        <v>556</v>
      </c>
      <c r="P19">
        <v>1</v>
      </c>
      <c r="V19">
        <v>18</v>
      </c>
      <c r="W19" t="s">
        <v>523</v>
      </c>
      <c r="X19" t="s">
        <v>582</v>
      </c>
      <c r="Y19">
        <v>0</v>
      </c>
      <c r="Z19" s="14" t="s">
        <v>636</v>
      </c>
      <c r="AA19" s="14" t="s">
        <v>637</v>
      </c>
      <c r="AG19">
        <v>18</v>
      </c>
      <c r="AH19" t="s">
        <v>525</v>
      </c>
      <c r="AI19" t="s">
        <v>592</v>
      </c>
      <c r="AJ19">
        <v>1</v>
      </c>
    </row>
    <row r="20" spans="4:37" x14ac:dyDescent="0.25">
      <c r="D20">
        <v>19</v>
      </c>
      <c r="E20" t="s">
        <v>525</v>
      </c>
      <c r="F20" t="s">
        <v>601</v>
      </c>
      <c r="G20">
        <v>1</v>
      </c>
      <c r="M20">
        <v>19</v>
      </c>
      <c r="N20" t="s">
        <v>521</v>
      </c>
      <c r="O20" t="s">
        <v>611</v>
      </c>
      <c r="P20">
        <v>1</v>
      </c>
      <c r="V20">
        <v>19</v>
      </c>
      <c r="W20" t="s">
        <v>525</v>
      </c>
      <c r="X20" t="s">
        <v>587</v>
      </c>
      <c r="Y20">
        <v>1</v>
      </c>
      <c r="AG20">
        <v>19</v>
      </c>
      <c r="AH20" t="s">
        <v>523</v>
      </c>
      <c r="AI20" t="s">
        <v>588</v>
      </c>
      <c r="AJ20">
        <v>1</v>
      </c>
    </row>
    <row r="21" spans="4:37" x14ac:dyDescent="0.25">
      <c r="D21">
        <v>20</v>
      </c>
      <c r="E21" t="s">
        <v>521</v>
      </c>
      <c r="F21" t="s">
        <v>596</v>
      </c>
      <c r="G21">
        <v>1</v>
      </c>
      <c r="M21">
        <v>20</v>
      </c>
      <c r="N21" t="s">
        <v>521</v>
      </c>
      <c r="O21" t="s">
        <v>535</v>
      </c>
      <c r="P21">
        <v>1</v>
      </c>
      <c r="V21">
        <v>20</v>
      </c>
      <c r="W21" t="s">
        <v>521</v>
      </c>
      <c r="X21" t="s">
        <v>569</v>
      </c>
      <c r="Y21">
        <v>1</v>
      </c>
      <c r="AG21">
        <v>20</v>
      </c>
      <c r="AH21" t="s">
        <v>523</v>
      </c>
      <c r="AI21" t="s">
        <v>546</v>
      </c>
      <c r="AJ21">
        <v>1</v>
      </c>
      <c r="AK21" t="s">
        <v>817</v>
      </c>
    </row>
    <row r="22" spans="4:37" x14ac:dyDescent="0.25">
      <c r="D22">
        <v>21</v>
      </c>
      <c r="E22" t="s">
        <v>525</v>
      </c>
      <c r="F22" t="s">
        <v>542</v>
      </c>
      <c r="G22">
        <v>0</v>
      </c>
      <c r="H22" t="s">
        <v>621</v>
      </c>
      <c r="M22">
        <v>21</v>
      </c>
      <c r="N22" t="s">
        <v>523</v>
      </c>
      <c r="O22" t="s">
        <v>570</v>
      </c>
      <c r="P22">
        <v>1</v>
      </c>
      <c r="V22">
        <v>21</v>
      </c>
      <c r="W22" t="s">
        <v>523</v>
      </c>
      <c r="X22" t="s">
        <v>571</v>
      </c>
      <c r="Y22">
        <v>1</v>
      </c>
      <c r="AG22">
        <v>21</v>
      </c>
      <c r="AH22" t="s">
        <v>525</v>
      </c>
      <c r="AI22" t="s">
        <v>540</v>
      </c>
      <c r="AJ22">
        <v>0</v>
      </c>
      <c r="AK22" s="14" t="s">
        <v>819</v>
      </c>
    </row>
    <row r="23" spans="4:37" x14ac:dyDescent="0.25">
      <c r="D23">
        <v>22</v>
      </c>
      <c r="E23" t="s">
        <v>521</v>
      </c>
      <c r="F23" t="s">
        <v>576</v>
      </c>
      <c r="G23">
        <v>1</v>
      </c>
      <c r="M23">
        <v>22</v>
      </c>
      <c r="N23" t="s">
        <v>523</v>
      </c>
      <c r="O23" t="s">
        <v>590</v>
      </c>
      <c r="P23">
        <v>1</v>
      </c>
      <c r="V23">
        <v>22</v>
      </c>
      <c r="W23" t="s">
        <v>525</v>
      </c>
      <c r="X23" t="s">
        <v>585</v>
      </c>
      <c r="Y23">
        <v>1</v>
      </c>
      <c r="AG23">
        <v>22</v>
      </c>
      <c r="AH23" t="s">
        <v>523</v>
      </c>
      <c r="AI23" t="s">
        <v>539</v>
      </c>
      <c r="AJ23">
        <v>1</v>
      </c>
    </row>
    <row r="24" spans="4:37" x14ac:dyDescent="0.25">
      <c r="D24">
        <v>23</v>
      </c>
      <c r="E24" t="s">
        <v>521</v>
      </c>
      <c r="F24" t="s">
        <v>591</v>
      </c>
      <c r="G24">
        <v>1</v>
      </c>
      <c r="M24">
        <v>23</v>
      </c>
      <c r="N24" t="s">
        <v>523</v>
      </c>
      <c r="O24" t="s">
        <v>614</v>
      </c>
      <c r="P24">
        <v>1</v>
      </c>
      <c r="V24">
        <v>23</v>
      </c>
      <c r="W24" t="s">
        <v>523</v>
      </c>
      <c r="X24" t="s">
        <v>554</v>
      </c>
      <c r="Y24">
        <v>1</v>
      </c>
      <c r="AG24">
        <v>23</v>
      </c>
      <c r="AH24" t="s">
        <v>525</v>
      </c>
      <c r="AI24" t="s">
        <v>585</v>
      </c>
      <c r="AJ24">
        <v>0</v>
      </c>
      <c r="AK24" t="s">
        <v>820</v>
      </c>
    </row>
    <row r="25" spans="4:37" x14ac:dyDescent="0.25">
      <c r="D25">
        <v>24</v>
      </c>
      <c r="E25" t="s">
        <v>523</v>
      </c>
      <c r="F25" t="s">
        <v>583</v>
      </c>
      <c r="G25">
        <v>1</v>
      </c>
      <c r="M25">
        <v>24</v>
      </c>
      <c r="N25" t="s">
        <v>523</v>
      </c>
      <c r="O25" t="s">
        <v>618</v>
      </c>
      <c r="P25">
        <v>1</v>
      </c>
      <c r="V25">
        <v>24</v>
      </c>
      <c r="W25" t="s">
        <v>521</v>
      </c>
      <c r="X25" t="s">
        <v>531</v>
      </c>
      <c r="Y25">
        <v>0</v>
      </c>
      <c r="Z25" t="s">
        <v>638</v>
      </c>
      <c r="AG25">
        <v>24</v>
      </c>
      <c r="AH25" t="s">
        <v>521</v>
      </c>
      <c r="AI25" t="s">
        <v>565</v>
      </c>
      <c r="AJ25">
        <v>1</v>
      </c>
    </row>
    <row r="26" spans="4:37" x14ac:dyDescent="0.25">
      <c r="D26">
        <v>25</v>
      </c>
      <c r="E26" t="s">
        <v>523</v>
      </c>
      <c r="F26" t="s">
        <v>600</v>
      </c>
      <c r="G26">
        <v>1</v>
      </c>
      <c r="M26">
        <v>25</v>
      </c>
      <c r="N26" t="s">
        <v>523</v>
      </c>
      <c r="O26" t="s">
        <v>578</v>
      </c>
      <c r="P26">
        <v>0</v>
      </c>
      <c r="Q26" t="s">
        <v>628</v>
      </c>
      <c r="V26">
        <v>25</v>
      </c>
      <c r="W26" t="s">
        <v>523</v>
      </c>
      <c r="X26" t="s">
        <v>528</v>
      </c>
      <c r="Y26">
        <v>1</v>
      </c>
      <c r="AG26">
        <v>25</v>
      </c>
      <c r="AH26" t="s">
        <v>523</v>
      </c>
      <c r="AI26" t="s">
        <v>554</v>
      </c>
      <c r="AJ26">
        <v>1</v>
      </c>
    </row>
    <row r="27" spans="4:37" x14ac:dyDescent="0.25">
      <c r="D27">
        <v>26</v>
      </c>
      <c r="E27" t="s">
        <v>525</v>
      </c>
      <c r="F27" t="s">
        <v>577</v>
      </c>
      <c r="G27">
        <v>1</v>
      </c>
      <c r="M27">
        <v>26</v>
      </c>
      <c r="N27" t="s">
        <v>525</v>
      </c>
      <c r="O27" t="s">
        <v>560</v>
      </c>
      <c r="P27">
        <v>1</v>
      </c>
      <c r="V27">
        <v>26</v>
      </c>
      <c r="W27" t="s">
        <v>525</v>
      </c>
      <c r="X27" t="s">
        <v>549</v>
      </c>
      <c r="Y27">
        <v>0</v>
      </c>
      <c r="Z27" t="s">
        <v>639</v>
      </c>
      <c r="AG27">
        <v>26</v>
      </c>
      <c r="AH27" t="s">
        <v>525</v>
      </c>
      <c r="AI27" t="s">
        <v>559</v>
      </c>
      <c r="AJ27">
        <v>0</v>
      </c>
    </row>
    <row r="28" spans="4:37" x14ac:dyDescent="0.25">
      <c r="D28">
        <v>27</v>
      </c>
      <c r="E28" t="s">
        <v>523</v>
      </c>
      <c r="F28" t="s">
        <v>578</v>
      </c>
      <c r="G28">
        <v>1</v>
      </c>
      <c r="M28">
        <v>27</v>
      </c>
      <c r="N28" t="s">
        <v>525</v>
      </c>
      <c r="O28" t="s">
        <v>542</v>
      </c>
      <c r="P28">
        <v>0</v>
      </c>
      <c r="Q28" t="s">
        <v>629</v>
      </c>
      <c r="V28">
        <v>27</v>
      </c>
      <c r="W28" t="s">
        <v>521</v>
      </c>
      <c r="X28" t="s">
        <v>537</v>
      </c>
      <c r="Y28">
        <v>1</v>
      </c>
      <c r="AG28">
        <v>27</v>
      </c>
      <c r="AH28" t="s">
        <v>523</v>
      </c>
      <c r="AI28" t="s">
        <v>607</v>
      </c>
      <c r="AJ28">
        <v>1</v>
      </c>
      <c r="AK28" t="s">
        <v>821</v>
      </c>
    </row>
    <row r="29" spans="4:37" x14ac:dyDescent="0.25">
      <c r="D29">
        <v>28</v>
      </c>
      <c r="E29" t="s">
        <v>525</v>
      </c>
      <c r="F29" t="s">
        <v>558</v>
      </c>
      <c r="G29">
        <v>1</v>
      </c>
      <c r="M29">
        <v>28</v>
      </c>
      <c r="N29" t="s">
        <v>523</v>
      </c>
      <c r="O29" t="s">
        <v>550</v>
      </c>
      <c r="P29">
        <v>1</v>
      </c>
      <c r="V29">
        <v>28</v>
      </c>
      <c r="W29" t="s">
        <v>523</v>
      </c>
      <c r="X29" t="s">
        <v>529</v>
      </c>
      <c r="Y29">
        <v>1</v>
      </c>
      <c r="AG29">
        <v>28</v>
      </c>
      <c r="AH29" t="s">
        <v>521</v>
      </c>
      <c r="AI29" t="s">
        <v>552</v>
      </c>
      <c r="AJ29">
        <v>1</v>
      </c>
    </row>
    <row r="30" spans="4:37" x14ac:dyDescent="0.25">
      <c r="D30">
        <v>29</v>
      </c>
      <c r="E30" t="s">
        <v>521</v>
      </c>
      <c r="F30" t="s">
        <v>581</v>
      </c>
      <c r="G30">
        <v>1</v>
      </c>
      <c r="M30">
        <v>29</v>
      </c>
      <c r="N30" t="s">
        <v>523</v>
      </c>
      <c r="O30" t="s">
        <v>600</v>
      </c>
      <c r="P30">
        <v>1</v>
      </c>
      <c r="V30">
        <v>29</v>
      </c>
      <c r="W30" t="s">
        <v>521</v>
      </c>
      <c r="X30" t="s">
        <v>433</v>
      </c>
      <c r="Y30">
        <v>1</v>
      </c>
      <c r="AG30">
        <v>29</v>
      </c>
      <c r="AH30" t="s">
        <v>525</v>
      </c>
      <c r="AI30" t="s">
        <v>608</v>
      </c>
      <c r="AJ30">
        <v>0</v>
      </c>
      <c r="AK30" s="14" t="s">
        <v>822</v>
      </c>
    </row>
    <row r="31" spans="4:37" x14ac:dyDescent="0.25">
      <c r="D31">
        <v>30</v>
      </c>
      <c r="E31" t="s">
        <v>525</v>
      </c>
      <c r="F31" t="s">
        <v>602</v>
      </c>
      <c r="G31">
        <v>0</v>
      </c>
      <c r="H31" t="s">
        <v>622</v>
      </c>
      <c r="M31">
        <v>30</v>
      </c>
      <c r="N31" t="s">
        <v>521</v>
      </c>
      <c r="O31" t="s">
        <v>591</v>
      </c>
      <c r="P31">
        <v>1</v>
      </c>
      <c r="V31">
        <v>30</v>
      </c>
      <c r="W31" t="s">
        <v>525</v>
      </c>
      <c r="X31" t="s">
        <v>572</v>
      </c>
      <c r="Y31">
        <v>0</v>
      </c>
      <c r="Z31" t="s">
        <v>573</v>
      </c>
      <c r="AG31">
        <v>30</v>
      </c>
      <c r="AH31" t="s">
        <v>521</v>
      </c>
      <c r="AI31" t="s">
        <v>537</v>
      </c>
      <c r="AJ31">
        <v>1</v>
      </c>
    </row>
    <row r="32" spans="4:37" x14ac:dyDescent="0.25">
      <c r="D32">
        <v>31</v>
      </c>
      <c r="E32" t="s">
        <v>523</v>
      </c>
      <c r="F32" t="s">
        <v>538</v>
      </c>
      <c r="G32">
        <v>1</v>
      </c>
      <c r="M32">
        <v>31</v>
      </c>
      <c r="N32" t="s">
        <v>525</v>
      </c>
      <c r="O32" t="s">
        <v>526</v>
      </c>
      <c r="P32">
        <v>1</v>
      </c>
      <c r="V32">
        <v>31</v>
      </c>
      <c r="W32" t="s">
        <v>521</v>
      </c>
      <c r="X32" t="s">
        <v>532</v>
      </c>
      <c r="Y32">
        <v>1</v>
      </c>
      <c r="AG32">
        <v>31</v>
      </c>
      <c r="AH32" t="s">
        <v>521</v>
      </c>
      <c r="AI32" t="s">
        <v>569</v>
      </c>
      <c r="AJ32">
        <v>1</v>
      </c>
    </row>
    <row r="33" spans="4:37" x14ac:dyDescent="0.25">
      <c r="D33">
        <v>32</v>
      </c>
      <c r="E33" t="s">
        <v>525</v>
      </c>
      <c r="F33" t="s">
        <v>616</v>
      </c>
      <c r="G33">
        <v>1</v>
      </c>
      <c r="M33">
        <v>32</v>
      </c>
      <c r="N33" t="s">
        <v>525</v>
      </c>
      <c r="O33" t="s">
        <v>553</v>
      </c>
      <c r="P33">
        <v>0</v>
      </c>
      <c r="Q33" s="14" t="s">
        <v>624</v>
      </c>
      <c r="V33">
        <v>32</v>
      </c>
      <c r="W33" t="s">
        <v>525</v>
      </c>
      <c r="X33" t="s">
        <v>592</v>
      </c>
      <c r="Y33">
        <v>1</v>
      </c>
      <c r="AG33">
        <v>32</v>
      </c>
      <c r="AH33" t="s">
        <v>525</v>
      </c>
      <c r="AI33" t="s">
        <v>563</v>
      </c>
      <c r="AJ33">
        <v>0</v>
      </c>
      <c r="AK33" t="s">
        <v>564</v>
      </c>
    </row>
    <row r="34" spans="4:37" x14ac:dyDescent="0.25">
      <c r="D34">
        <v>33</v>
      </c>
      <c r="E34" t="s">
        <v>523</v>
      </c>
      <c r="F34" t="s">
        <v>614</v>
      </c>
      <c r="G34">
        <v>1</v>
      </c>
      <c r="M34">
        <v>33</v>
      </c>
      <c r="N34" t="s">
        <v>521</v>
      </c>
      <c r="O34" t="s">
        <v>566</v>
      </c>
      <c r="P34">
        <v>1</v>
      </c>
      <c r="V34">
        <v>33</v>
      </c>
      <c r="W34" t="s">
        <v>525</v>
      </c>
      <c r="X34" t="s">
        <v>559</v>
      </c>
      <c r="Y34">
        <v>0</v>
      </c>
      <c r="Z34" t="s">
        <v>640</v>
      </c>
      <c r="AG34">
        <v>33</v>
      </c>
      <c r="AH34" t="s">
        <v>523</v>
      </c>
      <c r="AI34" t="s">
        <v>529</v>
      </c>
      <c r="AJ34">
        <v>1</v>
      </c>
    </row>
    <row r="35" spans="4:37" x14ac:dyDescent="0.25">
      <c r="D35">
        <v>34</v>
      </c>
      <c r="E35" t="s">
        <v>523</v>
      </c>
      <c r="F35" t="s">
        <v>570</v>
      </c>
      <c r="G35">
        <v>0</v>
      </c>
      <c r="H35" t="s">
        <v>623</v>
      </c>
      <c r="M35">
        <v>34</v>
      </c>
      <c r="N35" t="s">
        <v>521</v>
      </c>
      <c r="O35" t="s">
        <v>555</v>
      </c>
      <c r="P35">
        <v>1</v>
      </c>
      <c r="V35">
        <v>34</v>
      </c>
      <c r="W35" t="s">
        <v>525</v>
      </c>
      <c r="X35" t="s">
        <v>557</v>
      </c>
      <c r="Y35">
        <v>1</v>
      </c>
      <c r="AG35">
        <v>34</v>
      </c>
      <c r="AH35" t="s">
        <v>523</v>
      </c>
      <c r="AI35" t="s">
        <v>571</v>
      </c>
      <c r="AJ35">
        <v>1</v>
      </c>
    </row>
    <row r="36" spans="4:37" x14ac:dyDescent="0.25">
      <c r="D36">
        <v>35</v>
      </c>
      <c r="E36" t="s">
        <v>521</v>
      </c>
      <c r="F36" t="s">
        <v>611</v>
      </c>
      <c r="G36">
        <v>1</v>
      </c>
      <c r="M36">
        <v>35</v>
      </c>
      <c r="N36" t="s">
        <v>523</v>
      </c>
      <c r="O36" t="s">
        <v>586</v>
      </c>
      <c r="P36">
        <v>1</v>
      </c>
      <c r="V36">
        <v>35</v>
      </c>
      <c r="W36" t="s">
        <v>521</v>
      </c>
      <c r="X36" t="s">
        <v>545</v>
      </c>
      <c r="Y36">
        <v>1</v>
      </c>
      <c r="AG36">
        <v>35</v>
      </c>
      <c r="AH36" t="s">
        <v>521</v>
      </c>
      <c r="AI36" t="s">
        <v>522</v>
      </c>
      <c r="AJ36">
        <v>1</v>
      </c>
    </row>
    <row r="37" spans="4:37" x14ac:dyDescent="0.25">
      <c r="D37">
        <v>36</v>
      </c>
      <c r="E37" t="s">
        <v>525</v>
      </c>
      <c r="F37" t="s">
        <v>548</v>
      </c>
      <c r="G37">
        <v>1</v>
      </c>
      <c r="M37">
        <v>36</v>
      </c>
      <c r="N37" t="s">
        <v>521</v>
      </c>
      <c r="O37" t="s">
        <v>610</v>
      </c>
      <c r="P37">
        <v>1</v>
      </c>
      <c r="V37">
        <v>36</v>
      </c>
      <c r="W37" t="s">
        <v>525</v>
      </c>
      <c r="X37" t="s">
        <v>603</v>
      </c>
      <c r="Y37">
        <v>0</v>
      </c>
      <c r="Z37" t="s">
        <v>547</v>
      </c>
      <c r="AG37">
        <v>36</v>
      </c>
      <c r="AH37" t="s">
        <v>525</v>
      </c>
      <c r="AI37" t="s">
        <v>543</v>
      </c>
      <c r="AJ37">
        <v>0</v>
      </c>
      <c r="AK37" s="14" t="s">
        <v>634</v>
      </c>
    </row>
    <row r="38" spans="4:37" x14ac:dyDescent="0.25">
      <c r="D38">
        <v>37</v>
      </c>
      <c r="E38" t="s">
        <v>525</v>
      </c>
      <c r="F38" t="s">
        <v>553</v>
      </c>
      <c r="G38">
        <v>0</v>
      </c>
      <c r="H38" s="14" t="s">
        <v>624</v>
      </c>
      <c r="M38">
        <v>37</v>
      </c>
      <c r="N38" t="s">
        <v>521</v>
      </c>
      <c r="O38" t="s">
        <v>530</v>
      </c>
      <c r="P38">
        <v>1</v>
      </c>
      <c r="V38">
        <v>37</v>
      </c>
      <c r="W38" t="s">
        <v>521</v>
      </c>
      <c r="X38" t="s">
        <v>594</v>
      </c>
      <c r="Y38">
        <v>1</v>
      </c>
      <c r="AG38">
        <v>37</v>
      </c>
      <c r="AH38" t="s">
        <v>523</v>
      </c>
      <c r="AI38" t="s">
        <v>528</v>
      </c>
      <c r="AJ38">
        <v>1</v>
      </c>
    </row>
    <row r="39" spans="4:37" x14ac:dyDescent="0.25">
      <c r="D39">
        <v>38</v>
      </c>
      <c r="E39" t="s">
        <v>523</v>
      </c>
      <c r="F39" t="s">
        <v>550</v>
      </c>
      <c r="G39">
        <v>0</v>
      </c>
      <c r="H39" t="s">
        <v>625</v>
      </c>
      <c r="M39">
        <v>38</v>
      </c>
      <c r="N39" t="s">
        <v>525</v>
      </c>
      <c r="O39" t="s">
        <v>589</v>
      </c>
      <c r="P39">
        <v>1</v>
      </c>
      <c r="V39">
        <v>38</v>
      </c>
      <c r="W39" t="s">
        <v>525</v>
      </c>
      <c r="X39" t="s">
        <v>534</v>
      </c>
      <c r="Y39">
        <v>1</v>
      </c>
      <c r="AG39">
        <v>38</v>
      </c>
      <c r="AH39" t="s">
        <v>521</v>
      </c>
      <c r="AI39" t="s">
        <v>531</v>
      </c>
      <c r="AJ39">
        <v>0</v>
      </c>
      <c r="AK39" t="s">
        <v>823</v>
      </c>
    </row>
    <row r="40" spans="4:37" x14ac:dyDescent="0.25">
      <c r="D40">
        <v>39</v>
      </c>
      <c r="E40" t="s">
        <v>521</v>
      </c>
      <c r="F40" t="s">
        <v>530</v>
      </c>
      <c r="G40">
        <v>1</v>
      </c>
      <c r="M40">
        <v>39</v>
      </c>
      <c r="N40" t="s">
        <v>523</v>
      </c>
      <c r="O40" t="s">
        <v>604</v>
      </c>
      <c r="P40">
        <v>1</v>
      </c>
      <c r="V40">
        <v>39</v>
      </c>
      <c r="W40" t="s">
        <v>521</v>
      </c>
      <c r="X40" t="s">
        <v>580</v>
      </c>
      <c r="Y40">
        <v>1</v>
      </c>
      <c r="AG40">
        <v>39</v>
      </c>
      <c r="AH40" t="s">
        <v>525</v>
      </c>
      <c r="AI40" t="s">
        <v>557</v>
      </c>
      <c r="AJ40">
        <v>1</v>
      </c>
    </row>
    <row r="41" spans="4:37" x14ac:dyDescent="0.25">
      <c r="D41">
        <v>40</v>
      </c>
      <c r="E41" t="s">
        <v>523</v>
      </c>
      <c r="F41" t="s">
        <v>590</v>
      </c>
      <c r="G41">
        <v>1</v>
      </c>
      <c r="M41">
        <v>40</v>
      </c>
      <c r="N41" t="s">
        <v>525</v>
      </c>
      <c r="O41" t="s">
        <v>568</v>
      </c>
      <c r="P41">
        <v>0</v>
      </c>
      <c r="Q41" s="13" t="s">
        <v>619</v>
      </c>
      <c r="V41">
        <v>40</v>
      </c>
      <c r="W41" t="s">
        <v>521</v>
      </c>
      <c r="X41" t="s">
        <v>567</v>
      </c>
      <c r="Y41">
        <v>1</v>
      </c>
      <c r="AG41">
        <v>40</v>
      </c>
      <c r="AH41" t="s">
        <v>523</v>
      </c>
      <c r="AI41" t="s">
        <v>597</v>
      </c>
      <c r="AJ41">
        <v>1</v>
      </c>
      <c r="AK41" s="14"/>
    </row>
    <row r="42" spans="4:37" x14ac:dyDescent="0.25">
      <c r="D42">
        <v>41</v>
      </c>
      <c r="E42" t="s">
        <v>521</v>
      </c>
      <c r="F42" t="s">
        <v>562</v>
      </c>
      <c r="G42">
        <v>1</v>
      </c>
      <c r="M42">
        <v>41</v>
      </c>
      <c r="N42" t="s">
        <v>523</v>
      </c>
      <c r="O42" t="s">
        <v>583</v>
      </c>
      <c r="P42">
        <v>1</v>
      </c>
      <c r="V42">
        <v>41</v>
      </c>
      <c r="W42" t="s">
        <v>521</v>
      </c>
      <c r="X42" t="s">
        <v>552</v>
      </c>
      <c r="Y42">
        <v>1</v>
      </c>
      <c r="AG42">
        <v>41</v>
      </c>
      <c r="AH42" t="s">
        <v>521</v>
      </c>
      <c r="AI42" t="s">
        <v>419</v>
      </c>
      <c r="AJ42">
        <v>1</v>
      </c>
    </row>
    <row r="43" spans="4:37" x14ac:dyDescent="0.25">
      <c r="D43">
        <v>42</v>
      </c>
      <c r="E43" t="s">
        <v>523</v>
      </c>
      <c r="F43" t="s">
        <v>556</v>
      </c>
      <c r="G43">
        <v>1</v>
      </c>
      <c r="M43">
        <v>42</v>
      </c>
      <c r="N43" t="s">
        <v>523</v>
      </c>
      <c r="O43" t="s">
        <v>533</v>
      </c>
      <c r="P43">
        <v>1</v>
      </c>
      <c r="V43">
        <v>42</v>
      </c>
      <c r="W43" t="s">
        <v>521</v>
      </c>
      <c r="X43" t="s">
        <v>561</v>
      </c>
      <c r="Y43">
        <v>1</v>
      </c>
      <c r="AG43">
        <v>42</v>
      </c>
      <c r="AH43" t="s">
        <v>525</v>
      </c>
      <c r="AI43" t="s">
        <v>534</v>
      </c>
      <c r="AJ43">
        <v>0</v>
      </c>
      <c r="AK43" t="s">
        <v>824</v>
      </c>
    </row>
    <row r="44" spans="4:37" x14ac:dyDescent="0.25">
      <c r="D44">
        <v>43</v>
      </c>
      <c r="E44" t="s">
        <v>523</v>
      </c>
      <c r="F44" t="s">
        <v>533</v>
      </c>
      <c r="G44">
        <v>1</v>
      </c>
      <c r="M44">
        <v>43</v>
      </c>
      <c r="N44" t="s">
        <v>521</v>
      </c>
      <c r="O44" t="s">
        <v>615</v>
      </c>
      <c r="P44">
        <v>1</v>
      </c>
      <c r="V44">
        <v>43</v>
      </c>
      <c r="W44" t="s">
        <v>523</v>
      </c>
      <c r="X44" t="s">
        <v>597</v>
      </c>
      <c r="Y44">
        <v>1</v>
      </c>
      <c r="AG44">
        <v>43</v>
      </c>
      <c r="AH44" t="s">
        <v>521</v>
      </c>
      <c r="AI44" t="s">
        <v>433</v>
      </c>
      <c r="AJ44">
        <v>1</v>
      </c>
    </row>
    <row r="45" spans="4:37" x14ac:dyDescent="0.25">
      <c r="D45">
        <v>44</v>
      </c>
      <c r="E45" t="s">
        <v>521</v>
      </c>
      <c r="F45" t="s">
        <v>555</v>
      </c>
      <c r="G45">
        <v>1</v>
      </c>
      <c r="M45">
        <v>44</v>
      </c>
      <c r="N45" t="s">
        <v>523</v>
      </c>
      <c r="O45" t="s">
        <v>574</v>
      </c>
      <c r="P45">
        <v>1</v>
      </c>
      <c r="V45">
        <v>44</v>
      </c>
      <c r="W45" t="s">
        <v>523</v>
      </c>
      <c r="X45" t="s">
        <v>588</v>
      </c>
      <c r="Y45">
        <v>1</v>
      </c>
      <c r="AG45">
        <v>44</v>
      </c>
      <c r="AH45" t="s">
        <v>521</v>
      </c>
      <c r="AI45" t="s">
        <v>561</v>
      </c>
      <c r="AJ45">
        <v>1</v>
      </c>
    </row>
    <row r="46" spans="4:37" x14ac:dyDescent="0.25">
      <c r="D46">
        <v>45</v>
      </c>
      <c r="E46" t="s">
        <v>523</v>
      </c>
      <c r="F46" t="s">
        <v>574</v>
      </c>
      <c r="G46">
        <v>1</v>
      </c>
      <c r="M46">
        <v>45</v>
      </c>
      <c r="N46" t="s">
        <v>525</v>
      </c>
      <c r="O46" t="s">
        <v>616</v>
      </c>
      <c r="P46">
        <v>0</v>
      </c>
      <c r="Q46" s="14" t="s">
        <v>617</v>
      </c>
      <c r="V46">
        <v>45</v>
      </c>
      <c r="W46" t="s">
        <v>525</v>
      </c>
      <c r="X46" t="s">
        <v>579</v>
      </c>
      <c r="Y46">
        <v>0</v>
      </c>
      <c r="Z46" t="s">
        <v>641</v>
      </c>
      <c r="AG46">
        <v>45</v>
      </c>
      <c r="AH46" t="s">
        <v>525</v>
      </c>
      <c r="AI46" t="s">
        <v>603</v>
      </c>
      <c r="AJ46">
        <v>0</v>
      </c>
      <c r="AK46" t="s">
        <v>547</v>
      </c>
    </row>
    <row r="47" spans="4:37" x14ac:dyDescent="0.25">
      <c r="G47" s="2">
        <f>SUM(G2:G46)</f>
        <v>38</v>
      </c>
      <c r="P47" s="2">
        <f>SUM(P2:P46)</f>
        <v>38</v>
      </c>
      <c r="Y47" s="2">
        <f>SUM(Y2:Y46)</f>
        <v>31</v>
      </c>
      <c r="AJ47">
        <f>SUM(AJ2:AJ46)</f>
        <v>31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"/>
  <sheetViews>
    <sheetView tabSelected="1" workbookViewId="0">
      <selection activeCell="AG4" sqref="AG4"/>
    </sheetView>
  </sheetViews>
  <sheetFormatPr baseColWidth="10" defaultRowHeight="15" x14ac:dyDescent="0.25"/>
  <cols>
    <col min="1" max="1" width="34.85546875" customWidth="1"/>
    <col min="5" max="5" width="20.7109375" customWidth="1"/>
    <col min="6" max="6" width="20.85546875" customWidth="1"/>
    <col min="7" max="7" width="16.28515625" customWidth="1"/>
    <col min="11" max="11" width="25.85546875" customWidth="1"/>
    <col min="15" max="15" width="15.140625" customWidth="1"/>
    <col min="16" max="16" width="16.28515625" customWidth="1"/>
    <col min="22" max="22" width="24.42578125" customWidth="1"/>
    <col min="27" max="27" width="19.5703125" customWidth="1"/>
  </cols>
  <sheetData>
    <row r="1" spans="1:40" ht="15.75" x14ac:dyDescent="0.25">
      <c r="A1" s="1" t="s">
        <v>97</v>
      </c>
      <c r="B1" s="2" t="s">
        <v>0</v>
      </c>
      <c r="C1" s="2" t="s">
        <v>1</v>
      </c>
      <c r="D1" s="2" t="s">
        <v>90</v>
      </c>
      <c r="E1" s="2" t="s">
        <v>286</v>
      </c>
      <c r="F1" s="2" t="s">
        <v>75</v>
      </c>
      <c r="G1" s="2" t="s">
        <v>65</v>
      </c>
      <c r="H1" s="2" t="s">
        <v>66</v>
      </c>
      <c r="K1" s="1" t="s">
        <v>97</v>
      </c>
      <c r="L1" s="2" t="s">
        <v>0</v>
      </c>
      <c r="M1" s="2" t="s">
        <v>1</v>
      </c>
      <c r="N1" s="2" t="s">
        <v>90</v>
      </c>
      <c r="O1" s="2" t="s">
        <v>67</v>
      </c>
      <c r="P1" s="2" t="s">
        <v>75</v>
      </c>
      <c r="Q1" s="2" t="s">
        <v>65</v>
      </c>
      <c r="R1" s="2" t="s">
        <v>66</v>
      </c>
      <c r="V1" s="1" t="s">
        <v>97</v>
      </c>
      <c r="W1" s="2" t="s">
        <v>0</v>
      </c>
      <c r="X1" s="2" t="s">
        <v>1</v>
      </c>
      <c r="Y1" s="2" t="s">
        <v>90</v>
      </c>
      <c r="Z1" s="2" t="s">
        <v>67</v>
      </c>
      <c r="AA1" s="2" t="s">
        <v>75</v>
      </c>
      <c r="AB1" s="2" t="s">
        <v>65</v>
      </c>
      <c r="AC1" s="2" t="s">
        <v>66</v>
      </c>
      <c r="AG1" s="1" t="s">
        <v>97</v>
      </c>
      <c r="AH1" s="2" t="s">
        <v>0</v>
      </c>
      <c r="AI1" s="2" t="s">
        <v>1</v>
      </c>
      <c r="AJ1" s="2" t="s">
        <v>90</v>
      </c>
      <c r="AK1" s="2" t="s">
        <v>67</v>
      </c>
      <c r="AL1" s="2" t="s">
        <v>75</v>
      </c>
      <c r="AM1" s="2" t="s">
        <v>65</v>
      </c>
      <c r="AN1" s="2" t="s">
        <v>66</v>
      </c>
    </row>
    <row r="2" spans="1:40" ht="15.75" x14ac:dyDescent="0.25">
      <c r="A2" s="3" t="s">
        <v>6</v>
      </c>
      <c r="B2">
        <v>2</v>
      </c>
      <c r="C2">
        <v>1</v>
      </c>
      <c r="D2">
        <v>1</v>
      </c>
      <c r="E2" t="s">
        <v>71</v>
      </c>
      <c r="F2" t="s">
        <v>86</v>
      </c>
      <c r="H2">
        <v>0</v>
      </c>
      <c r="K2" s="3" t="s">
        <v>293</v>
      </c>
      <c r="L2">
        <v>2</v>
      </c>
      <c r="M2">
        <v>2</v>
      </c>
      <c r="N2">
        <v>1</v>
      </c>
      <c r="O2" t="s">
        <v>69</v>
      </c>
      <c r="P2" t="s">
        <v>77</v>
      </c>
      <c r="R2">
        <v>0</v>
      </c>
      <c r="V2" s="3" t="s">
        <v>314</v>
      </c>
      <c r="W2">
        <v>1</v>
      </c>
      <c r="X2">
        <v>3</v>
      </c>
      <c r="Y2">
        <v>1</v>
      </c>
      <c r="Z2" t="s">
        <v>74</v>
      </c>
      <c r="AA2" t="s">
        <v>315</v>
      </c>
      <c r="AC2">
        <v>0</v>
      </c>
      <c r="AG2" s="3" t="s">
        <v>645</v>
      </c>
      <c r="AH2">
        <v>1</v>
      </c>
      <c r="AI2">
        <v>4</v>
      </c>
      <c r="AJ2">
        <v>1</v>
      </c>
      <c r="AK2" t="s">
        <v>71</v>
      </c>
      <c r="AL2" t="s">
        <v>324</v>
      </c>
      <c r="AN2">
        <v>0</v>
      </c>
    </row>
    <row r="3" spans="1:40" x14ac:dyDescent="0.25">
      <c r="A3" t="s">
        <v>287</v>
      </c>
      <c r="D3">
        <v>2</v>
      </c>
      <c r="E3" t="s">
        <v>68</v>
      </c>
      <c r="F3" t="s">
        <v>76</v>
      </c>
      <c r="H3">
        <v>1</v>
      </c>
      <c r="K3" t="s">
        <v>287</v>
      </c>
      <c r="N3">
        <v>2</v>
      </c>
      <c r="O3" t="s">
        <v>70</v>
      </c>
      <c r="P3" t="s">
        <v>78</v>
      </c>
      <c r="R3">
        <v>0</v>
      </c>
      <c r="V3" t="s">
        <v>287</v>
      </c>
      <c r="Y3">
        <v>2</v>
      </c>
      <c r="Z3" t="s">
        <v>71</v>
      </c>
      <c r="AA3" t="s">
        <v>316</v>
      </c>
      <c r="AC3">
        <v>0</v>
      </c>
      <c r="AG3" t="s">
        <v>287</v>
      </c>
      <c r="AJ3">
        <v>2</v>
      </c>
      <c r="AK3" t="s">
        <v>74</v>
      </c>
      <c r="AL3" t="s">
        <v>320</v>
      </c>
      <c r="AN3">
        <v>1</v>
      </c>
    </row>
    <row r="4" spans="1:40" x14ac:dyDescent="0.25">
      <c r="A4" t="s">
        <v>99</v>
      </c>
      <c r="D4">
        <v>3</v>
      </c>
      <c r="E4" t="s">
        <v>74</v>
      </c>
      <c r="F4" t="s">
        <v>85</v>
      </c>
      <c r="H4">
        <v>0</v>
      </c>
      <c r="K4" t="s">
        <v>290</v>
      </c>
      <c r="N4">
        <v>3</v>
      </c>
      <c r="O4" t="s">
        <v>74</v>
      </c>
      <c r="P4" t="s">
        <v>87</v>
      </c>
      <c r="R4">
        <v>0</v>
      </c>
      <c r="V4" s="12">
        <v>44021</v>
      </c>
      <c r="Y4">
        <v>3</v>
      </c>
      <c r="Z4" t="s">
        <v>68</v>
      </c>
      <c r="AA4" t="s">
        <v>317</v>
      </c>
      <c r="AC4">
        <v>0</v>
      </c>
      <c r="AG4" t="s">
        <v>655</v>
      </c>
      <c r="AJ4">
        <v>3</v>
      </c>
      <c r="AK4" t="s">
        <v>74</v>
      </c>
      <c r="AL4" t="s">
        <v>315</v>
      </c>
      <c r="AN4">
        <v>0</v>
      </c>
    </row>
    <row r="5" spans="1:40" x14ac:dyDescent="0.25">
      <c r="A5" t="s">
        <v>288</v>
      </c>
      <c r="D5">
        <v>4</v>
      </c>
      <c r="E5" t="s">
        <v>68</v>
      </c>
      <c r="F5" t="s">
        <v>79</v>
      </c>
      <c r="H5">
        <v>1</v>
      </c>
      <c r="K5" s="2" t="s">
        <v>288</v>
      </c>
      <c r="N5">
        <v>4</v>
      </c>
      <c r="O5" t="s">
        <v>71</v>
      </c>
      <c r="P5" t="s">
        <v>88</v>
      </c>
      <c r="R5">
        <v>0</v>
      </c>
      <c r="V5" s="2" t="s">
        <v>329</v>
      </c>
      <c r="Y5">
        <v>4</v>
      </c>
      <c r="Z5" t="s">
        <v>71</v>
      </c>
      <c r="AA5" t="s">
        <v>318</v>
      </c>
      <c r="AC5">
        <v>0</v>
      </c>
      <c r="AG5" s="2" t="s">
        <v>329</v>
      </c>
      <c r="AJ5">
        <v>4</v>
      </c>
      <c r="AK5" t="s">
        <v>72</v>
      </c>
      <c r="AL5" t="s">
        <v>323</v>
      </c>
      <c r="AN5">
        <v>1</v>
      </c>
    </row>
    <row r="6" spans="1:40" x14ac:dyDescent="0.25">
      <c r="D6">
        <v>5</v>
      </c>
      <c r="E6" t="s">
        <v>71</v>
      </c>
      <c r="F6" t="s">
        <v>80</v>
      </c>
      <c r="H6">
        <v>0</v>
      </c>
      <c r="N6">
        <v>5</v>
      </c>
      <c r="O6" t="s">
        <v>68</v>
      </c>
      <c r="P6" t="s">
        <v>83</v>
      </c>
      <c r="R6">
        <v>0</v>
      </c>
      <c r="Y6">
        <v>5</v>
      </c>
      <c r="Z6" t="s">
        <v>74</v>
      </c>
      <c r="AA6" t="s">
        <v>319</v>
      </c>
      <c r="AC6">
        <v>1</v>
      </c>
      <c r="AJ6">
        <v>5</v>
      </c>
      <c r="AK6" t="s">
        <v>68</v>
      </c>
      <c r="AL6" t="s">
        <v>326</v>
      </c>
      <c r="AN6">
        <v>1</v>
      </c>
    </row>
    <row r="7" spans="1:40" x14ac:dyDescent="0.25">
      <c r="D7">
        <v>6</v>
      </c>
      <c r="E7" t="s">
        <v>74</v>
      </c>
      <c r="F7" t="s">
        <v>89</v>
      </c>
      <c r="H7">
        <v>0</v>
      </c>
      <c r="N7">
        <v>6</v>
      </c>
      <c r="O7" t="s">
        <v>74</v>
      </c>
      <c r="P7" t="s">
        <v>85</v>
      </c>
      <c r="R7">
        <v>1</v>
      </c>
      <c r="Y7">
        <v>6</v>
      </c>
      <c r="Z7" t="s">
        <v>74</v>
      </c>
      <c r="AA7" t="s">
        <v>320</v>
      </c>
      <c r="AC7">
        <v>0</v>
      </c>
      <c r="AJ7">
        <v>6</v>
      </c>
      <c r="AK7" t="s">
        <v>74</v>
      </c>
      <c r="AL7" t="s">
        <v>325</v>
      </c>
      <c r="AN7">
        <v>1</v>
      </c>
    </row>
    <row r="8" spans="1:40" x14ac:dyDescent="0.25">
      <c r="D8">
        <v>7</v>
      </c>
      <c r="E8" t="s">
        <v>68</v>
      </c>
      <c r="F8" t="s">
        <v>83</v>
      </c>
      <c r="H8">
        <v>0</v>
      </c>
      <c r="N8">
        <v>7</v>
      </c>
      <c r="O8" t="s">
        <v>74</v>
      </c>
      <c r="P8" t="s">
        <v>89</v>
      </c>
      <c r="R8">
        <v>0</v>
      </c>
      <c r="Y8">
        <v>7</v>
      </c>
      <c r="Z8" t="s">
        <v>71</v>
      </c>
      <c r="AA8" t="s">
        <v>321</v>
      </c>
      <c r="AC8">
        <v>1</v>
      </c>
      <c r="AJ8">
        <v>7</v>
      </c>
      <c r="AK8" t="s">
        <v>71</v>
      </c>
      <c r="AL8" t="s">
        <v>316</v>
      </c>
      <c r="AN8">
        <v>0</v>
      </c>
    </row>
    <row r="9" spans="1:40" x14ac:dyDescent="0.25">
      <c r="D9">
        <v>8</v>
      </c>
      <c r="E9" t="s">
        <v>69</v>
      </c>
      <c r="F9" t="s">
        <v>77</v>
      </c>
      <c r="H9">
        <v>0</v>
      </c>
      <c r="N9">
        <v>8</v>
      </c>
      <c r="O9" t="s">
        <v>68</v>
      </c>
      <c r="P9" t="s">
        <v>76</v>
      </c>
      <c r="R9">
        <v>1</v>
      </c>
      <c r="Y9">
        <v>8</v>
      </c>
      <c r="Z9" t="s">
        <v>70</v>
      </c>
      <c r="AA9" t="s">
        <v>322</v>
      </c>
      <c r="AC9">
        <v>0</v>
      </c>
      <c r="AJ9">
        <v>8</v>
      </c>
      <c r="AK9" t="s">
        <v>74</v>
      </c>
      <c r="AL9" t="s">
        <v>319</v>
      </c>
      <c r="AN9">
        <v>0</v>
      </c>
    </row>
    <row r="10" spans="1:40" x14ac:dyDescent="0.25">
      <c r="D10">
        <v>9</v>
      </c>
      <c r="E10" t="s">
        <v>70</v>
      </c>
      <c r="F10" t="s">
        <v>78</v>
      </c>
      <c r="H10">
        <v>0</v>
      </c>
      <c r="N10">
        <v>9</v>
      </c>
      <c r="O10" t="s">
        <v>71</v>
      </c>
      <c r="P10" t="s">
        <v>81</v>
      </c>
      <c r="R10">
        <v>0</v>
      </c>
      <c r="Y10">
        <v>9</v>
      </c>
      <c r="Z10" t="s">
        <v>72</v>
      </c>
      <c r="AA10" t="s">
        <v>323</v>
      </c>
      <c r="AC10">
        <v>1</v>
      </c>
      <c r="AJ10">
        <v>9</v>
      </c>
      <c r="AK10" t="s">
        <v>72</v>
      </c>
      <c r="AL10" t="s">
        <v>328</v>
      </c>
      <c r="AN10">
        <v>1</v>
      </c>
    </row>
    <row r="11" spans="1:40" x14ac:dyDescent="0.25">
      <c r="D11">
        <v>10</v>
      </c>
      <c r="E11" t="s">
        <v>72</v>
      </c>
      <c r="F11" t="s">
        <v>82</v>
      </c>
      <c r="H11">
        <v>0</v>
      </c>
      <c r="N11">
        <v>10</v>
      </c>
      <c r="O11" t="s">
        <v>73</v>
      </c>
      <c r="P11" t="s">
        <v>84</v>
      </c>
      <c r="R11">
        <v>0</v>
      </c>
      <c r="Y11">
        <v>10</v>
      </c>
      <c r="Z11" t="s">
        <v>71</v>
      </c>
      <c r="AA11" t="s">
        <v>324</v>
      </c>
      <c r="AC11">
        <v>0</v>
      </c>
      <c r="AJ11">
        <v>10</v>
      </c>
      <c r="AK11" t="s">
        <v>69</v>
      </c>
      <c r="AL11" t="s">
        <v>327</v>
      </c>
      <c r="AN11">
        <v>0</v>
      </c>
    </row>
    <row r="12" spans="1:40" x14ac:dyDescent="0.25">
      <c r="D12">
        <v>11</v>
      </c>
      <c r="E12" t="s">
        <v>74</v>
      </c>
      <c r="F12" t="s">
        <v>87</v>
      </c>
      <c r="H12">
        <v>0</v>
      </c>
      <c r="N12">
        <v>11</v>
      </c>
      <c r="O12" t="s">
        <v>71</v>
      </c>
      <c r="P12" t="s">
        <v>86</v>
      </c>
      <c r="R12">
        <v>0</v>
      </c>
      <c r="Y12">
        <v>11</v>
      </c>
      <c r="Z12" t="s">
        <v>74</v>
      </c>
      <c r="AA12" t="s">
        <v>325</v>
      </c>
      <c r="AC12">
        <v>0</v>
      </c>
      <c r="AJ12">
        <v>11</v>
      </c>
      <c r="AK12" t="s">
        <v>71</v>
      </c>
      <c r="AL12" t="s">
        <v>321</v>
      </c>
      <c r="AN12">
        <v>1</v>
      </c>
    </row>
    <row r="13" spans="1:40" x14ac:dyDescent="0.25">
      <c r="D13">
        <v>12</v>
      </c>
      <c r="E13" t="s">
        <v>71</v>
      </c>
      <c r="F13" t="s">
        <v>81</v>
      </c>
      <c r="H13">
        <v>0</v>
      </c>
      <c r="N13">
        <v>12</v>
      </c>
      <c r="O13" t="s">
        <v>71</v>
      </c>
      <c r="P13" t="s">
        <v>80</v>
      </c>
      <c r="R13">
        <v>0</v>
      </c>
      <c r="Y13">
        <v>12</v>
      </c>
      <c r="Z13" t="s">
        <v>68</v>
      </c>
      <c r="AA13" t="s">
        <v>326</v>
      </c>
      <c r="AC13">
        <v>0</v>
      </c>
      <c r="AJ13">
        <v>12</v>
      </c>
      <c r="AK13" t="s">
        <v>68</v>
      </c>
      <c r="AL13" t="s">
        <v>317</v>
      </c>
      <c r="AN13">
        <v>0</v>
      </c>
    </row>
    <row r="14" spans="1:40" x14ac:dyDescent="0.25">
      <c r="D14">
        <v>13</v>
      </c>
      <c r="E14" t="s">
        <v>73</v>
      </c>
      <c r="F14" t="s">
        <v>84</v>
      </c>
      <c r="H14">
        <v>0</v>
      </c>
      <c r="N14">
        <v>13</v>
      </c>
      <c r="O14" t="s">
        <v>72</v>
      </c>
      <c r="P14" t="s">
        <v>82</v>
      </c>
      <c r="R14">
        <v>0</v>
      </c>
      <c r="Y14">
        <v>13</v>
      </c>
      <c r="Z14" t="s">
        <v>69</v>
      </c>
      <c r="AA14" t="s">
        <v>327</v>
      </c>
      <c r="AC14">
        <v>0</v>
      </c>
      <c r="AJ14">
        <v>13</v>
      </c>
      <c r="AK14" t="s">
        <v>71</v>
      </c>
      <c r="AL14" t="s">
        <v>318</v>
      </c>
      <c r="AN14">
        <v>0</v>
      </c>
    </row>
    <row r="15" spans="1:40" x14ac:dyDescent="0.25">
      <c r="D15">
        <v>14</v>
      </c>
      <c r="E15" t="s">
        <v>71</v>
      </c>
      <c r="F15" t="s">
        <v>88</v>
      </c>
      <c r="H15">
        <v>0</v>
      </c>
      <c r="N15">
        <v>14</v>
      </c>
      <c r="O15" t="s">
        <v>68</v>
      </c>
      <c r="P15" t="s">
        <v>79</v>
      </c>
      <c r="R15">
        <v>0</v>
      </c>
      <c r="Y15">
        <v>14</v>
      </c>
      <c r="Z15" t="s">
        <v>72</v>
      </c>
      <c r="AA15" t="s">
        <v>328</v>
      </c>
      <c r="AC15">
        <v>1</v>
      </c>
      <c r="AJ15">
        <v>14</v>
      </c>
      <c r="AK15" t="s">
        <v>70</v>
      </c>
      <c r="AL15" t="s">
        <v>322</v>
      </c>
      <c r="AN15">
        <v>1</v>
      </c>
    </row>
    <row r="16" spans="1:40" x14ac:dyDescent="0.25">
      <c r="H16" s="9">
        <f>SUM(H2:H15)</f>
        <v>2</v>
      </c>
      <c r="R16" s="5">
        <f>SUM(R2:R15)</f>
        <v>2</v>
      </c>
      <c r="AC16" s="4">
        <f>SUM(AC2:AC15)</f>
        <v>4</v>
      </c>
      <c r="AN16" s="2">
        <f>SUM(AN2:AN15)</f>
        <v>7</v>
      </c>
    </row>
    <row r="22" spans="3:7" x14ac:dyDescent="0.25">
      <c r="D22" t="s">
        <v>644</v>
      </c>
      <c r="E22" t="s">
        <v>293</v>
      </c>
      <c r="F22" t="s">
        <v>314</v>
      </c>
      <c r="G22" t="s">
        <v>645</v>
      </c>
    </row>
    <row r="23" spans="3:7" x14ac:dyDescent="0.25">
      <c r="C23" t="s">
        <v>287</v>
      </c>
      <c r="D23">
        <v>2</v>
      </c>
      <c r="E23">
        <v>2</v>
      </c>
      <c r="F23">
        <v>4</v>
      </c>
      <c r="G23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2023-02-09T10:19:17Z</dcterms:modified>
</cp:coreProperties>
</file>